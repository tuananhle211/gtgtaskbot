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ướng dẫn" sheetId="1" r:id="rId5"/>
    <sheet state="visible" name="Tổng hợp" sheetId="2" r:id="rId6"/>
    <sheet state="visible" name="Người sử dụng" sheetId="3" r:id="rId7"/>
    <sheet state="visible" name="ADS" sheetId="4" r:id="rId8"/>
    <sheet state="visible" name="Biên Tập" sheetId="5" r:id="rId9"/>
    <sheet state="visible" name="Thiết Kế" sheetId="6" r:id="rId10"/>
    <sheet state="visible" name="Media Dựng" sheetId="7" r:id="rId11"/>
    <sheet state="visible" name="PR Thương Hiệu" sheetId="8" r:id="rId12"/>
    <sheet state="visible" name="Danh mục" sheetId="9" r:id="rId13"/>
    <sheet state="hidden" name="Dữ liệu gộp" sheetId="10" r:id="rId14"/>
  </sheets>
  <definedNames>
    <definedName hidden="1" localSheetId="2" name="_xlnm._FilterDatabase">'Người sử dụng'!$A$4:$L$140</definedName>
    <definedName hidden="1" localSheetId="4" name="_xlnm._FilterDatabase">'Biên Tập'!$A$5:$AE$205</definedName>
    <definedName hidden="1" localSheetId="5" name="_xlnm._FilterDatabase">'Thiết Kế'!$A$5:$AE$205</definedName>
    <definedName hidden="1" localSheetId="6" name="_xlnm._FilterDatabase">'Media Dựng'!$A$5:$AE$205</definedName>
    <definedName hidden="1" localSheetId="7" name="_xlnm._FilterDatabase">'PR Thương Hiệu'!$A$5:$AE$205</definedName>
  </definedNames>
  <calcPr/>
</workbook>
</file>

<file path=xl/sharedStrings.xml><?xml version="1.0" encoding="utf-8"?>
<sst xmlns="http://schemas.openxmlformats.org/spreadsheetml/2006/main" count="4320" uniqueCount="1009">
  <si>
    <t>TỔNG HỢP TÀI NGUYÊN KHỐI MKT</t>
  </si>
  <si>
    <t>HƯỚNG DẪN KHAI BÁO TÀI NGUYÊN SỐ KHỐI MKT</t>
  </si>
  <si>
    <t>DANH SÁCH NHÂN VIÊN ĐƯỢC BÀN GIAO TÀI NGUYÊN – KHỐI MKT</t>
  </si>
  <si>
    <t>Tự động tính từ các tab, không cần sửa. Thống kê theo ban ở phía dưới, từ dòng 113.</t>
  </si>
  <si>
    <t>1. TRA CỨU TÀI SẢN THEO NHÂN VIÊN</t>
  </si>
  <si>
    <t>Mục đích</t>
  </si>
  <si>
    <t>Trưởng ban khai nhân sự của ban mình tại đây TRƯỚC, sau đó mới chọn tên ở cột "Người được bàn giao" trong tab của ban.</t>
  </si>
  <si>
    <t>Chọn nhân viên:</t>
  </si>
  <si>
    <t>Thu thập toàn bộ tài nguyên mỗi ban đang giữ tính đến nay, trước khi Phòng Tài nguyên cấp phát lại theo quy trình mới.</t>
  </si>
  <si>
    <t>Trùng tên: ghi thêm ban hoặc ký hiệu để phân biệt, ví dụ "Nguyễn Thu Hà (ADS)". Cột xám tự tính, không cần điền.</t>
  </si>
  <si>
    <t>Hạn nộp</t>
  </si>
  <si>
    <t>STT</t>
  </si>
  <si>
    <t>(Phòng Tài nguyên điền hạn nộp vào đây)</t>
  </si>
  <si>
    <t>Đỗ Viết Huy</t>
  </si>
  <si>
    <t>Bước 1 – Khai người sử dụng</t>
  </si>
  <si>
    <t>Trưởng ban vào tab "Người sử dụng", khai toàn bộ nhân sự của ban mình (kể cả người đã nghỉ nhưng từng giữ tài nguyên), chọn Ban và Trạng thái.</t>
  </si>
  <si>
    <t>Mã nhân viên</t>
  </si>
  <si>
    <t>Bước 2 – Khai tài nguyên</t>
  </si>
  <si>
    <t>Vào tab của ban mình, mỗi tài nguyên một dòng. Cột "Người được bàn giao (đang quản lý)" chọn tên nhân viên đang quản lý tài sản đó, từ danh sách đã khai ở Bước 1.</t>
  </si>
  <si>
    <t>Tài nguyên cần khai</t>
  </si>
  <si>
    <t>Họ tên</t>
  </si>
  <si>
    <t>Via, Page, Nhóm, tài khoản AI (ChatGPT, Claude, CapCut, Midjourney…), TKQC, BM và tài nguyên khác ban đang dùng. Khai cả tài nguyên tự tạo, mua ngoài hoặc nhận lại từ người cũ.</t>
  </si>
  <si>
    <t>Ban</t>
  </si>
  <si>
    <t>QUAN TRỌNG</t>
  </si>
  <si>
    <t>Chức vụ</t>
  </si>
  <si>
    <t>SĐT</t>
  </si>
  <si>
    <t>Không ghi mật khẩu vào file. Mật khẩu và mã 2 lớp sẽ bàn giao trực tiếp cho Phòng Tài nguyên.</t>
  </si>
  <si>
    <t>Ban:</t>
  </si>
  <si>
    <t>Email công ty</t>
  </si>
  <si>
    <t>Trạng thái</t>
  </si>
  <si>
    <t>Ngày vào làm</t>
  </si>
  <si>
    <t>Màu ô</t>
  </si>
  <si>
    <t>Ngày nghỉ / chuyển ban</t>
  </si>
  <si>
    <t>Xanh nhạt: ban điền · Xám: tự tính, không sửa · Hồng: Phòng Tài nguyên điền (Bàn giao và trạng thái theo tháng).</t>
  </si>
  <si>
    <t>Số tài nguyên đang giữ</t>
  </si>
  <si>
    <t>Cảnh báo đỏ</t>
  </si>
  <si>
    <t>Ghi chú</t>
  </si>
  <si>
    <t>Ô "Trạng thái người dùng" báo đỏ khi tài nguyên đang nằm ở người đã nghỉ việc hoặc tên chưa có trong danh sách. Ở tab Người sử dụng, cả dòng tô đỏ khi người đã nghỉ/chuyển ban mà vẫn còn giữ tài nguyên.</t>
  </si>
  <si>
    <t>Tra cứu theo nhân viên</t>
  </si>
  <si>
    <t>Vào tab Tổng hợp, chọn tên nhân viên ở ô hồng đầu trang: file liệt kê toàn bộ tài sản người đó đang quản lý trên cả 5 ban, kèm số lượng theo loại và trạng thái gần nhất.</t>
  </si>
  <si>
    <t>Theo dõi theo thời gian</t>
  </si>
  <si>
    <t>Mỗi tài nguyên giữ nguyên 1 dòng. Mỗi tháng rà soát, Phòng Tài nguyên chọn trạng thái ở cột tháng đó, kéo ngang là thấy lịch sử.</t>
  </si>
  <si>
    <t>Trạng thái tài nguyên</t>
  </si>
  <si>
    <t>Hoạt động · Hạn chế (bị giới hạn tính năng) · Checkpoint (khóa tạm, cần xác minh) · Die / Mất (không lấy lại được) · Đã thu hồi · Ngừng dùng</t>
  </si>
  <si>
    <t>Trạng thái nhân sự</t>
  </si>
  <si>
    <t>Đang làm · Thử việc · Tạm nghỉ (nghỉ dài ngày, vẫn còn hợp đồng) · Chuyển ban · Đã nghỉ việc</t>
  </si>
  <si>
    <t>Danh sách lựa chọn</t>
  </si>
  <si>
    <t>Muốn thêm loại, quyền hoặc trạng thái thì sửa ở tab Danh mục (thêm vào cuối cột, không chèn dòng giữa).</t>
  </si>
  <si>
    <t>DÒNG MẪU – TAB NGƯỜI SỬ DỤNG (tham khảo, không điền vào đây)</t>
  </si>
  <si>
    <t>M062HUY</t>
  </si>
  <si>
    <t>1</t>
  </si>
  <si>
    <t>ĐỖ VIẾT HUY</t>
  </si>
  <si>
    <t>NV0123</t>
  </si>
  <si>
    <t>Nguyễn Thu Hà</t>
  </si>
  <si>
    <t>ADS</t>
  </si>
  <si>
    <t>Nhân viên Ads</t>
  </si>
  <si>
    <t>0912xxxxxx</t>
  </si>
  <si>
    <t>ha.nt@apexmed.vn</t>
  </si>
  <si>
    <t>Đang làm</t>
  </si>
  <si>
    <t>01/03/2025</t>
  </si>
  <si>
    <t>(tự tính)</t>
  </si>
  <si>
    <t>Phụ trách khu vực HN</t>
  </si>
  <si>
    <t>Phòng Tài nguyên</t>
  </si>
  <si>
    <t>DÒNG MẪU – TAB CỦA BAN (tham khảo, không điền vào đây)</t>
  </si>
  <si>
    <t>Chuyên Viên</t>
  </si>
  <si>
    <t>Mã tài nguyên</t>
  </si>
  <si>
    <t>Loại tài nguyên</t>
  </si>
  <si>
    <t>ID tài nguyên</t>
  </si>
  <si>
    <t>Tên tài nguyên</t>
  </si>
  <si>
    <t>Link</t>
  </si>
  <si>
    <t>Trạng thái:</t>
  </si>
  <si>
    <t>Người được bàn giao (đang quản lý)</t>
  </si>
  <si>
    <t>Trạng thái người dùng</t>
  </si>
  <si>
    <t>Quyền đang có</t>
  </si>
  <si>
    <t>Email đăng ký</t>
  </si>
  <si>
    <t>SĐT đăng ký</t>
  </si>
  <si>
    <t>Bảo mật 2 lớp</t>
  </si>
  <si>
    <t>KHAI BÁO TÀI NGUYÊN SỐ – BAN ADS</t>
  </si>
  <si>
    <t>Ai đang giữ mã 2 lớp</t>
  </si>
  <si>
    <t>Nguồn gốc</t>
  </si>
  <si>
    <t>Ngày bắt đầu dùng</t>
  </si>
  <si>
    <t>Mục đích sử dụng</t>
  </si>
  <si>
    <t>Bàn giao về Tài nguyên</t>
  </si>
  <si>
    <t>ADS-001</t>
  </si>
  <si>
    <t>Page</t>
  </si>
  <si>
    <t>104857392018475</t>
  </si>
  <si>
    <t>Apexmed – Tư vấn chị em</t>
  </si>
  <si>
    <t>facebook.com/...</t>
  </si>
  <si>
    <t>(tự hiện)</t>
  </si>
  <si>
    <t>Chủ sở hữu / Admin</t>
  </si>
  <si>
    <t>ads.apexmed@gmail.com</t>
  </si>
  <si>
    <t>Có</t>
  </si>
  <si>
    <t>Tự tạo</t>
  </si>
  <si>
    <t>15/03/2025</t>
  </si>
  <si>
    <t>Người khai báo:</t>
  </si>
  <si>
    <t>Chạy quảng cáo khu vực HN</t>
  </si>
  <si>
    <t>Chưa bàn giao</t>
  </si>
  <si>
    <t>Page có 2 admin cá nhân</t>
  </si>
  <si>
    <t>Tổng tài sản đang giữ:</t>
  </si>
  <si>
    <t>Ngày khai báo:</t>
  </si>
  <si>
    <t>Theo loại:</t>
  </si>
  <si>
    <t>Via</t>
  </si>
  <si>
    <t>Nhóm</t>
  </si>
  <si>
    <t>AI</t>
  </si>
  <si>
    <t>TKQC</t>
  </si>
  <si>
    <t>Lưu ý: KHÔNG ghi mật khẩu. Ô xanh nhạt = ban điền · Cột xám = tự tính · Cột hồng = Phòng Tài nguyên điền. Người được bàn giao phải có trong tab "Người sử dụng".</t>
  </si>
  <si>
    <t>BM</t>
  </si>
  <si>
    <t>Khác</t>
  </si>
  <si>
    <t>THÔNG TIN TÀI NGUYÊN (ban tự khai)</t>
  </si>
  <si>
    <t>M061HOANG</t>
  </si>
  <si>
    <t>TRẠNG THÁI THEO THÁNG (Phòng Tài nguyên cập nhật khi rà soát)</t>
  </si>
  <si>
    <t>PHƯƠNG VIỆT HOÀNG</t>
  </si>
  <si>
    <t>Mã NV</t>
  </si>
  <si>
    <t>T10/2026</t>
  </si>
  <si>
    <t>T11/2026</t>
  </si>
  <si>
    <t>T12/2026</t>
  </si>
  <si>
    <t>T01/2027</t>
  </si>
  <si>
    <t>T02/2027</t>
  </si>
  <si>
    <t>T03/2027</t>
  </si>
  <si>
    <t>T04/2027</t>
  </si>
  <si>
    <t>T05/2027</t>
  </si>
  <si>
    <t>T06/2027</t>
  </si>
  <si>
    <t>T07/2027</t>
  </si>
  <si>
    <t>T08/2027</t>
  </si>
  <si>
    <t>T09/2027</t>
  </si>
  <si>
    <t>Media Dựng</t>
  </si>
  <si>
    <t>Loại</t>
  </si>
  <si>
    <t>12356489755</t>
  </si>
  <si>
    <t>Via Ads 1</t>
  </si>
  <si>
    <t>Trạng thái gần nhất</t>
  </si>
  <si>
    <t>abcxyz.com</t>
  </si>
  <si>
    <t>M011HUY</t>
  </si>
  <si>
    <t>NGÔ TRỌNG HUY</t>
  </si>
  <si>
    <t>TP MKT SG</t>
  </si>
  <si>
    <t>M014TUNG</t>
  </si>
  <si>
    <t>ĐỖ SƠN TÙNG</t>
  </si>
  <si>
    <t>Chuyên viên</t>
  </si>
  <si>
    <t>M015DUONG</t>
  </si>
  <si>
    <t>ĐÀO ĐÌNH DƯƠNG</t>
  </si>
  <si>
    <t>M039NAM</t>
  </si>
  <si>
    <t>PHẠM GIANG NAM</t>
  </si>
  <si>
    <t>0338509770</t>
  </si>
  <si>
    <t>nam.phamgiang@apmtech.vn</t>
  </si>
  <si>
    <t>Công ty cấp</t>
  </si>
  <si>
    <t>M064NGOC</t>
  </si>
  <si>
    <t>NGUYỄN MẠNH NGỌC</t>
  </si>
  <si>
    <t>Chạy Ads</t>
  </si>
  <si>
    <t>Thử việc</t>
  </si>
  <si>
    <t>M052THANG</t>
  </si>
  <si>
    <t>PHẠM NGỌC THẮNG</t>
  </si>
  <si>
    <t>Đã bàn giao</t>
  </si>
  <si>
    <t>M048KIEN</t>
  </si>
  <si>
    <t>PHẠM VĂN KIÊN</t>
  </si>
  <si>
    <t>M016ANH</t>
  </si>
  <si>
    <t>HOÀNG ANH</t>
  </si>
  <si>
    <t>M001DUNG</t>
  </si>
  <si>
    <t>NGUYỄN XUÂN DŨNG</t>
  </si>
  <si>
    <t>TP MKT HN</t>
  </si>
  <si>
    <t>dsffgdg</t>
  </si>
  <si>
    <t>AI claude</t>
  </si>
  <si>
    <t>M003HIEP</t>
  </si>
  <si>
    <t>TRẦN HIỆP</t>
  </si>
  <si>
    <t>df6454655</t>
  </si>
  <si>
    <t>fdgdfghf</t>
  </si>
  <si>
    <t>fghfhfgh</t>
  </si>
  <si>
    <t>M005DUC</t>
  </si>
  <si>
    <t>BÙI ĐÌNH ĐỨC</t>
  </si>
  <si>
    <t>Nhận lại từ người khác</t>
  </si>
  <si>
    <t>chạy ads</t>
  </si>
  <si>
    <t>M046DUC</t>
  </si>
  <si>
    <t>VƯƠNG ANH ĐỨC</t>
  </si>
  <si>
    <t>0986963706</t>
  </si>
  <si>
    <t>duc.vuonganh@apmtech.vn</t>
  </si>
  <si>
    <t>M043NGUYEN</t>
  </si>
  <si>
    <t>NGUYỄN QUANG NGUYÊN</t>
  </si>
  <si>
    <t>100068861280350</t>
  </si>
  <si>
    <t>https://www.facebook.com/profile.php?id=100068861280350</t>
  </si>
  <si>
    <t>E039NAM</t>
  </si>
  <si>
    <t>HỒ CHÍ NAM</t>
  </si>
  <si>
    <t>Media</t>
  </si>
  <si>
    <t>Trưởng nhóm Quay/dựng</t>
  </si>
  <si>
    <t>0934546727</t>
  </si>
  <si>
    <t>nam.hochi@apmtech.vn</t>
  </si>
  <si>
    <t>Nguyễn Xuân Dũng</t>
  </si>
  <si>
    <t>Chạy ads</t>
  </si>
  <si>
    <t>P036HAO</t>
  </si>
  <si>
    <t>BÙI MỸ HẢO</t>
  </si>
  <si>
    <t>PR</t>
  </si>
  <si>
    <t>0355848047</t>
  </si>
  <si>
    <t>hao.buimy@apmtech.vn</t>
  </si>
  <si>
    <t>100027532092068</t>
  </si>
  <si>
    <t>https://www.facebook.com/vargas.reggie.7</t>
  </si>
  <si>
    <t>KHAI BÁO TÀI NGUYÊN SỐ – BAN BIÊN TẬP</t>
  </si>
  <si>
    <t>P040HIEU</t>
  </si>
  <si>
    <t>HOÀNG MINH HIẾU</t>
  </si>
  <si>
    <t>0934623853</t>
  </si>
  <si>
    <t>hieu.hoangminh@apmtech.vn</t>
  </si>
  <si>
    <t>P006QUYEN</t>
  </si>
  <si>
    <t>LÊ HẠNH QUYÊN</t>
  </si>
  <si>
    <t>0948347936</t>
  </si>
  <si>
    <t>quyen.lehanh@apmtech.vn</t>
  </si>
  <si>
    <t>61575801293716</t>
  </si>
  <si>
    <t>https://www.facebook.com/profile.php?id=61575801293716</t>
  </si>
  <si>
    <t>P047HOAI</t>
  </si>
  <si>
    <t>ĐỖ THỊ THU HOÀI</t>
  </si>
  <si>
    <t>0343503876</t>
  </si>
  <si>
    <t>hoai.dothu@apmtech.vn</t>
  </si>
  <si>
    <t>100085100801017</t>
  </si>
  <si>
    <t>page</t>
  </si>
  <si>
    <t>https://www.facebook.com/profile.php?id=100085100801017</t>
  </si>
  <si>
    <t>P029PHUONG</t>
  </si>
  <si>
    <t>PHÙNG HOÀNG PHƯỢNG</t>
  </si>
  <si>
    <t>0385994534</t>
  </si>
  <si>
    <t>phuong.phunghoang@apmtech.vn</t>
  </si>
  <si>
    <t xml:space="preserve">chạy ads </t>
  </si>
  <si>
    <t>chạy ads SG</t>
  </si>
  <si>
    <t>E069ANH</t>
  </si>
  <si>
    <t>TRẦN MINH ANH</t>
  </si>
  <si>
    <t>0373907602</t>
  </si>
  <si>
    <t>anh.tranminh@apmtech.vn</t>
  </si>
  <si>
    <t>61550327186842</t>
  </si>
  <si>
    <t>https://www.facebook.com/profile.php?id=61550327186842</t>
  </si>
  <si>
    <t>E041TUYET</t>
  </si>
  <si>
    <t>NGUYỄN THỊ ÁNH TUYẾT</t>
  </si>
  <si>
    <t>0333049212</t>
  </si>
  <si>
    <t>tuyet.nguyenanh@apmtech.vn</t>
  </si>
  <si>
    <t>P008LUU</t>
  </si>
  <si>
    <t>BÙI THỊ LƯU</t>
  </si>
  <si>
    <t>0818407250</t>
  </si>
  <si>
    <t>111005052080409</t>
  </si>
  <si>
    <t>luu.bui@apmtech</t>
  </si>
  <si>
    <t>https://www.facebook.com/3VuTrongTien.VQY103/</t>
  </si>
  <si>
    <t>chạy ads HN</t>
  </si>
  <si>
    <t>P046LINH</t>
  </si>
  <si>
    <t>LÊ HUYỀN LINH</t>
  </si>
  <si>
    <t>0987071396</t>
  </si>
  <si>
    <t>linh.lehuyen@apmtech.vn</t>
  </si>
  <si>
    <t>1967012040256785</t>
  </si>
  <si>
    <t>https://www.facebook.com/TTCB7/</t>
  </si>
  <si>
    <t>P055HANG</t>
  </si>
  <si>
    <t>BÙI THỊ THANH HẰNG</t>
  </si>
  <si>
    <t>0373208609</t>
  </si>
  <si>
    <t>hang.buithanh@apmtech.vn</t>
  </si>
  <si>
    <t>E051LONG</t>
  </si>
  <si>
    <t>MAI TÙNG LONG</t>
  </si>
  <si>
    <t>TP MEDIA</t>
  </si>
  <si>
    <t>0963786970</t>
  </si>
  <si>
    <t>long.maitung@apmtech.vn</t>
  </si>
  <si>
    <t>963061970528125</t>
  </si>
  <si>
    <t>https://www.facebook.com/DrTientantrangvungkin/</t>
  </si>
  <si>
    <t>E061HAI</t>
  </si>
  <si>
    <t>NGUYỄN HOÀNG HẢI</t>
  </si>
  <si>
    <t>0363186570</t>
  </si>
  <si>
    <t>hai.nguyenhoang@apmtech.vn</t>
  </si>
  <si>
    <t>102549942301147</t>
  </si>
  <si>
    <t>E068TANG</t>
  </si>
  <si>
    <t>https://www.facebook.com/103vienquany/</t>
  </si>
  <si>
    <t>NGUYỄN MẠNH TĂNG</t>
  </si>
  <si>
    <t>E065ANH</t>
  </si>
  <si>
    <t>ĐỖ THÚY ANH</t>
  </si>
  <si>
    <t>377662425421795</t>
  </si>
  <si>
    <t>https://www.facebook.com/profile.php?id=61561262817434</t>
  </si>
  <si>
    <t>E067TRANG</t>
  </si>
  <si>
    <t>NGUYỄN THỊ TRANG</t>
  </si>
  <si>
    <t>887919791064480</t>
  </si>
  <si>
    <t>https://www.facebook.com/VienQuanY103VTT.02/</t>
  </si>
  <si>
    <t>E071TRANG</t>
  </si>
  <si>
    <t>NGUYỄN THỊ KIỀU TRANG</t>
  </si>
  <si>
    <t>0963 95 6336</t>
  </si>
  <si>
    <t>huyngotrong.gtg@gmail.com</t>
  </si>
  <si>
    <t>E035NHUNG</t>
  </si>
  <si>
    <t>NGUYỄN THỊ PHƯƠNG NHUNG</t>
  </si>
  <si>
    <t>TP PR</t>
  </si>
  <si>
    <t>nhung.nguyenphuong@apmtech.vn</t>
  </si>
  <si>
    <t>Claud</t>
  </si>
  <si>
    <t>P052CHI</t>
  </si>
  <si>
    <t>LÊ HÀ CHI</t>
  </si>
  <si>
    <t>0987740042</t>
  </si>
  <si>
    <t>chi.leha@apmtech.vn</t>
  </si>
  <si>
    <t>nqa.nguyenxuandung@gmail.com</t>
  </si>
  <si>
    <t>E070ANH</t>
  </si>
  <si>
    <t>NGUYỄN HOÀNG ANH</t>
  </si>
  <si>
    <t>E018LUONG</t>
  </si>
  <si>
    <t>NGUYỄN ĐOÀN HIỀN LƯƠNG</t>
  </si>
  <si>
    <t>61577314978339</t>
  </si>
  <si>
    <t>https://www.facebook.com/profile.php?id=61577314978339</t>
  </si>
  <si>
    <t>E033THUY</t>
  </si>
  <si>
    <t>ĐINH THỊ PHƯƠNG THÙY</t>
  </si>
  <si>
    <t>Phương Việt Hoàng</t>
  </si>
  <si>
    <t>E048UYEN</t>
  </si>
  <si>
    <t>NGUYỄN THU UYÊN</t>
  </si>
  <si>
    <t xml:space="preserve">61577722010031 </t>
  </si>
  <si>
    <t>https://www.facebook.com/profile.php?id=61577722010031</t>
  </si>
  <si>
    <t>P053GIANG</t>
  </si>
  <si>
    <t>PHAN TRÀ GIANG</t>
  </si>
  <si>
    <t>E020HONG</t>
  </si>
  <si>
    <t>VĂN THỊ HỒNG</t>
  </si>
  <si>
    <t>61577444008325</t>
  </si>
  <si>
    <t>https://www.facebook.com/profile.php?id=61577444008325</t>
  </si>
  <si>
    <t>E003BAO</t>
  </si>
  <si>
    <t>BÙI THÁI BẢO</t>
  </si>
  <si>
    <t>E026PHUC</t>
  </si>
  <si>
    <t>NGUYỄN ĐỨC THÀNH PHÚC</t>
  </si>
  <si>
    <t>Page SG</t>
  </si>
  <si>
    <t>https://www.facebook.com/thammytieueva.bacsivutrongtien/</t>
  </si>
  <si>
    <t>E060DUC</t>
  </si>
  <si>
    <t>NGUYỄN MINH ĐỨC</t>
  </si>
  <si>
    <t>E062ANH</t>
  </si>
  <si>
    <t>E028TRUONG</t>
  </si>
  <si>
    <t>ĐÀO XUÂN TRƯỜNG</t>
  </si>
  <si>
    <t>VPS</t>
  </si>
  <si>
    <t>103.216.118.184</t>
  </si>
  <si>
    <t>Server</t>
  </si>
  <si>
    <t>Phòng Tài Nguyên</t>
  </si>
  <si>
    <t>E036HUNG</t>
  </si>
  <si>
    <t>TẠ VĂN HÙNG</t>
  </si>
  <si>
    <t>Kênh Tiktok</t>
  </si>
  <si>
    <t>Kênh Tiktok HN</t>
  </si>
  <si>
    <t>https://www.tiktok.com/@apexmed_vutrongtien</t>
  </si>
  <si>
    <t>E037DUC</t>
  </si>
  <si>
    <t>LÊ MINH ĐỨC</t>
  </si>
  <si>
    <t>E042HOANG</t>
  </si>
  <si>
    <t>NGUYỄN QUÝ HOÀNG</t>
  </si>
  <si>
    <t>TKQC Tiktok</t>
  </si>
  <si>
    <t>https://www.tiktok.com/@bsvutrongtien29</t>
  </si>
  <si>
    <t>P031MAI</t>
  </si>
  <si>
    <t>TRẦN PHƯƠNG MAI</t>
  </si>
  <si>
    <t>Kênh Tiktok SG</t>
  </si>
  <si>
    <t>https://www.tiktok.com/@bsvutrongtienlamdep</t>
  </si>
  <si>
    <t>P041QUYEN</t>
  </si>
  <si>
    <t>NGUYỄN THỊ THÙY QUYÊN</t>
  </si>
  <si>
    <t>https://www.tiktok.com/@drvutrongtienlamdepeva</t>
  </si>
  <si>
    <t>P044THUY</t>
  </si>
  <si>
    <t>NGUYỄN THỊ THANH THÚY</t>
  </si>
  <si>
    <t>Tên Miền</t>
  </si>
  <si>
    <t>Tenten</t>
  </si>
  <si>
    <t>470635541114399</t>
  </si>
  <si>
    <t>TKQC FB SG</t>
  </si>
  <si>
    <t>3136153196597031</t>
  </si>
  <si>
    <t>263888462486121</t>
  </si>
  <si>
    <t>352426263050361</t>
  </si>
  <si>
    <t>2534371600033681</t>
  </si>
  <si>
    <t>263689352503672</t>
  </si>
  <si>
    <t>384367023449993</t>
  </si>
  <si>
    <t>653116649067906</t>
  </si>
  <si>
    <t>955005001784750</t>
  </si>
  <si>
    <t>460304405641710</t>
  </si>
  <si>
    <t>BC Tiktok</t>
  </si>
  <si>
    <t>7585062489616973825</t>
  </si>
  <si>
    <t>BC GPI 3</t>
  </si>
  <si>
    <t>h2astore97@gmail.com</t>
  </si>
  <si>
    <t>7667793350824656917</t>
  </si>
  <si>
    <t>BC APEX 2</t>
  </si>
  <si>
    <t>tiktokadswin01@gmail.com</t>
  </si>
  <si>
    <t>7195082204400140289</t>
  </si>
  <si>
    <t>BC GPI 2</t>
  </si>
  <si>
    <t>phuongviethoang2712@gmail.com</t>
  </si>
  <si>
    <t>7547267101661216769</t>
  </si>
  <si>
    <t>BC CMG 2</t>
  </si>
  <si>
    <t>7665269632233521168</t>
  </si>
  <si>
    <t>BC APEX 1</t>
  </si>
  <si>
    <t>7362481136926212112</t>
  </si>
  <si>
    <t>BC GPI 1</t>
  </si>
  <si>
    <t>pyohcm@gmail.com</t>
  </si>
  <si>
    <t>7690401303339499521</t>
  </si>
  <si>
    <t>BC CMG 1</t>
  </si>
  <si>
    <t>tailieuhoctapc80@gmail.com</t>
  </si>
  <si>
    <t>100084029191302</t>
  </si>
  <si>
    <t>Ngô Trọng Huy</t>
  </si>
  <si>
    <t>100004789503482</t>
  </si>
  <si>
    <t>100016553220099</t>
  </si>
  <si>
    <t>100056353158434</t>
  </si>
  <si>
    <t>100068250807108</t>
  </si>
  <si>
    <t>61576837544492</t>
  </si>
  <si>
    <t>61575886942908</t>
  </si>
  <si>
    <t>61577199909596</t>
  </si>
  <si>
    <t>61577403869243</t>
  </si>
  <si>
    <t>61577577386138</t>
  </si>
  <si>
    <t>61577640803407</t>
  </si>
  <si>
    <t>61577902347679</t>
  </si>
  <si>
    <t>61576905279866</t>
  </si>
  <si>
    <t>61577628429674</t>
  </si>
  <si>
    <t>61577844928699</t>
  </si>
  <si>
    <t>61577376150419</t>
  </si>
  <si>
    <t>61577035067917</t>
  </si>
  <si>
    <t>61577396309455</t>
  </si>
  <si>
    <t>61577285782640</t>
  </si>
  <si>
    <t>61575128623181</t>
  </si>
  <si>
    <t>61577538930497</t>
  </si>
  <si>
    <t>61577565810244</t>
  </si>
  <si>
    <t>61577341865830</t>
  </si>
  <si>
    <t>61577156204911</t>
  </si>
  <si>
    <t>61577659195845</t>
  </si>
  <si>
    <t>61577140635582</t>
  </si>
  <si>
    <t>61577330885989</t>
  </si>
  <si>
    <t>61577031467772</t>
  </si>
  <si>
    <t>61578008481995</t>
  </si>
  <si>
    <t>61577299987653</t>
  </si>
  <si>
    <t>61577229208159</t>
  </si>
  <si>
    <t>61575182050383</t>
  </si>
  <si>
    <t>61577679202042</t>
  </si>
  <si>
    <t>61577716520237</t>
  </si>
  <si>
    <t>61577186739993</t>
  </si>
  <si>
    <t>61577603635121</t>
  </si>
  <si>
    <t>61577106243073</t>
  </si>
  <si>
    <t>Page HN</t>
  </si>
  <si>
    <t>https://www.facebook.com/bacsitien.apexmed/</t>
  </si>
  <si>
    <t>https://www.facebook.com/drtien.tantrangcobe103</t>
  </si>
  <si>
    <t>61575144252391</t>
  </si>
  <si>
    <t>via set ads</t>
  </si>
  <si>
    <t>https://www.facebook.com/profile.php?id=61575144252391</t>
  </si>
  <si>
    <t>100089455893790</t>
  </si>
  <si>
    <t>https://www.facebook.com/profile.php?id=100089455893790</t>
  </si>
  <si>
    <t>100085131549687</t>
  </si>
  <si>
    <t>https://www.facebook.com/profile.php?id=100085131549687</t>
  </si>
  <si>
    <t>100089212843600</t>
  </si>
  <si>
    <t>https://www.facebook.com/profile.php?id=100089212843600</t>
  </si>
  <si>
    <t>https://www.facebook.com/profile.php?id=61582889454685&amp;locale=vi_VN</t>
  </si>
  <si>
    <t>Quang Nguyên</t>
  </si>
  <si>
    <t>https://www.facebook.com/profile.php?id=61572368999279&amp;locale=vi_VN</t>
  </si>
  <si>
    <t>https://www.facebook.com/profile.php?id=61589769834525&amp;locale=vi_VN</t>
  </si>
  <si>
    <t>https://www.facebook.com/profile.php?id=61589186616873&amp;locale=vi_VN</t>
  </si>
  <si>
    <t>https://www.facebook.com/profile.php?id=61594800494484</t>
  </si>
  <si>
    <t>https://www.facebook.com/bacsitien.apexmed.Tantrangtieuevatoandien/</t>
  </si>
  <si>
    <t>100003841588182</t>
  </si>
  <si>
    <t>https://www.facebook.com/federico.valdezabadia/</t>
  </si>
  <si>
    <t>306029148150088</t>
  </si>
  <si>
    <t>tài khoản quảng cáo</t>
  </si>
  <si>
    <t>Nhà quảng cáo</t>
  </si>
  <si>
    <t>474987350925177</t>
  </si>
  <si>
    <t>KHAI BÁO TÀI NGUYÊN SỐ – BAN THIẾT KẾ</t>
  </si>
  <si>
    <t>9248821735192066</t>
  </si>
  <si>
    <t>1677414459762912</t>
  </si>
  <si>
    <t>301252641835819</t>
  </si>
  <si>
    <t>Magnific</t>
  </si>
  <si>
    <t>Tài khoản Magnific</t>
  </si>
  <si>
    <t>https://www.magnific.com/</t>
  </si>
  <si>
    <t>325789822808507</t>
  </si>
  <si>
    <t>455700209555221</t>
  </si>
  <si>
    <t>1312469570771780</t>
  </si>
  <si>
    <t>1672855350196786</t>
  </si>
  <si>
    <t>Được chia sẻ dùng chung</t>
  </si>
  <si>
    <t>930054070980885</t>
  </si>
  <si>
    <t>Mua ngoài</t>
  </si>
  <si>
    <t>TK AI phục vụ thiết kế</t>
  </si>
  <si>
    <t>được share từ tài khoản của Ngô Trọng Huy đăng ký</t>
  </si>
  <si>
    <t>669162060754338</t>
  </si>
  <si>
    <t>Webcake</t>
  </si>
  <si>
    <t>Tài khoản webcake</t>
  </si>
  <si>
    <t>https://webcake.io/</t>
  </si>
  <si>
    <t>290766043035073</t>
  </si>
  <si>
    <t>tpmediagtg@gmail.com</t>
  </si>
  <si>
    <t>Mai Tùng Long</t>
  </si>
  <si>
    <t>TK dựng và quản trị website</t>
  </si>
  <si>
    <t>1298668251591315</t>
  </si>
  <si>
    <t>CapCut</t>
  </si>
  <si>
    <t>Tài khoản Capcut</t>
  </si>
  <si>
    <t>https://www.capcut.com/my-cloud/7325701873405722626?enter_from=page_header&amp;from_page=work_space&amp;tab=all</t>
  </si>
  <si>
    <t>1158298491578793</t>
  </si>
  <si>
    <t>4940103522700201</t>
  </si>
  <si>
    <t>design.longsuhao@gmail.com</t>
  </si>
  <si>
    <t>Dựng video sinh nhật</t>
  </si>
  <si>
    <t>được team PR share tài khoản team cho sử dụng</t>
  </si>
  <si>
    <t>373037397830173</t>
  </si>
  <si>
    <t>Figma</t>
  </si>
  <si>
    <t>Tài khoản Figma Edu</t>
  </si>
  <si>
    <t>614014956496272</t>
  </si>
  <si>
    <t>http://figma.com/</t>
  </si>
  <si>
    <t>1252872479993584</t>
  </si>
  <si>
    <t>TK Website, TK menu online, TK Landing page, quản lý các menu trực tuyến hiện đã hết hạn nên không có chức năng làm việc nhóm và publish link web</t>
  </si>
  <si>
    <t>tài khoản cá nhân mua</t>
  </si>
  <si>
    <t>Adobe</t>
  </si>
  <si>
    <t>Tài khoản Adobe Full Apps</t>
  </si>
  <si>
    <t>https://www.adobe.com/</t>
  </si>
  <si>
    <t>2312831185572096</t>
  </si>
  <si>
    <t>Làm tất cả các cv của Media</t>
  </si>
  <si>
    <t>1077573086424438</t>
  </si>
  <si>
    <t>Sketchup</t>
  </si>
  <si>
    <t>Tài khoản Sketchup Pro</t>
  </si>
  <si>
    <t>https://sketchup.trimble.com/en/plans-and-pricing/sketchup-free?srsltid=AU7gw4WCNkWFgenwqy5I9xRXLmwp3M4kfrzNjjeWAVz8P_XsmzWGdyF3</t>
  </si>
  <si>
    <t>398429699330016</t>
  </si>
  <si>
    <t>979337367939724</t>
  </si>
  <si>
    <t>TK dựng 3d và làm kiến trúc</t>
  </si>
  <si>
    <t>qngpi3896@gmail.com</t>
  </si>
  <si>
    <t>Chatgpt</t>
  </si>
  <si>
    <t>Chủ tài khoản (Via/AI)</t>
  </si>
  <si>
    <t>gtgmedia.freepik@gmail.com</t>
  </si>
  <si>
    <t>Hồ Chí Nam</t>
  </si>
  <si>
    <t>được share từ tài khoản của Hồ Chí Nam đăng ký</t>
  </si>
  <si>
    <t>https://www.capcut.com/</t>
  </si>
  <si>
    <t>nmtang02@gmail.com</t>
  </si>
  <si>
    <t>Dựng video</t>
  </si>
  <si>
    <t>media004.26@gmail.com</t>
  </si>
  <si>
    <t>0337602259</t>
  </si>
  <si>
    <t>Làm Media cho công ty</t>
  </si>
  <si>
    <t>SĐT 2 bước: 0934546727
Mail khôi phục: hcns.gtg@gmail.com
SĐT khôi phục: 0386894526 (Phương Ly)
Nhân sự sử dụng: Mạnh Tăng / Thái Bảo</t>
  </si>
  <si>
    <t>987413660488639</t>
  </si>
  <si>
    <t>1984972729077134</t>
  </si>
  <si>
    <t xml:space="preserve">TK AI phục vụ thiết kế </t>
  </si>
  <si>
    <t>1495921985598132</t>
  </si>
  <si>
    <t>media002.26@gmail.com</t>
  </si>
  <si>
    <t>SĐT 2 bước: 0934546727
Mail khôi phục: hcns.gtg@gmail.com
SĐT khôi phục: 0934546727
Nhân sự sử dụng: Nguyễn Thị Trang / Kiều Trang</t>
  </si>
  <si>
    <t>4449588958664026</t>
  </si>
  <si>
    <t>trangdesign0403@gmail.com</t>
  </si>
  <si>
    <t>Nguyễn Thị Trang</t>
  </si>
  <si>
    <t>2156723278448283</t>
  </si>
  <si>
    <t>715901224938045</t>
  </si>
  <si>
    <t>976703574818930</t>
  </si>
  <si>
    <t>0963956336</t>
  </si>
  <si>
    <t>1331330779051258</t>
  </si>
  <si>
    <t>951236487511331</t>
  </si>
  <si>
    <t>media001.26@gmail.com</t>
  </si>
  <si>
    <t>0975573836</t>
  </si>
  <si>
    <t>SĐT 2 bước: 0934546727
Mail khôi phục: hcns.gtg@gmail.com
SĐT khôi phục: 0386894526 (Phương Ly)
Nhân sự sử dụng: Hoàng Hải / Minh Đức</t>
  </si>
  <si>
    <t>765562334327117</t>
  </si>
  <si>
    <t>1013377462576693</t>
  </si>
  <si>
    <t>264827642275664</t>
  </si>
  <si>
    <t>media005.26@gmail.com</t>
  </si>
  <si>
    <t>667954984336454</t>
  </si>
  <si>
    <t>SĐT 2 bước: 0934546727
Mail khôi phục: hcns.gtg@gmail.com
SĐT khôi phục: 0386894526 (Phương Ly)
Nhân sự sử dụng: Thúy Anh / Quý Hoàng</t>
  </si>
  <si>
    <t>1896075683909053</t>
  </si>
  <si>
    <t>1771231467617312</t>
  </si>
  <si>
    <t>2396481360778887</t>
  </si>
  <si>
    <t>media006.26@gmail.com</t>
  </si>
  <si>
    <t>1277953457779163</t>
  </si>
  <si>
    <t>2383492288838182</t>
  </si>
  <si>
    <t>1644169636695508</t>
  </si>
  <si>
    <t>936216455707259</t>
  </si>
  <si>
    <t>842328301674483</t>
  </si>
  <si>
    <t>993427390295302</t>
  </si>
  <si>
    <t>1342897044361786</t>
  </si>
  <si>
    <t>1748871503152054</t>
  </si>
  <si>
    <t>1671349624139898</t>
  </si>
  <si>
    <t>1362282789286137</t>
  </si>
  <si>
    <t>3075150186218527</t>
  </si>
  <si>
    <t>1692188108792231</t>
  </si>
  <si>
    <t>3190091027862994</t>
  </si>
  <si>
    <t>1272320171282261</t>
  </si>
  <si>
    <t>1981148082583113</t>
  </si>
  <si>
    <t>4521224554869137</t>
  </si>
  <si>
    <t>1040444155098932</t>
  </si>
  <si>
    <t>2184143572350136</t>
  </si>
  <si>
    <t>61594005624399</t>
  </si>
  <si>
    <t>Bùi Đức</t>
  </si>
  <si>
    <t>893709490378791</t>
  </si>
  <si>
    <t>Thành viên</t>
  </si>
  <si>
    <t>1528550945274922</t>
  </si>
  <si>
    <t>1007233328546945</t>
  </si>
  <si>
    <t>255900709994361</t>
  </si>
  <si>
    <t>643906930144525</t>
  </si>
  <si>
    <t>2483761658751177</t>
  </si>
  <si>
    <t>1880801102119711</t>
  </si>
  <si>
    <t>1292302393099935</t>
  </si>
  <si>
    <t>1673869220311164</t>
  </si>
  <si>
    <t>2989122741310682</t>
  </si>
  <si>
    <t>458611848980447</t>
  </si>
  <si>
    <t>603507060749563</t>
  </si>
  <si>
    <t>302127241868373</t>
  </si>
  <si>
    <t>1201540907040896</t>
  </si>
  <si>
    <t>2076672173200597</t>
  </si>
  <si>
    <t>1608429462852825</t>
  </si>
  <si>
    <t>632462691384065</t>
  </si>
  <si>
    <t>433488741847869</t>
  </si>
  <si>
    <t>333785041979094</t>
  </si>
  <si>
    <t>1698925651297955</t>
  </si>
  <si>
    <t>1842371175949919</t>
  </si>
  <si>
    <t>451829453087843</t>
  </si>
  <si>
    <t>646775883035281</t>
  </si>
  <si>
    <t>274527044748224</t>
  </si>
  <si>
    <t>3016005675268976</t>
  </si>
  <si>
    <t>1605135593881565</t>
  </si>
  <si>
    <t>1595067184942171</t>
  </si>
  <si>
    <t>887107297720638</t>
  </si>
  <si>
    <t>34995964776718540</t>
  </si>
  <si>
    <t>27522737250662185</t>
  </si>
  <si>
    <t>1385494839988207</t>
  </si>
  <si>
    <t>1303403161742707</t>
  </si>
  <si>
    <t>1392128426304791</t>
  </si>
  <si>
    <t>1261950842816465</t>
  </si>
  <si>
    <t>1394451259108073</t>
  </si>
  <si>
    <t>391287164072591</t>
  </si>
  <si>
    <t>https://www.facebook.com/bstien.thammyapexmed/</t>
  </si>
  <si>
    <t>793865087139476</t>
  </si>
  <si>
    <t>https://www.facebook.com/thammyapexmed.doingubsvutrongtien/</t>
  </si>
  <si>
    <t>414016991804760</t>
  </si>
  <si>
    <t>https://www.facebook.com/thammyapexmed.bstien/</t>
  </si>
  <si>
    <t>369480749574360</t>
  </si>
  <si>
    <t>https://www.facebook.com/thammyapexmed.doingubacsitien/</t>
  </si>
  <si>
    <t>100059494723806</t>
  </si>
  <si>
    <t>https://www.facebook.com/ieshajoy.jocson/</t>
  </si>
  <si>
    <t>Trần Hiệp</t>
  </si>
  <si>
    <t>Chatpage</t>
  </si>
  <si>
    <t>61553235446320</t>
  </si>
  <si>
    <t>https://www.facebook.com/profile.php?id=61553235446320</t>
  </si>
  <si>
    <t>61577258512724</t>
  </si>
  <si>
    <t xml:space="preserve">Via </t>
  </si>
  <si>
    <t>https://www.facebook.com/profile.php?id=61577258512724</t>
  </si>
  <si>
    <t>61577305803998</t>
  </si>
  <si>
    <t>https://www.facebook.com/profile.php?id=61577305803998</t>
  </si>
  <si>
    <t>2052415451607657</t>
  </si>
  <si>
    <t>https://www.facebook.com/hernan.mora.3192</t>
  </si>
  <si>
    <t>Phạm Giang Nam</t>
  </si>
  <si>
    <t>1962601701310977</t>
  </si>
  <si>
    <t>727740703734729</t>
  </si>
  <si>
    <t>1266925747051600</t>
  </si>
  <si>
    <t>625945281966205</t>
  </si>
  <si>
    <t>https://www.facebook.com/profile.php?id=61577285782640</t>
  </si>
  <si>
    <t>2161533163995088</t>
  </si>
  <si>
    <t>614876769789340</t>
  </si>
  <si>
    <t>657489832057139</t>
  </si>
  <si>
    <t>1252282038611669</t>
  </si>
  <si>
    <t>621859808895622</t>
  </si>
  <si>
    <t>2132608167519751</t>
  </si>
  <si>
    <t>1337044741725473</t>
  </si>
  <si>
    <t>983731997452501</t>
  </si>
  <si>
    <t>1634810254463319</t>
  </si>
  <si>
    <t>646490679877386</t>
  </si>
  <si>
    <t>26814076504953079</t>
  </si>
  <si>
    <t>2. SỐ LƯỢNG TÀI NGUYÊN THEO BAN</t>
  </si>
  <si>
    <t>Tổng khai báo</t>
  </si>
  <si>
    <t>Tỉ lệ bàn giao</t>
  </si>
  <si>
    <t>Ở người đã nghỉ việc</t>
  </si>
  <si>
    <t>Người chưa có trong DS</t>
  </si>
  <si>
    <t>Biên Tập</t>
  </si>
  <si>
    <t>Thiết Kế</t>
  </si>
  <si>
    <t>PR Thương Hiệu</t>
  </si>
  <si>
    <t>TỔNG CỘNG</t>
  </si>
  <si>
    <t>3. TRẠNG THÁI TÀI NGUYÊN THEO THÁNG – chọn tháng:</t>
  </si>
  <si>
    <t>Hoạt động</t>
  </si>
  <si>
    <t>Hạn chế</t>
  </si>
  <si>
    <t>Checkpoint</t>
  </si>
  <si>
    <t>Die / Mất</t>
  </si>
  <si>
    <t>Đã thu hồi</t>
  </si>
  <si>
    <t>Ngừng dùng</t>
  </si>
  <si>
    <t>Chưa rà soát</t>
  </si>
  <si>
    <t>KHAI BÁO TÀI NGUYÊN SỐ – BAN MEDIA DỰNG</t>
  </si>
  <si>
    <t>4. NHÂN VIÊN THEO BAN VÀ TRẠNG THÁI</t>
  </si>
  <si>
    <t>Tổng người</t>
  </si>
  <si>
    <t>Tạm nghỉ</t>
  </si>
  <si>
    <t>Chuyển ban</t>
  </si>
  <si>
    <t>Đã nghỉ việc</t>
  </si>
  <si>
    <t>Nghỉ/chuyển ban mà còn giữ tài sản</t>
  </si>
  <si>
    <t>fghdgghfgh</t>
  </si>
  <si>
    <t>hgg</t>
  </si>
  <si>
    <t>0868856689</t>
  </si>
  <si>
    <t xml:space="preserve">bsvutrongtien
</t>
  </si>
  <si>
    <t>https://www.tiktok.com/@bsvutrongtien</t>
  </si>
  <si>
    <t>0329684073</t>
  </si>
  <si>
    <t>gtgtong666@gmail.com</t>
  </si>
  <si>
    <t>Đào Đình Dương</t>
  </si>
  <si>
    <t>Chạy ADS</t>
  </si>
  <si>
    <t>61575398767478</t>
  </si>
  <si>
    <t>https://www.facebook.com/profile.php?id=61575398767478</t>
  </si>
  <si>
    <t>media003.26@gmail.com</t>
  </si>
  <si>
    <t>SĐT 2 bước: 0934546727
Mail khôi phục: hcns.gtg@gmail.com
SĐT khôi phục: 0386894526 (Phương Ly)
Nhân sự sử dụng: Mai Tùng Long</t>
  </si>
  <si>
    <t>61577564032850</t>
  </si>
  <si>
    <t>https://www.facebook.com/profile.php?id=61577564032850&amp;locale=vi_VN</t>
  </si>
  <si>
    <t>262818095936847</t>
  </si>
  <si>
    <t>1297004784098810</t>
  </si>
  <si>
    <t>902729310408559</t>
  </si>
  <si>
    <t>0979436606</t>
  </si>
  <si>
    <t>SĐT 2 bước: 0934546727
Mail khôi phục: hcns.gtg@gmail.com
SĐT khôi phục: 0386894526 (Phương Ly)
Nhân sự sử dụng: Hồ Chí Nam</t>
  </si>
  <si>
    <t>102710635909644</t>
  </si>
  <si>
    <t>Tài khoản Adobe Photoshop</t>
  </si>
  <si>
    <t>https://www.facebook.com/thammyapexmed.vn/</t>
  </si>
  <si>
    <t>media008.26@gmail.com</t>
  </si>
  <si>
    <t>0976230075</t>
  </si>
  <si>
    <t xml:space="preserve">SĐT 2 bước: 0934546727
Mail khôi phục: hcns.gtg@gmail.com
SĐT khôi phục: 0386894526 (Phương Ly)
Nhân sự sử dụng: </t>
  </si>
  <si>
    <t>100936886089281</t>
  </si>
  <si>
    <t>https://www.facebook.com/thammyapexmed.com.vn/</t>
  </si>
  <si>
    <t>media009.26@gmail.com</t>
  </si>
  <si>
    <t>0983491001</t>
  </si>
  <si>
    <t>SĐT 2 bước: 0934546727
Mail khôi phục: hcns.gtg@gmail.com
SĐT khôi phục: 0386894526 (Phương Ly)
Nhân sự sử dụng: Xuân Trường / Tạ Văn Hùng</t>
  </si>
  <si>
    <t>Tài khoản Adobe Premiere Pro</t>
  </si>
  <si>
    <t>244671328737241</t>
  </si>
  <si>
    <t>https://www.facebook.com/bacsitien.apexmed.tieueva/?locale=vi_VN</t>
  </si>
  <si>
    <t>media010.26@gmail.com</t>
  </si>
  <si>
    <t>0394886407</t>
  </si>
  <si>
    <t>SĐT 2 bước: 0934546727
Mail khôi phục: hcns.gtg@gmail.com
SĐT khôi phục: 0386894526 (Phương Ly)
Nhân sự sử dụng:</t>
  </si>
  <si>
    <t>1127676680422030</t>
  </si>
  <si>
    <t>https://www.facebook.com/thammyapexmed.bacsytien?locale=vi_VN</t>
  </si>
  <si>
    <t>Gmail</t>
  </si>
  <si>
    <t>1124788264050519</t>
  </si>
  <si>
    <t>Tài khoản Gmail</t>
  </si>
  <si>
    <t>https://www.facebook.com/profile.php?id=61567594395943&amp;locale=vi_VN</t>
  </si>
  <si>
    <t>Đăng ký Adobe</t>
  </si>
  <si>
    <t>102244245851456</t>
  </si>
  <si>
    <t>https://www.facebook.com/profile.php?id=100083579491796</t>
  </si>
  <si>
    <t>1439128174649087</t>
  </si>
  <si>
    <t>627493355187197</t>
  </si>
  <si>
    <t>3162001184070209</t>
  </si>
  <si>
    <t>4948210388551778</t>
  </si>
  <si>
    <t>2060220357891277</t>
  </si>
  <si>
    <t>722664525786836</t>
  </si>
  <si>
    <t>tantrangcobe.b.s.tien</t>
  </si>
  <si>
    <t>https://www.tiktok.com/@tantrangcobe.b.s.tien</t>
  </si>
  <si>
    <t>100005481271617</t>
  </si>
  <si>
    <t>VIA</t>
  </si>
  <si>
    <t>https://www.facebook.com/profile.php?id=100005481271617</t>
  </si>
  <si>
    <t>ADS-306</t>
  </si>
  <si>
    <t>HỒ Quỳnh</t>
  </si>
  <si>
    <t>https://www.facebook.com/profile.php?id=61577376150419</t>
  </si>
  <si>
    <t>Đăng ký Magnific</t>
  </si>
  <si>
    <t>Nguyễn Mạnh Ngọc</t>
  </si>
  <si>
    <t>ADS-307</t>
  </si>
  <si>
    <t>Pham Hung</t>
  </si>
  <si>
    <t>https://www.facebook.com/profile.php?id=61577035067917</t>
  </si>
  <si>
    <t>KHAI BÁO TÀI NGUYÊN SỐ – BAN PR THƯƠNG HIỆU</t>
  </si>
  <si>
    <t>ADS-308</t>
  </si>
  <si>
    <t>Đặng Khôi</t>
  </si>
  <si>
    <t>https://www.facebook.com/profile.php?id=61577396309455</t>
  </si>
  <si>
    <t>ADS-309</t>
  </si>
  <si>
    <t>61577720900078</t>
  </si>
  <si>
    <t>Đỗ Nguyen</t>
  </si>
  <si>
    <t>https://www.facebook.com/profile.php?id=61577720900078</t>
  </si>
  <si>
    <t>ADS-310</t>
  </si>
  <si>
    <t>407868991116132</t>
  </si>
  <si>
    <t>ADS-311</t>
  </si>
  <si>
    <t>968548820724489</t>
  </si>
  <si>
    <t>ADS-312</t>
  </si>
  <si>
    <t>2018908298996185</t>
  </si>
  <si>
    <t>ADS-313</t>
  </si>
  <si>
    <t>101663832681843</t>
  </si>
  <si>
    <t xml:space="preserve">
Đội Ngũ Tiến Sĩ Vũ Trọng Tiến - Apexmed - Thẩm Mỹ Tiểu Eva Toàn Diện</t>
  </si>
  <si>
    <t>https://www.facebook.com/profile.php?id=100084936618273</t>
  </si>
  <si>
    <t>100093582582280</t>
  </si>
  <si>
    <t>Page Dr Tiến - Tân Trang Cô Bé</t>
  </si>
  <si>
    <t>https://www.facebook.com/DrTienVien103?locale=vi_VN</t>
  </si>
  <si>
    <t>ADS-314</t>
  </si>
  <si>
    <t xml:space="preserve">
Đội Ngũ Tiến Sĩ Vũ Trọng Tiến - Apexmed - Thẩm Mỹ Cô Bé Toàn Diện</t>
  </si>
  <si>
    <t>https://www.facebook.com/profile.php?id=61584908931896</t>
  </si>
  <si>
    <t>Biên tập viên</t>
  </si>
  <si>
    <t>Không rõ</t>
  </si>
  <si>
    <t>đăng bài + chat page</t>
  </si>
  <si>
    <t>ADS-315</t>
  </si>
  <si>
    <t>101355486189979</t>
  </si>
  <si>
    <t xml:space="preserve">
Đội Ngũ Bác Sĩ Vũ Trọng Tiến - Phòng Khám Apexmed - Thẩm Mỹ Cô Bé</t>
  </si>
  <si>
    <t>https://www.facebook.com/profile.php?id=100089118917302</t>
  </si>
  <si>
    <t>100093071967592</t>
  </si>
  <si>
    <t xml:space="preserve">BS. Tiến Sĩ Vũ Trọng Tiến
</t>
  </si>
  <si>
    <t>https://www.facebook.com/TIENSI.VUTRONGTIEN/</t>
  </si>
  <si>
    <t>Kiểm duyệt viên</t>
  </si>
  <si>
    <t>ADS-316</t>
  </si>
  <si>
    <t>1713832273371355</t>
  </si>
  <si>
    <t>4016174882008678</t>
  </si>
  <si>
    <t>Tâm Sự Thẩm Mỹ Vùng Kín - Bác Sĩ Có Tâm</t>
  </si>
  <si>
    <t>https://www.facebook.com/groups/4016174882008678</t>
  </si>
  <si>
    <t>đăng bài + seeding</t>
  </si>
  <si>
    <t>802880046234528</t>
  </si>
  <si>
    <t>Tân Trang Tiểu Eva - Tiến Sĩ.BS. Vũ Trọng Tiến</t>
  </si>
  <si>
    <t>https://www.facebook.com/profile.php?id=61579953505401</t>
  </si>
  <si>
    <t>1098149724956406</t>
  </si>
  <si>
    <t>THẨM MỸ VÙNG KÍN - CHIA SẺ KINH NGHIỆM</t>
  </si>
  <si>
    <t>https://www.facebook.com/groups/1098149724956406</t>
  </si>
  <si>
    <t>145283995338312</t>
  </si>
  <si>
    <t xml:space="preserve">Đại Tá Tiến Sĩ/BS Vũ Trọng Tiến - Chuyên Thẩm Mỹ Vùng Kín
</t>
  </si>
  <si>
    <t>https://www.facebook.com/profile.php?id=61552426487974</t>
  </si>
  <si>
    <t>1094049093785623</t>
  </si>
  <si>
    <t>Đại Tá Tiến Sĩ/BS Vũ Trọng Tiến-Tân Trang Cô Bé</t>
  </si>
  <si>
    <t>https://www.facebook.com/profile.php?id=61573251691034</t>
  </si>
  <si>
    <t>608585069532791</t>
  </si>
  <si>
    <t xml:space="preserve">CHIA SẺ KINH NGHIỆM THẨM MỸ VÙNG KÍN </t>
  </si>
  <si>
    <t>https://www.facebook.com/groups/608585069532791</t>
  </si>
  <si>
    <t>112611701862246</t>
  </si>
  <si>
    <t>BS. Tiến - Thẩm Mỹ Cô Bé An Toàn Chuẩn Y Khoa</t>
  </si>
  <si>
    <t>https://www.facebook.com/troly.bacsi.vutrongtien</t>
  </si>
  <si>
    <t>625164067356924</t>
  </si>
  <si>
    <t>Thẩm Mỹ Cô Bé - Đội Ngũ. Tiến Sĩ. Vũ Trọng Tiến - Phòng Khám Apexmed</t>
  </si>
  <si>
    <t>6550407141679776</t>
  </si>
  <si>
    <t>REVIEW THẨM MỸ VÙNG KÍN - TẠO HÌNH CÔ BÉ</t>
  </si>
  <si>
    <t>https://www.facebook.com/profile.php?id=61577910396187</t>
  </si>
  <si>
    <t>https://www.facebook.com/groups/6550407141679776</t>
  </si>
  <si>
    <t>799822579873715</t>
  </si>
  <si>
    <t>B.s Vũ Trọng Tiến - Thẩm Mỹ Cô Bé Toàn Diện</t>
  </si>
  <si>
    <t>https://www.facebook.com/profile.php?id=61579624720392</t>
  </si>
  <si>
    <t>443897823755710</t>
  </si>
  <si>
    <t>APEXMED – Nghiện Làm Đẹp &amp; Thẩm Mỹ</t>
  </si>
  <si>
    <t>https://www.facebook.com/groups/443897823755710</t>
  </si>
  <si>
    <t>108514631984334</t>
  </si>
  <si>
    <t>Đội Ngũ Bác Sĩ Vũ Trọng Tiến - Apexmed - Thẩm Mỹ Tiểu Eva</t>
  </si>
  <si>
    <t>https://www.facebook.com/profile.php?id=100084770215448</t>
  </si>
  <si>
    <t>531411745613668</t>
  </si>
  <si>
    <t>Tâm Sự EVA - Thẩm Mỹ Vùng Kín</t>
  </si>
  <si>
    <t>https://www.facebook.com/groups/531411745613668</t>
  </si>
  <si>
    <t>108742255294441</t>
  </si>
  <si>
    <t>Đội Ngũ Bác Sĩ Vũ Trọng Tiến - Apexmed - Tân Trang Tiểu Eva</t>
  </si>
  <si>
    <t>https://www.facebook.com/profile.php?id=100084935148246</t>
  </si>
  <si>
    <t>284783797619080</t>
  </si>
  <si>
    <t>Chia sẻ Kinh nghiệm Thẩm mỹ Vùng kín từ A-Z</t>
  </si>
  <si>
    <t>https://www.facebook.com/groups/284783797619080</t>
  </si>
  <si>
    <t>Vũ Hằng</t>
  </si>
  <si>
    <t>https://www.facebook.com/profile.php?id=61576837544492</t>
  </si>
  <si>
    <t>vggsbbnub3099@hotmail.com</t>
  </si>
  <si>
    <t>Đỗ Sơn Tùng</t>
  </si>
  <si>
    <t>61577029485197</t>
  </si>
  <si>
    <t>Huỳnh Lê</t>
  </si>
  <si>
    <t>https://www.facebook.com/profile.php?id=61577029485197</t>
  </si>
  <si>
    <t>824499352169302</t>
  </si>
  <si>
    <t>KINH NGHIỆM PTTT CÔ BÉ ( PHỐT TMV, BS KHÔNG CÓ TÂM )</t>
  </si>
  <si>
    <t>https://www.facebook.com/groups/824499352169302</t>
  </si>
  <si>
    <t>SernasLevanger4771@outlook.com</t>
  </si>
  <si>
    <t>Dương An</t>
  </si>
  <si>
    <t>https://www.facebook.com/profile.php?id=61577229208159</t>
  </si>
  <si>
    <t>qiicczopmr835@hotmail.com</t>
  </si>
  <si>
    <t>695743015705652</t>
  </si>
  <si>
    <t>REVIEW CHIA SẺ KINH NGHIỆM THẨM MỸ VÙNG KÍN - THU HẸP CÔ BÉ</t>
  </si>
  <si>
    <t>https://www.facebook.com/groups/695743015705652</t>
  </si>
  <si>
    <t>4337245489714837</t>
  </si>
  <si>
    <t>[COREMIND] (XH-SG-VAT) TK6 - SƠN TÙNG - CTY TNHH COREMIND GROUP</t>
  </si>
  <si>
    <t>482814113071233</t>
  </si>
  <si>
    <t>Review Thẩm mỹ APEXMED – Đẹp Thật, Nói Thật</t>
  </si>
  <si>
    <t>https://www.facebook.com/groups/nhomkhachhangthepyo</t>
  </si>
  <si>
    <t>1190105244858146</t>
  </si>
  <si>
    <t>[COREMIND] (XH-SG-VAT) TK7 - SƠN TÙNG - CTY TNHH COREMIND GROUP</t>
  </si>
  <si>
    <t>1997133120467602</t>
  </si>
  <si>
    <t>[COREMIND] (XH-SG-VAT)TK1 - SƠN TÙNG - COREMIND GROUP</t>
  </si>
  <si>
    <t>776125762224045</t>
  </si>
  <si>
    <t>HỘI REVIEW LÀM ĐẸP - THẨM MỸ CÔ BÉ</t>
  </si>
  <si>
    <t>https://www.facebook.com/groups/776125762224045</t>
  </si>
  <si>
    <t>477773070387780</t>
  </si>
  <si>
    <t>[COREMIND] (XH-SG-VAT)TK2 - SƠN TÙNG - COREMIND GROUP</t>
  </si>
  <si>
    <t>934946553812169</t>
  </si>
  <si>
    <t>[COREMIND] (XH-SG-VAT)TK3 - SƠN TÙNG - COREMIND GROUP</t>
  </si>
  <si>
    <t>3200493513606706</t>
  </si>
  <si>
    <t>[COREMIND] (XH-SG-VAT)TK4 - SƠN TÙNG - COREMIND GROUP</t>
  </si>
  <si>
    <t>https://www.facebook.com/TIENSI.VUTRONGTIEN</t>
  </si>
  <si>
    <t>513807076616248</t>
  </si>
  <si>
    <t>[COREMIND] (XH-SG-VAT)TK5 - SƠN TÙNG - COREMIND GROUP</t>
  </si>
  <si>
    <t>1078554061509610</t>
  </si>
  <si>
    <t>chat page</t>
  </si>
  <si>
    <t>TK CÔNG TY GPI - 1 - SƠN TÙNG</t>
  </si>
  <si>
    <t>933020763045330</t>
  </si>
  <si>
    <t>TK CÔNG TY GPI - 2 - SƠN TÙNG</t>
  </si>
  <si>
    <t>1722092492110074</t>
  </si>
  <si>
    <t>Hội Nghiện Chồng Việt Nam</t>
  </si>
  <si>
    <t>https://www.facebook.com/groups/1722092492110074</t>
  </si>
  <si>
    <t>1441251647197685</t>
  </si>
  <si>
    <t>TK CÔNG TY GPI - 3 - SƠN TÙNG</t>
  </si>
  <si>
    <t>2063033900953778</t>
  </si>
  <si>
    <t>TK CÔNG TY GPI - 4 - SƠN TÙNG</t>
  </si>
  <si>
    <t>61589580962520</t>
  </si>
  <si>
    <t>Bác sĩ David Bùi - Thẩm Mỹ Vùng Kín</t>
  </si>
  <si>
    <t>https://www.facebook.com/BacsiDavidBuichuanykhoa/</t>
  </si>
  <si>
    <t>Đăng bài</t>
  </si>
  <si>
    <t>61575809771897</t>
  </si>
  <si>
    <t xml:space="preserve">Bác Sĩ Vũ Trọng Tiến - Gỡ Rối Chăn Gối
</t>
  </si>
  <si>
    <t>https://www.facebook.com/Tamsucungbsvutrongtien.apexmed</t>
  </si>
  <si>
    <t>1044919422044302</t>
  </si>
  <si>
    <t xml:space="preserve">
Thẩm Mỹ Cô Bé Apexmed- Đội Ngũ Tiến Sĩ/ Bác Sĩ Vũ Trọng Tiến
Bác sĩ</t>
  </si>
  <si>
    <t xml:space="preserve">carladelosriosx3@hotmail.com
</t>
  </si>
  <si>
    <t>SG</t>
  </si>
  <si>
    <t>938568356885577</t>
  </si>
  <si>
    <t>APEXMED – Cộng đồng Làm đẹp Chuẩn Y khoa</t>
  </si>
  <si>
    <t>https://www.facebook.com/groups/938568356885577</t>
  </si>
  <si>
    <t>620768347797037</t>
  </si>
  <si>
    <t>Đội ngũ Bác sĩ Vũ Trọng Tiến - Phòng khám Apexmed</t>
  </si>
  <si>
    <t>kennypham2209@gmail.com</t>
  </si>
  <si>
    <t>1072627832604288</t>
  </si>
  <si>
    <t xml:space="preserve">Đội ngũ TS.BS Vũ Trọng Tiến - Phòng khám Apexmed - Tân Trang Cô Bé
</t>
  </si>
  <si>
    <t>839030662630376</t>
  </si>
  <si>
    <t xml:space="preserve">Đội ngũ TS.BS Vũ Trọng Tiến - Phòng khám Apexmed - Thẩm mỹ cô bé
</t>
  </si>
  <si>
    <t>HN</t>
  </si>
  <si>
    <t>561278448430056</t>
  </si>
  <si>
    <t>APEXMED - Hỏi Đáp Kinh Nghiệm Làm Đẹp</t>
  </si>
  <si>
    <t>623831854156301</t>
  </si>
  <si>
    <t>https://www.facebook.com/groups/phanhoikhachhangthepyo</t>
  </si>
  <si>
    <t xml:space="preserve">Đội ngũ Thẩm mỹ cô bé Dr Vũ Trọng Tiến - Phòng khám Apexmed
</t>
  </si>
  <si>
    <t>1048336481702033</t>
  </si>
  <si>
    <t xml:space="preserve">Đội ngũ TS.BS Vũ Trọng Tiến - Apexmed
</t>
  </si>
  <si>
    <t>61551384424410</t>
  </si>
  <si>
    <t>Phòng khám thẩm mỹ Apexmed</t>
  </si>
  <si>
    <t>https://www.facebook.com/thammyApexmed/</t>
  </si>
  <si>
    <t xml:space="preserve">Đăng bài + chat page </t>
  </si>
  <si>
    <t>PR-024</t>
  </si>
  <si>
    <t>100085110529221</t>
  </si>
  <si>
    <t>Phòng Khám Thẩm Mỹ Apexmed - Kiến Tạo Vẻ Đẹp Chuẩn Y Khoa</t>
  </si>
  <si>
    <t>https://www.facebook.com/phongkhamthammyApexmed</t>
  </si>
  <si>
    <t>PR-025</t>
  </si>
  <si>
    <t>100085218763055</t>
  </si>
  <si>
    <t>Thẩm Mỹ Apexmed</t>
  </si>
  <si>
    <t>https://www.facebook.com/pktmApexmed</t>
  </si>
  <si>
    <t>PR-026</t>
  </si>
  <si>
    <t>61583054334301</t>
  </si>
  <si>
    <t>Bác Sĩ David Bùi - Hiểu Để Hạnh Phúc</t>
  </si>
  <si>
    <t>https://www.facebook.com/BacsiDavidBui.Apexmed</t>
  </si>
  <si>
    <t>61582526559547</t>
  </si>
  <si>
    <t>Bác Sĩ David Bùi - Cơ Thể Kể Chuyện</t>
  </si>
  <si>
    <t>https://www.facebook.com/BsDavidBui.Apexmed</t>
  </si>
  <si>
    <t>61591465536394</t>
  </si>
  <si>
    <t>Bác sĩ Minh Tâm - Sản Phụ Khoa</t>
  </si>
  <si>
    <t>https://www.facebook.com/Bacsisanphukhoa.Apexmed</t>
  </si>
  <si>
    <t xml:space="preserve">đăng bài </t>
  </si>
  <si>
    <t>7512727103999345671</t>
  </si>
  <si>
    <t>Bác Tiến 1</t>
  </si>
  <si>
    <t>https://www.tiktok.com/@drvutrongtien.apexmed</t>
  </si>
  <si>
    <t>Drvutrongtien@outlook.com</t>
  </si>
  <si>
    <t xml:space="preserve">0812969495 </t>
  </si>
  <si>
    <t>7496344490505864197</t>
  </si>
  <si>
    <t>Bác Tiến 2</t>
  </si>
  <si>
    <r>
      <rPr>
        <rFont val="Arial"/>
        <color rgb="FF1155CC"/>
        <sz val="10.0"/>
        <u/>
      </rPr>
      <t>https://www.tiktok.com/@drvutrongtien</t>
    </r>
    <r>
      <rPr>
        <rFont val="Arial"/>
        <sz val="10.0"/>
      </rPr>
      <t xml:space="preserve"> </t>
    </r>
  </si>
  <si>
    <t>Drvutrongtien@gmail.com</t>
  </si>
  <si>
    <t>0332289932</t>
  </si>
  <si>
    <t>7639939804540617745</t>
  </si>
  <si>
    <t>Bác Tiến 3</t>
  </si>
  <si>
    <r>
      <rPr>
        <rFont val="Arial"/>
        <color rgb="FF1155CC"/>
        <sz val="10.0"/>
        <u/>
      </rPr>
      <t>https://www.tiktok.com/@vutrongtien.trending</t>
    </r>
    <r>
      <rPr>
        <rFont val="Arial"/>
        <sz val="10.0"/>
      </rPr>
      <t xml:space="preserve"> </t>
    </r>
  </si>
  <si>
    <t xml:space="preserve">drvutrongtiencapcut@gmail.com </t>
  </si>
  <si>
    <t>CHƯA CÓ</t>
  </si>
  <si>
    <t>https://www.facebook.com/tsbs.vutrongtien.tantrangtieueva</t>
  </si>
  <si>
    <t>7555766175021270017</t>
  </si>
  <si>
    <t>David 1</t>
  </si>
  <si>
    <r>
      <rPr>
        <rFont val="Arial"/>
        <color rgb="FF1155CC"/>
        <sz val="10.0"/>
        <u/>
      </rPr>
      <t>https://www.tiktok.com/@drdavidbui</t>
    </r>
    <r>
      <rPr>
        <rFont val="Arial"/>
        <sz val="10.0"/>
      </rPr>
      <t xml:space="preserve"> </t>
    </r>
  </si>
  <si>
    <t>Media06.gtg@gmail.com</t>
  </si>
  <si>
    <t>0364934907</t>
  </si>
  <si>
    <t>https://www.facebook.com/bstientm</t>
  </si>
  <si>
    <t>7561291141216306183</t>
  </si>
  <si>
    <t>David 2</t>
  </si>
  <si>
    <r>
      <rPr>
        <rFont val="Arial"/>
        <color rgb="FF1155CC"/>
        <sz val="10.0"/>
        <u/>
      </rPr>
      <t>https://www.tiktok.com/@bacsidavidbui</t>
    </r>
    <r>
      <rPr>
        <rFont val="Arial"/>
        <sz val="10.0"/>
      </rPr>
      <t xml:space="preserve"> </t>
    </r>
  </si>
  <si>
    <t>https://www.facebook.com/thammytieueva.bacsivutrongtien</t>
  </si>
  <si>
    <t>Bacsidavidbui@gmail.com</t>
  </si>
  <si>
    <t>0375340227</t>
  </si>
  <si>
    <t>https://www.facebook.com/dr.tien.hoixuancobe</t>
  </si>
  <si>
    <t>7582109699341239297</t>
  </si>
  <si>
    <t>David 3</t>
  </si>
  <si>
    <t>https://www.tiktok.com/@bacsidavidbui.tiktok</t>
  </si>
  <si>
    <t>https://www.facebook.com/thammycobe.bs.vutrongtien</t>
  </si>
  <si>
    <t>davidbuicapcut@gmail.com</t>
  </si>
  <si>
    <t>0368124533</t>
  </si>
  <si>
    <t>7598780735713346581</t>
  </si>
  <si>
    <t xml:space="preserve">Cô Tâm </t>
  </si>
  <si>
    <t>https://www.tiktok.com/@bsminhtam.sanphukhoa</t>
  </si>
  <si>
    <t>https://www.facebook.com/profile.php?id=61583001544513</t>
  </si>
  <si>
    <t>bacsiminhtam1@gmail.com</t>
  </si>
  <si>
    <t>https://www.facebook.com/tiensi.bacsi.tien.apexmed</t>
  </si>
  <si>
    <t>Youtube</t>
  </si>
  <si>
    <t>UCvwmsDEIgLlCNymFZqCrbXg</t>
  </si>
  <si>
    <t xml:space="preserve">Bác Tiến </t>
  </si>
  <si>
    <t>https://www.youtube.com/@bacsivutrongtien</t>
  </si>
  <si>
    <t>https://www.facebook.com/thammytieueva.tiensi.vutrongtien</t>
  </si>
  <si>
    <t>https://www.facebook.com/TanTrangTieuEvaDrTien</t>
  </si>
  <si>
    <t>UCgbCXEJZ86SwwvAGEjih3AA</t>
  </si>
  <si>
    <t xml:space="preserve">David </t>
  </si>
  <si>
    <t>https://www.youtube.com/@bacsidavidbui</t>
  </si>
  <si>
    <t>1321606653038584</t>
  </si>
  <si>
    <t>[COREMIND] (XH-SG-VAT)TK 24 - MINH KHAI - CTY TNHH COREMIND GROUP</t>
  </si>
  <si>
    <t>305212941650033</t>
  </si>
  <si>
    <t>[COREMIND] (XH-SG-VAT)TK1 - MINH KHAI - CTY TNHH COREMIND GROUP</t>
  </si>
  <si>
    <t>1541760532874504</t>
  </si>
  <si>
    <t>[COREMIND] (XH-SG-VAT)TK2 - MINH KHAI - CTY TNHH COREMIND GROUP</t>
  </si>
  <si>
    <t>UCA8kUYHaGB1Ht2Z2rt79HDg</t>
  </si>
  <si>
    <t>457376746092325</t>
  </si>
  <si>
    <t>[COREMIND] (XH-SG-VAT)TK3 - MINH KHAI - CTY TNHH COREMIND GROUP</t>
  </si>
  <si>
    <t>https://www.youtube.com/@Bacsiminhtam.sanphukhoa</t>
  </si>
  <si>
    <t>714818963256810</t>
  </si>
  <si>
    <t>[COREMIND] (XH-SG-VAT)TK4 - MINH KHAI - CTY TNHH COREMIND GROUP</t>
  </si>
  <si>
    <t>1086256013676933</t>
  </si>
  <si>
    <t>[GPI] (XH-SG-VAT)TK 23 - MINH KHAI - CTY TNHH GPI</t>
  </si>
  <si>
    <t>1042932687377593</t>
  </si>
  <si>
    <t>[GPI] (XH-SG-VAT)TK 25 - MINH KHAI - CTY TNHH GPI</t>
  </si>
  <si>
    <t>7662661659426538513</t>
  </si>
  <si>
    <t xml:space="preserve">Apexmed </t>
  </si>
  <si>
    <t>https://www.tiktok.com/@phongkhamthammy.apexmed</t>
  </si>
  <si>
    <t>9665390460196877</t>
  </si>
  <si>
    <t>[COREMIND] (XH-SG-VAT)(+8) TK6 - MINH KHAI - COREMIND GROUP</t>
  </si>
  <si>
    <t>pr.apexmed@gmail.com</t>
  </si>
  <si>
    <t>0332089932</t>
  </si>
  <si>
    <t>303192015184489</t>
  </si>
  <si>
    <t>XH - HN - VAT - GPI - TRỌNG HUY 1</t>
  </si>
  <si>
    <t>UCwdkQMEg0BqgXzkDg_gNFXw</t>
  </si>
  <si>
    <t>Apexmed</t>
  </si>
  <si>
    <t>https://www.youtube.com/@phongkhamthammyapexmed</t>
  </si>
  <si>
    <t>339458884516168</t>
  </si>
  <si>
    <t>XH - HN - VAT - GPI - TRỌNG HUY 2</t>
  </si>
  <si>
    <t>337874414806977</t>
  </si>
  <si>
    <t>XH - HN - VAT - GPI - TRỌNG HUY 3</t>
  </si>
  <si>
    <t>1060459834529558</t>
  </si>
  <si>
    <t>XH - HN - VAT - GPI - TRỌNG HUY 4</t>
  </si>
  <si>
    <t>TK Capcut</t>
  </si>
  <si>
    <t>1918523308331619</t>
  </si>
  <si>
    <t>XH - HN - VAT - GPI - TRỌNG HUY 5</t>
  </si>
  <si>
    <t>capcutpyosg.gtg@gmail.com</t>
  </si>
  <si>
    <t>1557476222485073</t>
  </si>
  <si>
    <t>TK CÔNG TY GPI - 4 - HUY</t>
  </si>
  <si>
    <t>PR-043</t>
  </si>
  <si>
    <t>61591732420566</t>
  </si>
  <si>
    <t>https://www.facebook.com/profile.php?id=61591732420566</t>
  </si>
  <si>
    <t>4417096461871224</t>
  </si>
  <si>
    <t>TK 8 - MINH KHAI HN - CTY TNHH GPI</t>
  </si>
  <si>
    <t>1663941287353701</t>
  </si>
  <si>
    <t>TK HN 20 - MINH KHAI - CTY TNHH GPI</t>
  </si>
  <si>
    <t>0865606875</t>
  </si>
  <si>
    <t>đăng bài</t>
  </si>
  <si>
    <t>591268866545069</t>
  </si>
  <si>
    <t>BM - TEAM SG</t>
  </si>
  <si>
    <t>PR-044</t>
  </si>
  <si>
    <t>100069127330255</t>
  </si>
  <si>
    <t xml:space="preserve">Apexmed 162k </t>
  </si>
  <si>
    <t>https://www.facebook.com/profile.php?id=100069127330255</t>
  </si>
  <si>
    <t>100075845021396</t>
  </si>
  <si>
    <t>Lê Hiếu</t>
  </si>
  <si>
    <t>Huỳnh Thoa</t>
  </si>
  <si>
    <t>Thu Thảo Nguyễn</t>
  </si>
  <si>
    <t>Hồ Linh</t>
  </si>
  <si>
    <t>Bàn giao</t>
  </si>
  <si>
    <t>Không</t>
  </si>
  <si>
    <t>Đang bàn giao</t>
  </si>
  <si>
    <t>Thuê</t>
  </si>
  <si>
    <t>Phân tích</t>
  </si>
  <si>
    <t>Người được bàn giao</t>
  </si>
  <si>
    <t>Khớp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</si>
</sst>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5">
    <font>
      <sz val="11.0"/>
      <color theme="1"/>
      <name val="Calibri"/>
      <scheme val="minor"/>
    </font>
    <font>
      <b/>
      <sz val="14.0"/>
      <color rgb="FF132863"/>
      <name val="Arial"/>
    </font>
    <font>
      <i/>
      <sz val="11.0"/>
      <color rgb="FF7F7F7F"/>
      <name val="Arial"/>
    </font>
    <font>
      <color theme="1"/>
      <name val="Calibri"/>
      <scheme val="minor"/>
    </font>
    <font>
      <b/>
      <sz val="12.0"/>
      <color rgb="FF132863"/>
      <name val="Arial"/>
    </font>
    <font>
      <b/>
      <sz val="11.0"/>
      <color rgb="FF132863"/>
      <name val="Arial"/>
    </font>
    <font>
      <i/>
      <sz val="11.0"/>
      <color rgb="FFE86A8E"/>
      <name val="Arial"/>
    </font>
    <font>
      <b/>
      <sz val="11.0"/>
      <color theme="1"/>
      <name val="Arial"/>
    </font>
    <font>
      <sz val="11.0"/>
      <color rgb="FF000000"/>
      <name val="Arial"/>
    </font>
    <font>
      <b/>
      <sz val="11.0"/>
      <color rgb="FFFFFFFF"/>
      <name val="Arial"/>
    </font>
    <font/>
    <font>
      <b/>
      <sz val="11.0"/>
      <color rgb="FFE86A8E"/>
      <name val="Arial"/>
    </font>
    <font>
      <color theme="1"/>
      <name val="Arial"/>
    </font>
    <font>
      <sz val="10.0"/>
      <color theme="1"/>
      <name val="Arial"/>
    </font>
    <font>
      <i/>
      <sz val="11.0"/>
      <color rgb="FF595959"/>
      <name val="Arial"/>
    </font>
    <font>
      <sz val="11.0"/>
      <color theme="1"/>
      <name val="Calibri"/>
    </font>
    <font>
      <u/>
      <sz val="10.0"/>
      <color rgb="FF0000FF"/>
      <name val="Arial"/>
    </font>
    <font>
      <u/>
      <sz val="10.0"/>
      <color rgb="FF0000FF"/>
      <name val="Arial"/>
    </font>
    <font>
      <u/>
      <sz val="10.0"/>
      <color rgb="FF0000FF"/>
      <name val="Arial"/>
    </font>
    <font>
      <u/>
      <color rgb="FF1155CC"/>
      <name val="Arial"/>
    </font>
    <font>
      <u/>
      <sz val="10.0"/>
      <color rgb="FF0000FF"/>
      <name val="Arial"/>
    </font>
    <font>
      <u/>
      <sz val="10.0"/>
      <color rgb="FF0000FF"/>
      <name val="Arial"/>
    </font>
    <font>
      <b/>
      <sz val="12.0"/>
      <color theme="1"/>
      <name val="Roboto Condensed"/>
    </font>
    <font>
      <b/>
      <color rgb="FF434343"/>
      <name val="Roboto"/>
    </font>
    <font>
      <b/>
      <sz val="10.0"/>
      <color rgb="FF434343"/>
      <name val="Roboto"/>
    </font>
    <font>
      <sz val="13.0"/>
      <color theme="1"/>
      <name val="Roboto Condensed"/>
    </font>
    <font>
      <u/>
      <color rgb="FF0000FF"/>
    </font>
    <font>
      <i/>
      <sz val="11.0"/>
      <color rgb="FF9C0006"/>
      <name val="Arial"/>
    </font>
    <font>
      <sz val="11.0"/>
      <color theme="1"/>
      <name val="Arial"/>
    </font>
    <font>
      <u/>
      <sz val="10.0"/>
      <color rgb="FF0000FF"/>
      <name val="Arial"/>
    </font>
    <font>
      <u/>
      <sz val="10.0"/>
      <color rgb="FF0000FF"/>
      <name val="Arial"/>
    </font>
    <font>
      <sz val="12.0"/>
      <color theme="1"/>
      <name val="Roboto"/>
    </font>
    <font>
      <color theme="1"/>
      <name val="Roboto Condensed"/>
    </font>
    <font>
      <u/>
      <color rgb="FF0000FF"/>
      <name val="Roboto Condensed"/>
    </font>
    <font>
      <u/>
      <sz val="12.0"/>
      <color rgb="FF1155CC"/>
      <name val="Roboto"/>
    </font>
    <font>
      <u/>
      <color rgb="FF1155CC"/>
      <name val="Arial"/>
    </font>
    <font>
      <u/>
      <color rgb="FF0000FF"/>
      <name val="Arial"/>
    </font>
    <font>
      <sz val="12.0"/>
      <color rgb="FF1C2B33"/>
      <name val="&quot;Optimistic 95&quot;"/>
    </font>
    <font>
      <u/>
      <color rgb="FF88AFEA"/>
      <name val="Roboto Condensed"/>
    </font>
    <font>
      <sz val="10.0"/>
      <color rgb="FF88AFEA"/>
      <name val="Arial"/>
    </font>
    <font>
      <sz val="12.0"/>
      <color rgb="FF65686C"/>
      <name val="&quot;Segoe UI Historic&quot;"/>
    </font>
    <font>
      <u/>
      <color rgb="FF1155CC"/>
      <name val="Arial"/>
    </font>
    <font>
      <sz val="12.0"/>
      <color theme="1"/>
      <name val="Arial"/>
    </font>
    <font>
      <u/>
      <sz val="10.0"/>
      <color rgb="FF0000FF"/>
      <name val="Arial"/>
    </font>
    <font>
      <u/>
      <color rgb="FF0000FF"/>
    </font>
  </fonts>
  <fills count="11">
    <fill>
      <patternFill patternType="none"/>
    </fill>
    <fill>
      <patternFill patternType="lightGray"/>
    </fill>
    <fill>
      <patternFill patternType="solid">
        <fgColor rgb="FFAFE8FF"/>
        <bgColor rgb="FFAFE8FF"/>
      </patternFill>
    </fill>
    <fill>
      <patternFill patternType="solid">
        <fgColor rgb="FF7F7F7F"/>
        <bgColor rgb="FF7F7F7F"/>
      </patternFill>
    </fill>
    <fill>
      <patternFill patternType="solid">
        <fgColor rgb="FF132863"/>
        <bgColor rgb="FF132863"/>
      </patternFill>
    </fill>
    <fill>
      <patternFill patternType="solid">
        <fgColor rgb="FFEEF9FF"/>
        <bgColor rgb="FFEEF9FF"/>
      </patternFill>
    </fill>
    <fill>
      <patternFill patternType="solid">
        <fgColor rgb="FFF2F2F2"/>
        <bgColor rgb="FFF2F2F2"/>
      </patternFill>
    </fill>
    <fill>
      <patternFill patternType="solid">
        <fgColor rgb="FF88AFEA"/>
        <bgColor rgb="FF88AFEA"/>
      </patternFill>
    </fill>
    <fill>
      <patternFill patternType="solid">
        <fgColor rgb="FFE86A8E"/>
        <bgColor rgb="FFE86A8E"/>
      </patternFill>
    </fill>
    <fill>
      <patternFill patternType="solid">
        <fgColor rgb="FFFFFF00"/>
        <bgColor rgb="FFFFFF00"/>
      </patternFill>
    </fill>
    <fill>
      <patternFill patternType="solid">
        <fgColor rgb="FFFFFFFF"/>
        <bgColor rgb="FFFFFFFF"/>
      </patternFill>
    </fill>
  </fills>
  <borders count="13">
    <border/>
    <border>
      <left/>
      <right/>
      <top/>
      <bottom/>
    </border>
    <border>
      <left style="thin">
        <color rgb="FFBFBFBF"/>
      </left>
      <right style="thin">
        <color rgb="FFBFBFBF"/>
      </right>
      <top style="thin">
        <color rgb="FFBFBFBF"/>
      </top>
      <bottom style="thin">
        <color rgb="FFBFBFBF"/>
      </bottom>
    </border>
    <border>
      <left style="medium">
        <color rgb="FFE86A8E"/>
      </left>
      <top style="medium">
        <color rgb="FFE86A8E"/>
      </top>
      <bottom style="medium">
        <color rgb="FFE86A8E"/>
      </bottom>
    </border>
    <border>
      <top style="medium">
        <color rgb="FFE86A8E"/>
      </top>
      <bottom style="medium">
        <color rgb="FFE86A8E"/>
      </bottom>
    </border>
    <border>
      <right style="medium">
        <color rgb="FFE86A8E"/>
      </right>
      <top style="medium">
        <color rgb="FFE86A8E"/>
      </top>
      <bottom style="medium">
        <color rgb="FFE86A8E"/>
      </bottom>
    </border>
    <border>
      <left style="thin">
        <color rgb="FF000000"/>
      </left>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style="thin">
        <color rgb="FF6D9EEB"/>
      </left>
      <right style="thin">
        <color rgb="FF6D9EEB"/>
      </right>
      <top style="dotted">
        <color rgb="FF000000"/>
      </top>
      <bottom style="dotted">
        <color rgb="FF000000"/>
      </bottom>
    </border>
    <border>
      <left style="thin">
        <color rgb="FF3C78D8"/>
      </left>
      <right style="thin">
        <color rgb="FF3C78D8"/>
      </right>
      <top style="thin">
        <color rgb="FF3C78D8"/>
      </top>
      <bottom style="thin">
        <color rgb="FF3C78D8"/>
      </bottom>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shrinkToFit="0" vertical="top" wrapText="1"/>
    </xf>
    <xf borderId="0" fillId="0" fontId="3" numFmtId="0" xfId="0" applyAlignment="1" applyFont="1">
      <alignment horizontal="center"/>
    </xf>
    <xf borderId="0" fillId="0" fontId="4" numFmtId="0" xfId="0" applyAlignment="1" applyFont="1">
      <alignment shrinkToFit="0" vertical="bottom" wrapText="0"/>
    </xf>
    <xf borderId="0" fillId="0" fontId="5" numFmtId="0" xfId="0" applyAlignment="1" applyFont="1">
      <alignment shrinkToFit="0" vertical="top" wrapText="1"/>
    </xf>
    <xf borderId="0" fillId="0" fontId="6"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top" wrapText="1"/>
    </xf>
    <xf borderId="1" fillId="2" fontId="8" numFmtId="0" xfId="0" applyAlignment="1" applyBorder="1" applyFill="1" applyFont="1">
      <alignment shrinkToFit="0" vertical="top" wrapText="1"/>
    </xf>
    <xf borderId="2" fillId="3" fontId="9" numFmtId="0" xfId="0" applyAlignment="1" applyBorder="1" applyFill="1" applyFont="1">
      <alignment horizontal="center" shrinkToFit="0" vertical="center" wrapText="1"/>
    </xf>
    <xf borderId="2" fillId="4" fontId="9" numFmtId="0" xfId="0" applyAlignment="1" applyBorder="1" applyFill="1" applyFont="1">
      <alignment horizontal="center" shrinkToFit="0" vertical="center" wrapText="1"/>
    </xf>
    <xf borderId="3" fillId="2" fontId="4" numFmtId="0" xfId="0" applyAlignment="1" applyBorder="1" applyFill="1" applyFont="1">
      <alignment readingOrder="0" shrinkToFit="0" vertical="bottom" wrapText="0"/>
    </xf>
    <xf borderId="4" fillId="0" fontId="10" numFmtId="0" xfId="0" applyBorder="1" applyFont="1"/>
    <xf borderId="5" fillId="0" fontId="10" numFmtId="0" xfId="0" applyBorder="1" applyFont="1"/>
    <xf borderId="0" fillId="0" fontId="11" numFmtId="0" xfId="0" applyAlignment="1" applyFont="1">
      <alignment shrinkToFit="0" vertical="top" wrapText="1"/>
    </xf>
    <xf borderId="0" fillId="0" fontId="5" numFmtId="0" xfId="0" applyAlignment="1" applyFont="1">
      <alignment shrinkToFit="0" vertical="bottom" wrapText="0"/>
    </xf>
    <xf borderId="6" fillId="0" fontId="12" numFmtId="0" xfId="0" applyAlignment="1" applyBorder="1" applyFont="1">
      <alignment horizontal="center" vertical="bottom"/>
    </xf>
    <xf borderId="2" fillId="5" fontId="13" numFmtId="0" xfId="0" applyAlignment="1" applyBorder="1" applyFill="1" applyFont="1">
      <alignment readingOrder="0" shrinkToFit="0" vertical="center" wrapText="0"/>
    </xf>
    <xf borderId="2" fillId="0" fontId="14" numFmtId="49" xfId="0" applyAlignment="1" applyBorder="1" applyFont="1" applyNumberFormat="1">
      <alignment shrinkToFit="0" vertical="top" wrapText="1"/>
    </xf>
    <xf borderId="2" fillId="5" fontId="13" numFmtId="0" xfId="0" applyAlignment="1" applyBorder="1" applyFill="1" applyFont="1">
      <alignment horizontal="center" readingOrder="0" shrinkToFit="0" vertical="center" wrapText="0"/>
    </xf>
    <xf borderId="2" fillId="6" fontId="5" numFmtId="0" xfId="0" applyAlignment="1" applyBorder="1" applyFill="1" applyFont="1">
      <alignment shrinkToFit="0" vertical="bottom" wrapText="0"/>
    </xf>
    <xf borderId="2" fillId="5" fontId="13" numFmtId="49" xfId="0" applyAlignment="1" applyBorder="1" applyFill="1" applyFont="1" applyNumberFormat="1">
      <alignment shrinkToFit="0" vertical="center" wrapText="0"/>
    </xf>
    <xf borderId="2" fillId="5" fontId="13" numFmtId="0" xfId="0" applyAlignment="1" applyBorder="1" applyFill="1" applyFont="1">
      <alignment shrinkToFit="0" vertical="center" wrapText="0"/>
    </xf>
    <xf borderId="0" fillId="0" fontId="3" numFmtId="0" xfId="0" applyAlignment="1" applyFont="1">
      <alignment shrinkToFit="0" wrapText="1"/>
    </xf>
    <xf borderId="2" fillId="5" fontId="13" numFmtId="164" xfId="0" applyAlignment="1" applyBorder="1" applyFill="1" applyFont="1" applyNumberFormat="1">
      <alignment shrinkToFit="0" vertical="center" wrapText="0"/>
    </xf>
    <xf borderId="2" fillId="2" fontId="15" numFmtId="0" xfId="0" applyAlignment="1" applyBorder="1" applyFill="1" applyFont="1">
      <alignment shrinkToFit="0" vertical="bottom" wrapText="0"/>
    </xf>
    <xf borderId="0" fillId="0" fontId="7" numFmtId="0" xfId="0" applyAlignment="1" applyFont="1">
      <alignment shrinkToFit="0" vertical="bottom" wrapText="1"/>
    </xf>
    <xf borderId="2" fillId="2" fontId="15" numFmtId="164" xfId="0" applyAlignment="1" applyBorder="1" applyFill="1" applyFont="1" applyNumberFormat="1">
      <alignment shrinkToFit="0" vertical="bottom" wrapText="0"/>
    </xf>
    <xf borderId="2" fillId="7" fontId="9" numFmtId="0" xfId="0" applyAlignment="1" applyBorder="1" applyFill="1" applyFont="1">
      <alignment horizontal="center" shrinkToFit="0" vertical="center" wrapText="1"/>
    </xf>
    <xf borderId="7" fillId="4" fontId="9" numFmtId="0" xfId="0" applyAlignment="1" applyBorder="1" applyFill="1" applyFont="1">
      <alignment horizontal="center" shrinkToFit="0" vertical="center" wrapText="1"/>
    </xf>
    <xf borderId="8" fillId="0" fontId="10" numFmtId="0" xfId="0" applyBorder="1" applyFont="1"/>
    <xf borderId="2" fillId="6" fontId="13" numFmtId="0" xfId="0" applyAlignment="1" applyBorder="1" applyFill="1" applyFont="1">
      <alignment horizontal="center" shrinkToFit="0" vertical="center" wrapText="0"/>
    </xf>
    <xf borderId="9" fillId="0" fontId="10" numFmtId="0" xfId="0" applyBorder="1" applyFont="1"/>
    <xf borderId="2" fillId="5" fontId="13" numFmtId="0" xfId="0" applyAlignment="1" applyBorder="1" applyFill="1" applyFont="1">
      <alignment shrinkToFit="0" vertical="center" wrapText="0"/>
    </xf>
    <xf borderId="2" fillId="0" fontId="7" numFmtId="0" xfId="0" applyAlignment="1" applyBorder="1" applyFont="1">
      <alignment horizontal="center" shrinkToFit="0" vertical="bottom" wrapText="0"/>
    </xf>
    <xf borderId="7" fillId="8" fontId="9" numFmtId="0" xfId="0" applyAlignment="1" applyBorder="1" applyFill="1" applyFont="1">
      <alignment horizontal="center" shrinkToFit="0" vertical="center" wrapText="1"/>
    </xf>
    <xf borderId="2" fillId="4" fontId="9" numFmtId="0" xfId="0" applyAlignment="1" applyBorder="1" applyFill="1" applyFont="1">
      <alignment horizontal="center" shrinkToFit="0" wrapText="1"/>
    </xf>
    <xf borderId="2" fillId="8" fontId="9" numFmtId="0" xfId="0" applyAlignment="1" applyBorder="1" applyFill="1" applyFont="1">
      <alignment horizontal="center" shrinkToFit="0" vertical="center" wrapText="1"/>
    </xf>
    <xf borderId="2" fillId="6" fontId="13" numFmtId="0" xfId="0" applyAlignment="1" applyBorder="1" applyFill="1" applyFont="1">
      <alignment shrinkToFit="0" vertical="center" wrapText="0"/>
    </xf>
    <xf borderId="2" fillId="5" fontId="13" numFmtId="49" xfId="0" applyAlignment="1" applyBorder="1" applyFill="1" applyFont="1" applyNumberFormat="1">
      <alignment readingOrder="0" shrinkToFit="0" vertical="center" wrapText="0"/>
    </xf>
    <xf borderId="2" fillId="5" fontId="13" numFmtId="0" xfId="0" applyAlignment="1" applyBorder="1" applyFill="1" applyFont="1">
      <alignment readingOrder="0" shrinkToFit="0" vertical="center" wrapText="1"/>
    </xf>
    <xf borderId="2" fillId="0" fontId="13" numFmtId="0" xfId="0" applyAlignment="1" applyBorder="1" applyFont="1">
      <alignment horizontal="center" shrinkToFit="0" vertical="center" wrapText="0"/>
    </xf>
    <xf borderId="2" fillId="5" fontId="13" numFmtId="0" xfId="0" applyAlignment="1" applyBorder="1" applyFill="1" applyFont="1">
      <alignment horizontal="center" shrinkToFit="0" vertical="center" wrapText="0"/>
    </xf>
    <xf borderId="2" fillId="5" fontId="16" numFmtId="0" xfId="0" applyAlignment="1" applyBorder="1" applyFill="1" applyFont="1">
      <alignment readingOrder="0" shrinkToFit="0" vertical="center" wrapText="1"/>
    </xf>
    <xf borderId="2" fillId="0" fontId="13" numFmtId="0" xfId="0" applyAlignment="1" applyBorder="1" applyFont="1">
      <alignment shrinkToFit="0" vertical="center" wrapText="0"/>
    </xf>
    <xf borderId="2" fillId="0" fontId="13" numFmtId="49" xfId="0" applyAlignment="1" applyBorder="1" applyFont="1" applyNumberFormat="1">
      <alignment shrinkToFit="0" vertical="center" wrapText="0"/>
    </xf>
    <xf borderId="2" fillId="9" fontId="12" numFmtId="0" xfId="0" applyBorder="1" applyFill="1" applyFont="1"/>
    <xf borderId="2" fillId="0" fontId="17" numFmtId="0" xfId="0" applyAlignment="1" applyBorder="1" applyFont="1">
      <alignment shrinkToFit="0" vertical="center" wrapText="0"/>
    </xf>
    <xf borderId="2" fillId="0" fontId="13" numFmtId="0" xfId="0" applyAlignment="1" applyBorder="1" applyFont="1">
      <alignment readingOrder="0" shrinkToFit="0" vertical="center" wrapText="0"/>
    </xf>
    <xf borderId="2" fillId="5" fontId="13" numFmtId="0" xfId="0" applyAlignment="1" applyBorder="1" applyFill="1" applyFont="1">
      <alignment shrinkToFit="0" vertical="center" wrapText="1"/>
    </xf>
    <xf borderId="0" fillId="0" fontId="3" numFmtId="0" xfId="0" applyFont="1"/>
    <xf borderId="2" fillId="5" fontId="18" numFmtId="0" xfId="0" applyAlignment="1" applyBorder="1" applyFill="1" applyFont="1">
      <alignment readingOrder="0" shrinkToFit="0" vertical="center" wrapText="1"/>
    </xf>
    <xf borderId="2" fillId="5" fontId="13" numFmtId="164" xfId="0" applyAlignment="1" applyBorder="1" applyFill="1" applyFont="1" applyNumberFormat="1">
      <alignment readingOrder="0" shrinkToFit="0" vertical="center" wrapText="0"/>
    </xf>
    <xf quotePrefix="1" borderId="2" fillId="5" fontId="13" numFmtId="49" xfId="0" applyAlignment="1" applyBorder="1" applyFill="1" applyFont="1" applyNumberFormat="1">
      <alignment readingOrder="0" shrinkToFit="0" vertical="center" wrapText="0"/>
    </xf>
    <xf borderId="2" fillId="5" fontId="13" numFmtId="0" xfId="0" applyAlignment="1" applyBorder="1" applyFill="1" applyFont="1">
      <alignment readingOrder="0" shrinkToFit="0" vertical="center" wrapText="0"/>
    </xf>
    <xf borderId="2" fillId="6" fontId="13" numFmtId="0" xfId="0" applyAlignment="1" applyBorder="1" applyFill="1" applyFont="1">
      <alignment horizontal="center" readingOrder="0" shrinkToFit="0" vertical="center" wrapText="0"/>
    </xf>
    <xf borderId="2" fillId="5" fontId="13" numFmtId="0" xfId="0" applyAlignment="1" applyBorder="1" applyFill="1" applyFont="1">
      <alignment readingOrder="0" shrinkToFit="0" vertical="center" wrapText="1"/>
    </xf>
    <xf borderId="6" fillId="0" fontId="19" numFmtId="0" xfId="0" applyAlignment="1" applyBorder="1" applyFont="1">
      <alignment vertical="bottom"/>
    </xf>
    <xf borderId="0" fillId="0" fontId="3" numFmtId="49" xfId="0" applyAlignment="1" applyFont="1" applyNumberFormat="1">
      <alignment readingOrder="0"/>
    </xf>
    <xf borderId="0" fillId="2" fontId="15" numFmtId="164" xfId="0" applyAlignment="1" applyFill="1" applyFont="1" applyNumberFormat="1">
      <alignment shrinkToFit="0" vertical="bottom" wrapText="0"/>
    </xf>
    <xf borderId="2" fillId="4" fontId="9" numFmtId="0" xfId="0" applyAlignment="1" applyBorder="1" applyFill="1" applyFont="1">
      <alignment horizontal="center" readingOrder="0" shrinkToFit="0" vertical="center" wrapText="1"/>
    </xf>
    <xf borderId="0" fillId="5" fontId="13" numFmtId="49" xfId="0" applyAlignment="1" applyFill="1" applyFont="1" applyNumberFormat="1">
      <alignment readingOrder="0" shrinkToFit="0" vertical="center" wrapText="0"/>
    </xf>
    <xf borderId="2" fillId="9" fontId="13" numFmtId="0" xfId="0" applyAlignment="1" applyBorder="1" applyFill="1" applyFont="1">
      <alignment readingOrder="0" shrinkToFit="0" vertical="center" wrapText="0"/>
    </xf>
    <xf borderId="2" fillId="5" fontId="20" numFmtId="0" xfId="0" applyAlignment="1" applyBorder="1" applyFill="1" applyFont="1">
      <alignment readingOrder="0" shrinkToFit="0" vertical="center" wrapText="0"/>
    </xf>
    <xf borderId="2" fillId="5" fontId="21" numFmtId="0" xfId="0" applyAlignment="1" applyBorder="1" applyFill="1" applyFont="1">
      <alignment readingOrder="0" shrinkToFit="0" vertical="center" wrapText="0"/>
    </xf>
    <xf borderId="0" fillId="5" fontId="13" numFmtId="49" xfId="0" applyAlignment="1" applyFill="1" applyFont="1" applyNumberFormat="1">
      <alignment shrinkToFit="0" vertical="center" wrapText="0"/>
    </xf>
    <xf borderId="0" fillId="0" fontId="12" numFmtId="49" xfId="0" applyAlignment="1" applyFont="1" applyNumberFormat="1">
      <alignment vertical="bottom"/>
    </xf>
    <xf borderId="0" fillId="5" fontId="3" numFmtId="49" xfId="0" applyAlignment="1" applyFill="1" applyFont="1" applyNumberFormat="1">
      <alignment readingOrder="0"/>
    </xf>
    <xf borderId="0" fillId="10" fontId="12" numFmtId="49" xfId="0" applyAlignment="1" applyFill="1" applyFont="1" applyNumberFormat="1">
      <alignment vertical="bottom"/>
    </xf>
    <xf borderId="10" fillId="10" fontId="22" numFmtId="49" xfId="0" applyAlignment="1" applyBorder="1" applyFill="1" applyFont="1" applyNumberFormat="1">
      <alignment horizontal="center" vertical="bottom"/>
    </xf>
    <xf borderId="11" fillId="10" fontId="12" numFmtId="49" xfId="0" applyAlignment="1" applyBorder="1" applyFill="1" applyFont="1" applyNumberFormat="1">
      <alignment vertical="bottom"/>
    </xf>
    <xf borderId="12" fillId="10" fontId="23" numFmtId="49" xfId="0" applyAlignment="1" applyBorder="1" applyFill="1" applyFont="1" applyNumberFormat="1">
      <alignment horizontal="center" shrinkToFit="0" vertical="bottom" wrapText="1"/>
    </xf>
    <xf borderId="2" fillId="10" fontId="24" numFmtId="49" xfId="0" applyAlignment="1" applyBorder="1" applyFill="1" applyFont="1" applyNumberFormat="1">
      <alignment horizontal="center" readingOrder="0" shrinkToFit="0" vertical="bottom" wrapText="1"/>
    </xf>
    <xf borderId="12" fillId="0" fontId="12" numFmtId="49" xfId="0" applyAlignment="1" applyBorder="1" applyFont="1" applyNumberFormat="1">
      <alignment vertical="bottom"/>
    </xf>
    <xf quotePrefix="1" borderId="12" fillId="0" fontId="12" numFmtId="49" xfId="0" applyAlignment="1" applyBorder="1" applyFont="1" applyNumberFormat="1">
      <alignment vertical="bottom"/>
    </xf>
    <xf quotePrefix="1" borderId="12" fillId="10" fontId="25" numFmtId="49" xfId="0" applyAlignment="1" applyBorder="1" applyFill="1" applyFont="1" applyNumberFormat="1">
      <alignment vertical="bottom"/>
    </xf>
    <xf borderId="12" fillId="10" fontId="25" numFmtId="49" xfId="0" applyAlignment="1" applyBorder="1" applyFill="1" applyFont="1" applyNumberFormat="1">
      <alignment shrinkToFit="0" vertical="bottom" wrapText="1"/>
    </xf>
    <xf borderId="0" fillId="0" fontId="3" numFmtId="49" xfId="0" applyFont="1" applyNumberFormat="1"/>
    <xf borderId="0" fillId="10" fontId="7" numFmtId="49" xfId="0" applyAlignment="1" applyFill="1" applyFont="1" applyNumberFormat="1">
      <alignment vertical="bottom"/>
    </xf>
    <xf borderId="0" fillId="10" fontId="7" numFmtId="49" xfId="0" applyAlignment="1" applyFill="1" applyFont="1" applyNumberFormat="1">
      <alignment shrinkToFit="0" vertical="bottom" wrapText="1"/>
    </xf>
    <xf borderId="0" fillId="0" fontId="26" numFmtId="0" xfId="0" applyAlignment="1" applyFont="1">
      <alignment readingOrder="0"/>
    </xf>
    <xf borderId="2" fillId="5" fontId="13" numFmtId="49" xfId="0" applyAlignment="1" applyBorder="1" applyFill="1" applyFont="1" applyNumberFormat="1">
      <alignment readingOrder="0" shrinkToFit="0" vertical="center" wrapText="0"/>
    </xf>
    <xf borderId="0" fillId="5" fontId="13" numFmtId="49" xfId="0" applyAlignment="1" applyFill="1" applyFont="1" applyNumberFormat="1">
      <alignment vertical="bottom"/>
    </xf>
    <xf borderId="12" fillId="5" fontId="13" numFmtId="49" xfId="0" applyAlignment="1" applyBorder="1" applyFill="1" applyFont="1" applyNumberFormat="1">
      <alignment vertical="bottom"/>
    </xf>
    <xf quotePrefix="1" borderId="12" fillId="5" fontId="13" numFmtId="49" xfId="0" applyAlignment="1" applyBorder="1" applyFill="1" applyFont="1" applyNumberFormat="1">
      <alignment vertical="bottom"/>
    </xf>
    <xf borderId="12" fillId="5" fontId="13" numFmtId="49" xfId="0" applyAlignment="1" applyBorder="1" applyFill="1" applyFont="1" applyNumberFormat="1">
      <alignment shrinkToFit="0" vertical="bottom" wrapText="1"/>
    </xf>
    <xf borderId="0" fillId="0" fontId="27" numFmtId="0" xfId="0" applyAlignment="1" applyFont="1">
      <alignment shrinkToFit="0" vertical="bottom" wrapText="0"/>
    </xf>
    <xf borderId="2" fillId="0" fontId="28" numFmtId="0" xfId="0" applyAlignment="1" applyBorder="1" applyFont="1">
      <alignment horizontal="left" shrinkToFit="0" vertical="center" wrapText="0"/>
    </xf>
    <xf borderId="2" fillId="0" fontId="28" numFmtId="0" xfId="0" applyAlignment="1" applyBorder="1" applyFont="1">
      <alignment horizontal="center" shrinkToFit="0" vertical="center" wrapText="0"/>
    </xf>
    <xf borderId="2" fillId="0" fontId="28" numFmtId="9" xfId="0" applyAlignment="1" applyBorder="1" applyFont="1" applyNumberFormat="1">
      <alignment horizontal="center" shrinkToFit="0" vertical="center" wrapText="0"/>
    </xf>
    <xf borderId="2" fillId="2" fontId="7" numFmtId="0" xfId="0" applyAlignment="1" applyBorder="1" applyFill="1" applyFont="1">
      <alignment horizontal="left" shrinkToFit="0" vertical="center" wrapText="0"/>
    </xf>
    <xf borderId="2" fillId="2" fontId="7" numFmtId="0" xfId="0" applyAlignment="1" applyBorder="1" applyFill="1" applyFont="1">
      <alignment horizontal="center" shrinkToFit="0" vertical="center" wrapText="0"/>
    </xf>
    <xf borderId="2" fillId="2" fontId="7" numFmtId="9" xfId="0" applyAlignment="1" applyBorder="1" applyFill="1" applyFont="1" applyNumberFormat="1">
      <alignment horizontal="center" shrinkToFit="0" vertical="center" wrapText="0"/>
    </xf>
    <xf borderId="2" fillId="2" fontId="7" numFmtId="0" xfId="0" applyAlignment="1" applyBorder="1" applyFill="1" applyFont="1">
      <alignment shrinkToFit="0" vertical="bottom" wrapText="0"/>
    </xf>
    <xf borderId="0" fillId="0" fontId="1" numFmtId="0" xfId="0" applyAlignment="1" applyFont="1">
      <alignment horizontal="center" shrinkToFit="0" vertical="center" wrapText="0"/>
    </xf>
    <xf borderId="0" fillId="0" fontId="7" numFmtId="0" xfId="0" applyAlignment="1" applyFont="1">
      <alignment horizontal="center" shrinkToFit="0" vertical="center" wrapText="0"/>
    </xf>
    <xf borderId="0" fillId="0" fontId="6" numFmtId="0" xfId="0" applyAlignment="1" applyFont="1">
      <alignment horizontal="center" shrinkToFit="0" vertical="center" wrapText="0"/>
    </xf>
    <xf borderId="0" fillId="5" fontId="13" numFmtId="0" xfId="0" applyAlignment="1" applyFill="1" applyFont="1">
      <alignment shrinkToFit="0" vertical="center" wrapText="1"/>
    </xf>
    <xf borderId="0" fillId="6" fontId="13" numFmtId="0" xfId="0" applyAlignment="1" applyFill="1" applyFont="1">
      <alignment shrinkToFit="0" vertical="center" wrapText="0"/>
    </xf>
    <xf borderId="0" fillId="5" fontId="13" numFmtId="0" xfId="0" applyAlignment="1" applyFill="1" applyFont="1">
      <alignment shrinkToFit="0" vertical="center" wrapText="0"/>
    </xf>
    <xf borderId="0" fillId="5" fontId="13" numFmtId="164" xfId="0" applyAlignment="1" applyFill="1" applyFont="1" applyNumberFormat="1">
      <alignment shrinkToFit="0" vertical="center" wrapText="0"/>
    </xf>
    <xf borderId="0" fillId="0" fontId="13" numFmtId="0" xfId="0" applyAlignment="1" applyFont="1">
      <alignment shrinkToFit="0" vertical="center" wrapText="0"/>
    </xf>
    <xf borderId="0" fillId="5" fontId="13" numFmtId="0" xfId="0" applyAlignment="1" applyFill="1" applyFont="1">
      <alignment readingOrder="0" shrinkToFit="0" vertical="center" wrapText="0"/>
    </xf>
    <xf borderId="0" fillId="5" fontId="29" numFmtId="0" xfId="0" applyAlignment="1" applyFill="1" applyFont="1">
      <alignment readingOrder="0" shrinkToFit="0" vertical="center" wrapText="1"/>
    </xf>
    <xf borderId="0" fillId="5" fontId="13" numFmtId="0" xfId="0" applyAlignment="1" applyFill="1" applyFont="1">
      <alignment readingOrder="0" shrinkToFit="0" vertical="center" wrapText="1"/>
    </xf>
    <xf borderId="0" fillId="5" fontId="30" numFmtId="0" xfId="0" applyAlignment="1" applyFill="1" applyFont="1">
      <alignment readingOrder="0" shrinkToFit="0" vertical="center" wrapText="1"/>
    </xf>
    <xf borderId="2" fillId="6" fontId="13" numFmtId="0" xfId="0" applyAlignment="1" applyBorder="1" applyFill="1" applyFont="1">
      <alignment readingOrder="0" shrinkToFit="0" vertical="center" wrapText="0"/>
    </xf>
    <xf borderId="0" fillId="5" fontId="31" numFmtId="49" xfId="0" applyAlignment="1" applyFill="1" applyFont="1" applyNumberFormat="1">
      <alignment horizontal="right" vertical="bottom"/>
    </xf>
    <xf borderId="12" fillId="5" fontId="32" numFmtId="0" xfId="0" applyAlignment="1" applyBorder="1" applyFill="1" applyFont="1">
      <alignment horizontal="center" shrinkToFit="0" wrapText="1"/>
    </xf>
    <xf borderId="12" fillId="5" fontId="33" numFmtId="0" xfId="0" applyAlignment="1" applyBorder="1" applyFill="1" applyFont="1">
      <alignment shrinkToFit="0" wrapText="0"/>
    </xf>
    <xf borderId="0" fillId="5" fontId="12" numFmtId="0" xfId="0" applyAlignment="1" applyFill="1" applyFont="1">
      <alignment readingOrder="0"/>
    </xf>
    <xf borderId="0" fillId="5" fontId="34" numFmtId="0" xfId="0" applyAlignment="1" applyFill="1" applyFont="1">
      <alignment vertical="bottom"/>
    </xf>
    <xf borderId="0" fillId="5" fontId="35" numFmtId="0" xfId="0" applyAlignment="1" applyFill="1" applyFont="1">
      <alignment vertical="bottom"/>
    </xf>
    <xf borderId="12" fillId="5" fontId="12" numFmtId="49" xfId="0" applyAlignment="1" applyBorder="1" applyFill="1" applyFont="1" applyNumberFormat="1">
      <alignment readingOrder="0"/>
    </xf>
    <xf borderId="12" fillId="5" fontId="36" numFmtId="0" xfId="0" applyAlignment="1" applyBorder="1" applyFill="1" applyFont="1">
      <alignment readingOrder="0"/>
    </xf>
    <xf borderId="0" fillId="5" fontId="37" numFmtId="49" xfId="0" applyAlignment="1" applyFill="1" applyFont="1" applyNumberFormat="1">
      <alignment readingOrder="0"/>
    </xf>
    <xf borderId="12" fillId="5" fontId="38" numFmtId="0" xfId="0" applyAlignment="1" applyBorder="1" applyFill="1" applyFont="1">
      <alignment readingOrder="0" shrinkToFit="0" wrapText="1"/>
    </xf>
    <xf borderId="0" fillId="5" fontId="39" numFmtId="0" xfId="0" applyAlignment="1" applyFill="1" applyFont="1">
      <alignment shrinkToFit="0" vertical="center" wrapText="1"/>
    </xf>
    <xf borderId="0" fillId="5" fontId="40" numFmtId="49" xfId="0" applyAlignment="1" applyFill="1" applyFont="1" applyNumberFormat="1">
      <alignment readingOrder="0"/>
    </xf>
    <xf borderId="0" fillId="5" fontId="41" numFmtId="0" xfId="0" applyAlignment="1" applyFill="1" applyFont="1">
      <alignment readingOrder="0" vertical="bottom"/>
    </xf>
    <xf borderId="0" fillId="5" fontId="42" numFmtId="49" xfId="0" applyAlignment="1" applyFill="1" applyFont="1" applyNumberFormat="1">
      <alignment shrinkToFit="0" vertical="center" wrapText="0"/>
    </xf>
    <xf borderId="0" fillId="5" fontId="12" numFmtId="0" xfId="0" applyFill="1" applyFont="1"/>
    <xf borderId="0" fillId="5" fontId="15" numFmtId="0" xfId="0" applyFill="1" applyFont="1"/>
    <xf borderId="0" fillId="5" fontId="15" numFmtId="0" xfId="0" applyAlignment="1" applyFill="1" applyFont="1">
      <alignment readingOrder="0"/>
    </xf>
    <xf borderId="0" fillId="0" fontId="3" numFmtId="0" xfId="0" applyAlignment="1" applyFont="1">
      <alignment readingOrder="0"/>
    </xf>
    <xf borderId="0" fillId="0" fontId="13" numFmtId="0" xfId="0" applyAlignment="1" applyFont="1">
      <alignment readingOrder="0" shrinkToFit="0" vertical="center" wrapText="0"/>
    </xf>
    <xf borderId="0" fillId="5" fontId="43" numFmtId="49" xfId="0" applyAlignment="1" applyFill="1" applyFont="1" applyNumberFormat="1">
      <alignment readingOrder="0" shrinkToFit="0" vertical="center" wrapText="1"/>
    </xf>
    <xf borderId="0" fillId="5" fontId="13" numFmtId="49" xfId="0" applyAlignment="1" applyFill="1" applyFont="1" applyNumberFormat="1">
      <alignment readingOrder="0" shrinkToFit="0" vertical="center" wrapText="1"/>
    </xf>
    <xf quotePrefix="1" borderId="0" fillId="5" fontId="13" numFmtId="49" xfId="0" applyAlignment="1" applyFill="1" applyFont="1" applyNumberFormat="1">
      <alignment readingOrder="0" shrinkToFit="0" vertical="center" wrapText="0"/>
    </xf>
    <xf borderId="2" fillId="5" fontId="13" numFmtId="49" xfId="0" applyAlignment="1" applyBorder="1" applyFill="1" applyFont="1" applyNumberFormat="1">
      <alignment readingOrder="0" shrinkToFit="0" vertical="center" wrapText="1"/>
    </xf>
    <xf borderId="0" fillId="0" fontId="28" numFmtId="0" xfId="0" applyAlignment="1" applyFont="1">
      <alignment shrinkToFit="0" vertical="bottom" wrapText="0"/>
    </xf>
    <xf borderId="0" fillId="0" fontId="28" numFmtId="0" xfId="0" applyAlignment="1" applyFont="1">
      <alignment readingOrder="0" shrinkToFit="0" vertical="bottom" wrapText="0"/>
    </xf>
    <xf borderId="0" fillId="0" fontId="44" numFmtId="0" xfId="0" applyFont="1"/>
    <xf borderId="0" fillId="0" fontId="3" numFmtId="49" xfId="0" applyFont="1" applyNumberFormat="1"/>
    <xf borderId="0" fillId="0" fontId="3" numFmtId="0" xfId="0" applyAlignment="1" applyFont="1">
      <alignment horizontal="center" vertical="center"/>
    </xf>
  </cellXfs>
  <cellStyles count="1">
    <cellStyle xfId="0" name="Normal" builtinId="0"/>
  </cellStyles>
  <dxfs count="14">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C6EFCE"/>
          <bgColor rgb="FFC6EFCE"/>
        </patternFill>
      </fill>
      <border/>
    </dxf>
    <dxf>
      <font/>
      <fill>
        <patternFill patternType="solid">
          <fgColor rgb="FFDDEBF7"/>
          <bgColor rgb="FFDDEBF7"/>
        </patternFill>
      </fill>
      <border/>
    </dxf>
    <dxf>
      <font/>
      <fill>
        <patternFill patternType="solid">
          <fgColor rgb="FFFFEB9C"/>
          <bgColor rgb="FFFFEB9C"/>
        </patternFill>
      </fill>
      <border/>
    </dxf>
    <dxf>
      <font/>
      <fill>
        <patternFill patternType="solid">
          <fgColor rgb="FFFFD8A8"/>
          <bgColor rgb="FFFFD8A8"/>
        </patternFill>
      </fill>
      <border/>
    </dxf>
    <dxf>
      <font/>
      <fill>
        <patternFill patternType="solid">
          <fgColor rgb="FFD9D9D9"/>
          <bgColor rgb="FFD9D9D9"/>
        </patternFill>
      </fill>
      <border/>
    </dxf>
    <dxf>
      <font>
        <b/>
        <color rgb="FF9C0006"/>
      </font>
      <fill>
        <patternFill patternType="solid">
          <fgColor rgb="FFFFC7CE"/>
          <bgColor rgb="FFFFC7CE"/>
        </patternFill>
      </fill>
      <border/>
    </dxf>
    <dxf>
      <font/>
      <fill>
        <patternFill patternType="solid">
          <fgColor rgb="FFFFC7CE"/>
          <bgColor rgb="FFFFC7CE"/>
        </patternFill>
      </fill>
      <border/>
    </dxf>
    <dxf>
      <font>
        <color rgb="FF006100"/>
      </font>
      <fill>
        <patternFill patternType="solid">
          <fgColor rgb="FFC6EFCE"/>
          <bgColor rgb="FFC6EFCE"/>
        </patternFill>
      </fill>
      <border/>
    </dxf>
    <dxf>
      <font>
        <color rgb="FF1F4E78"/>
      </font>
      <fill>
        <patternFill patternType="solid">
          <fgColor rgb="FFDDEBF7"/>
          <bgColor rgb="FFDDEBF7"/>
        </patternFill>
      </fill>
      <border/>
    </dxf>
    <dxf>
      <font>
        <color rgb="FF7F6000"/>
      </font>
      <fill>
        <patternFill patternType="solid">
          <fgColor rgb="FFFFEB9C"/>
          <bgColor rgb="FFFFEB9C"/>
        </patternFill>
      </fill>
      <border/>
    </dxf>
    <dxf>
      <font>
        <color rgb="FF833C0B"/>
      </font>
      <fill>
        <patternFill patternType="solid">
          <fgColor rgb="FFFFD8A8"/>
          <bgColor rgb="FFFFD8A8"/>
        </patternFill>
      </fill>
      <border/>
    </dxf>
  </dxfs>
  <tableStyles count="1">
    <tableStyle count="2" pivot="0" name="AD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160:D226" displayName="Table_1" name="Table_1" id="1">
  <tableColumns count="1">
    <tableColumn name="Column1" id="1"/>
  </tableColumns>
  <tableStyleInfo name="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facebook.com/profile.php?id=61553235446320" TargetMode="External"/><Relationship Id="rId83" Type="http://schemas.openxmlformats.org/officeDocument/2006/relationships/drawing" Target="../drawings/drawing4.xml"/><Relationship Id="rId42" Type="http://schemas.openxmlformats.org/officeDocument/2006/relationships/hyperlink" Target="https://www.facebook.com/profile.php?id=61577305803998" TargetMode="External"/><Relationship Id="rId41" Type="http://schemas.openxmlformats.org/officeDocument/2006/relationships/hyperlink" Target="https://www.facebook.com/profile.php?id=61577258512724" TargetMode="External"/><Relationship Id="rId85" Type="http://schemas.openxmlformats.org/officeDocument/2006/relationships/table" Target="../tables/table1.xml"/><Relationship Id="rId44" Type="http://schemas.openxmlformats.org/officeDocument/2006/relationships/hyperlink" Target="https://www.facebook.com/profile.php?id=61577285782640" TargetMode="External"/><Relationship Id="rId43" Type="http://schemas.openxmlformats.org/officeDocument/2006/relationships/hyperlink" Target="https://www.facebook.com/hernan.mora.3192" TargetMode="External"/><Relationship Id="rId46" Type="http://schemas.openxmlformats.org/officeDocument/2006/relationships/hyperlink" Target="https://www.facebook.com/profile.php?id=61575398767478" TargetMode="External"/><Relationship Id="rId45" Type="http://schemas.openxmlformats.org/officeDocument/2006/relationships/hyperlink" Target="https://www.tiktok.com/@bsvutrongtien" TargetMode="External"/><Relationship Id="rId80" Type="http://schemas.openxmlformats.org/officeDocument/2006/relationships/hyperlink" Target="https://www.facebook.com/tiensi.bacsi.tien/" TargetMode="External"/><Relationship Id="rId82" Type="http://schemas.openxmlformats.org/officeDocument/2006/relationships/hyperlink" Target="https://www.facebook.com/TanTrangTieuEvaDrTien" TargetMode="External"/><Relationship Id="rId81" Type="http://schemas.openxmlformats.org/officeDocument/2006/relationships/hyperlink" Target="https://www.facebook.com/thammytieueva.tiensi.vutrongtien" TargetMode="External"/><Relationship Id="rId1" Type="http://schemas.openxmlformats.org/officeDocument/2006/relationships/hyperlink" Target="http://abcxyz.com/" TargetMode="External"/><Relationship Id="rId2" Type="http://schemas.openxmlformats.org/officeDocument/2006/relationships/hyperlink" Target="https://www.facebook.com/profile.php?id=100068861280350" TargetMode="External"/><Relationship Id="rId3" Type="http://schemas.openxmlformats.org/officeDocument/2006/relationships/hyperlink" Target="https://www.facebook.com/vargas.reggie.7" TargetMode="External"/><Relationship Id="rId4" Type="http://schemas.openxmlformats.org/officeDocument/2006/relationships/hyperlink" Target="https://www.facebook.com/profile.php?id=61575801293716" TargetMode="External"/><Relationship Id="rId9" Type="http://schemas.openxmlformats.org/officeDocument/2006/relationships/hyperlink" Target="https://www.facebook.com/DrTientantrangvungkin/" TargetMode="External"/><Relationship Id="rId48" Type="http://schemas.openxmlformats.org/officeDocument/2006/relationships/hyperlink" Target="https://www.facebook.com/thammyapexmed.vn/" TargetMode="External"/><Relationship Id="rId47" Type="http://schemas.openxmlformats.org/officeDocument/2006/relationships/hyperlink" Target="https://www.facebook.com/profile.php?id=61577564032850&amp;locale=vi_VN" TargetMode="External"/><Relationship Id="rId49" Type="http://schemas.openxmlformats.org/officeDocument/2006/relationships/hyperlink" Target="https://www.facebook.com/thammyapexmed.com.vn/" TargetMode="External"/><Relationship Id="rId5" Type="http://schemas.openxmlformats.org/officeDocument/2006/relationships/hyperlink" Target="https://www.facebook.com/profile.php?id=100085100801017" TargetMode="External"/><Relationship Id="rId6" Type="http://schemas.openxmlformats.org/officeDocument/2006/relationships/hyperlink" Target="https://www.facebook.com/profile.php?id=61550327186842" TargetMode="External"/><Relationship Id="rId7" Type="http://schemas.openxmlformats.org/officeDocument/2006/relationships/hyperlink" Target="https://www.facebook.com/3VuTrongTien.VQY103/" TargetMode="External"/><Relationship Id="rId8" Type="http://schemas.openxmlformats.org/officeDocument/2006/relationships/hyperlink" Target="https://www.facebook.com/TTCB7/" TargetMode="External"/><Relationship Id="rId73" Type="http://schemas.openxmlformats.org/officeDocument/2006/relationships/hyperlink" Target="https://www.facebook.com/profile.php?id=61577229208159" TargetMode="External"/><Relationship Id="rId72" Type="http://schemas.openxmlformats.org/officeDocument/2006/relationships/hyperlink" Target="https://www.facebook.com/profile.php?id=61577029485197" TargetMode="External"/><Relationship Id="rId31" Type="http://schemas.openxmlformats.org/officeDocument/2006/relationships/hyperlink" Target="https://www.facebook.com/profile.php?id=61589186616873&amp;locale=vi_VN" TargetMode="External"/><Relationship Id="rId75" Type="http://schemas.openxmlformats.org/officeDocument/2006/relationships/hyperlink" Target="https://www.facebook.com/bstientm" TargetMode="External"/><Relationship Id="rId30" Type="http://schemas.openxmlformats.org/officeDocument/2006/relationships/hyperlink" Target="https://www.facebook.com/profile.php?id=61589769834525&amp;locale=vi_VN" TargetMode="External"/><Relationship Id="rId74" Type="http://schemas.openxmlformats.org/officeDocument/2006/relationships/hyperlink" Target="https://www.facebook.com/tsbs.vutrongtien.tantrangtieueva" TargetMode="External"/><Relationship Id="rId33" Type="http://schemas.openxmlformats.org/officeDocument/2006/relationships/hyperlink" Target="https://www.facebook.com/bacsitien.apexmed.Tantrangtieuevatoandien/" TargetMode="External"/><Relationship Id="rId77" Type="http://schemas.openxmlformats.org/officeDocument/2006/relationships/hyperlink" Target="https://www.facebook.com/dr.tien.hoixuancobe" TargetMode="External"/><Relationship Id="rId32" Type="http://schemas.openxmlformats.org/officeDocument/2006/relationships/hyperlink" Target="https://www.facebook.com/profile.php?id=61594800494484" TargetMode="External"/><Relationship Id="rId76" Type="http://schemas.openxmlformats.org/officeDocument/2006/relationships/hyperlink" Target="https://www.facebook.com/thammytieueva.bacsivutrongtien" TargetMode="External"/><Relationship Id="rId35" Type="http://schemas.openxmlformats.org/officeDocument/2006/relationships/hyperlink" Target="https://www.facebook.com/bstien.thammyapexmed/" TargetMode="External"/><Relationship Id="rId79" Type="http://schemas.openxmlformats.org/officeDocument/2006/relationships/hyperlink" Target="https://www.facebook.com/profile.php?id=61583001544513" TargetMode="External"/><Relationship Id="rId34" Type="http://schemas.openxmlformats.org/officeDocument/2006/relationships/hyperlink" Target="https://www.facebook.com/federico.valdezabadia/" TargetMode="External"/><Relationship Id="rId78" Type="http://schemas.openxmlformats.org/officeDocument/2006/relationships/hyperlink" Target="https://www.facebook.com/thammycobe.bs.vutrongtien" TargetMode="External"/><Relationship Id="rId71" Type="http://schemas.openxmlformats.org/officeDocument/2006/relationships/hyperlink" Target="https://www.facebook.com/profile.php?id=61576837544492" TargetMode="External"/><Relationship Id="rId70" Type="http://schemas.openxmlformats.org/officeDocument/2006/relationships/hyperlink" Target="https://www.facebook.com/profile.php?id=100084935148246" TargetMode="External"/><Relationship Id="rId37" Type="http://schemas.openxmlformats.org/officeDocument/2006/relationships/hyperlink" Target="https://www.facebook.com/thammyapexmed.bstien/" TargetMode="External"/><Relationship Id="rId36" Type="http://schemas.openxmlformats.org/officeDocument/2006/relationships/hyperlink" Target="https://www.facebook.com/thammyapexmed.doingubsvutrongtien/" TargetMode="External"/><Relationship Id="rId39" Type="http://schemas.openxmlformats.org/officeDocument/2006/relationships/hyperlink" Target="https://www.facebook.com/ieshajoy.jocson/" TargetMode="External"/><Relationship Id="rId38" Type="http://schemas.openxmlformats.org/officeDocument/2006/relationships/hyperlink" Target="https://www.facebook.com/thammyapexmed.doingubacsitien/" TargetMode="External"/><Relationship Id="rId62" Type="http://schemas.openxmlformats.org/officeDocument/2006/relationships/hyperlink" Target="https://www.facebook.com/profile.php?id=100089118917302" TargetMode="External"/><Relationship Id="rId61" Type="http://schemas.openxmlformats.org/officeDocument/2006/relationships/hyperlink" Target="https://www.facebook.com/profile.php?id=61584908931896" TargetMode="External"/><Relationship Id="rId20" Type="http://schemas.openxmlformats.org/officeDocument/2006/relationships/hyperlink" Target="https://www.tiktok.com/@bsvutrongtienlamdep" TargetMode="External"/><Relationship Id="rId64" Type="http://schemas.openxmlformats.org/officeDocument/2006/relationships/hyperlink" Target="https://www.facebook.com/profile.php?id=61552426487974" TargetMode="External"/><Relationship Id="rId63" Type="http://schemas.openxmlformats.org/officeDocument/2006/relationships/hyperlink" Target="https://www.facebook.com/profile.php?id=61579953505401" TargetMode="External"/><Relationship Id="rId22" Type="http://schemas.openxmlformats.org/officeDocument/2006/relationships/hyperlink" Target="https://www.facebook.com/bacsitien.apexmed/" TargetMode="External"/><Relationship Id="rId66" Type="http://schemas.openxmlformats.org/officeDocument/2006/relationships/hyperlink" Target="https://www.facebook.com/troly.bacsi.vutrongtien" TargetMode="External"/><Relationship Id="rId21" Type="http://schemas.openxmlformats.org/officeDocument/2006/relationships/hyperlink" Target="https://www.tiktok.com/@drvutrongtienlamdepeva" TargetMode="External"/><Relationship Id="rId65" Type="http://schemas.openxmlformats.org/officeDocument/2006/relationships/hyperlink" Target="https://www.facebook.com/profile.php?id=61573251691034" TargetMode="External"/><Relationship Id="rId24" Type="http://schemas.openxmlformats.org/officeDocument/2006/relationships/hyperlink" Target="https://www.facebook.com/profile.php?id=61575144252391" TargetMode="External"/><Relationship Id="rId68" Type="http://schemas.openxmlformats.org/officeDocument/2006/relationships/hyperlink" Target="https://www.facebook.com/profile.php?id=61579624720392" TargetMode="External"/><Relationship Id="rId23" Type="http://schemas.openxmlformats.org/officeDocument/2006/relationships/hyperlink" Target="https://www.facebook.com/drtien.tantrangcobe103" TargetMode="External"/><Relationship Id="rId67" Type="http://schemas.openxmlformats.org/officeDocument/2006/relationships/hyperlink" Target="https://www.facebook.com/profile.php?id=61577910396187" TargetMode="External"/><Relationship Id="rId60" Type="http://schemas.openxmlformats.org/officeDocument/2006/relationships/hyperlink" Target="https://www.facebook.com/profile.php?id=100084936618273" TargetMode="External"/><Relationship Id="rId26" Type="http://schemas.openxmlformats.org/officeDocument/2006/relationships/hyperlink" Target="https://www.facebook.com/profile.php?id=100085131549687" TargetMode="External"/><Relationship Id="rId25" Type="http://schemas.openxmlformats.org/officeDocument/2006/relationships/hyperlink" Target="https://www.facebook.com/profile.php?id=100089455893790" TargetMode="External"/><Relationship Id="rId69" Type="http://schemas.openxmlformats.org/officeDocument/2006/relationships/hyperlink" Target="https://www.facebook.com/profile.php?id=61579619440979" TargetMode="External"/><Relationship Id="rId28" Type="http://schemas.openxmlformats.org/officeDocument/2006/relationships/hyperlink" Target="https://www.facebook.com/profile.php?id=61582889454685&amp;locale=vi_VN" TargetMode="External"/><Relationship Id="rId27" Type="http://schemas.openxmlformats.org/officeDocument/2006/relationships/hyperlink" Target="https://www.facebook.com/profile.php?id=100089212843600" TargetMode="External"/><Relationship Id="rId29" Type="http://schemas.openxmlformats.org/officeDocument/2006/relationships/hyperlink" Target="https://www.facebook.com/profile.php?id=61572368999279&amp;locale=vi_VN" TargetMode="External"/><Relationship Id="rId51" Type="http://schemas.openxmlformats.org/officeDocument/2006/relationships/hyperlink" Target="https://www.facebook.com/thammyapexmed.bacsytien?locale=vi_VN" TargetMode="External"/><Relationship Id="rId50" Type="http://schemas.openxmlformats.org/officeDocument/2006/relationships/hyperlink" Target="https://www.facebook.com/bacsitien.apexmed.tieueva/?locale=vi_VN" TargetMode="External"/><Relationship Id="rId53" Type="http://schemas.openxmlformats.org/officeDocument/2006/relationships/hyperlink" Target="https://www.facebook.com/profile.php?id=100083579491796" TargetMode="External"/><Relationship Id="rId52" Type="http://schemas.openxmlformats.org/officeDocument/2006/relationships/hyperlink" Target="https://www.facebook.com/profile.php?id=61567594395943&amp;locale=vi_VN" TargetMode="External"/><Relationship Id="rId11" Type="http://schemas.openxmlformats.org/officeDocument/2006/relationships/hyperlink" Target="https://www.facebook.com/profile.php?id=61561262817434" TargetMode="External"/><Relationship Id="rId55" Type="http://schemas.openxmlformats.org/officeDocument/2006/relationships/hyperlink" Target="https://www.facebook.com/profile.php?id=100005481271617" TargetMode="External"/><Relationship Id="rId10" Type="http://schemas.openxmlformats.org/officeDocument/2006/relationships/hyperlink" Target="https://www.facebook.com/103vienquany/" TargetMode="External"/><Relationship Id="rId54" Type="http://schemas.openxmlformats.org/officeDocument/2006/relationships/hyperlink" Target="https://www.tiktok.com/@tantrangcobe.b.s.tien" TargetMode="External"/><Relationship Id="rId13" Type="http://schemas.openxmlformats.org/officeDocument/2006/relationships/hyperlink" Target="https://www.facebook.com/profile.php?id=61577314978339" TargetMode="External"/><Relationship Id="rId57" Type="http://schemas.openxmlformats.org/officeDocument/2006/relationships/hyperlink" Target="https://www.facebook.com/profile.php?id=61577035067917" TargetMode="External"/><Relationship Id="rId12" Type="http://schemas.openxmlformats.org/officeDocument/2006/relationships/hyperlink" Target="https://www.facebook.com/VienQuanY103VTT.02/" TargetMode="External"/><Relationship Id="rId56" Type="http://schemas.openxmlformats.org/officeDocument/2006/relationships/hyperlink" Target="https://www.facebook.com/profile.php?id=61577376150419" TargetMode="External"/><Relationship Id="rId15" Type="http://schemas.openxmlformats.org/officeDocument/2006/relationships/hyperlink" Target="https://www.facebook.com/profile.php?id=61577444008325" TargetMode="External"/><Relationship Id="rId59" Type="http://schemas.openxmlformats.org/officeDocument/2006/relationships/hyperlink" Target="https://www.facebook.com/profile.php?id=61577720900078" TargetMode="External"/><Relationship Id="rId14" Type="http://schemas.openxmlformats.org/officeDocument/2006/relationships/hyperlink" Target="https://www.facebook.com/profile.php?id=61577722010031" TargetMode="External"/><Relationship Id="rId58" Type="http://schemas.openxmlformats.org/officeDocument/2006/relationships/hyperlink" Target="https://www.facebook.com/profile.php?id=61577396309455" TargetMode="External"/><Relationship Id="rId17" Type="http://schemas.openxmlformats.org/officeDocument/2006/relationships/hyperlink" Target="https://www.facebook.com/thammytieueva.bacsivutrongtien/" TargetMode="External"/><Relationship Id="rId16" Type="http://schemas.openxmlformats.org/officeDocument/2006/relationships/hyperlink" Target="https://www.facebook.com/thammytieueva.bacsivutrongtien/" TargetMode="External"/><Relationship Id="rId19" Type="http://schemas.openxmlformats.org/officeDocument/2006/relationships/hyperlink" Target="https://www.tiktok.com/@bsvutrongtien29" TargetMode="External"/><Relationship Id="rId18" Type="http://schemas.openxmlformats.org/officeDocument/2006/relationships/hyperlink" Target="https://www.tiktok.com/@apexmed_vutrongtie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agnific.com/" TargetMode="External"/><Relationship Id="rId2" Type="http://schemas.openxmlformats.org/officeDocument/2006/relationships/hyperlink" Target="https://webcake.io/" TargetMode="External"/><Relationship Id="rId3" Type="http://schemas.openxmlformats.org/officeDocument/2006/relationships/hyperlink" Target="https://www.capcut.com/my-cloud/7325701873405722626?enter_from=page_header&amp;from_page=work_space&amp;tab=all" TargetMode="External"/><Relationship Id="rId4" Type="http://schemas.openxmlformats.org/officeDocument/2006/relationships/hyperlink" Target="http://figma.com/" TargetMode="External"/><Relationship Id="rId9" Type="http://schemas.openxmlformats.org/officeDocument/2006/relationships/hyperlink" Target="https://www.adobe.com/" TargetMode="External"/><Relationship Id="rId5" Type="http://schemas.openxmlformats.org/officeDocument/2006/relationships/hyperlink" Target="https://www.adobe.com/" TargetMode="External"/><Relationship Id="rId6" Type="http://schemas.openxmlformats.org/officeDocument/2006/relationships/hyperlink" Target="https://sketchup.trimble.com/en/plans-and-pricing/sketchup-free?srsltid=AU7gw4WCNkWFgenwqy5I9xRXLmwp3M4kfrzNjjeWAVz8P_XsmzWGdyF3" TargetMode="External"/><Relationship Id="rId7" Type="http://schemas.openxmlformats.org/officeDocument/2006/relationships/hyperlink" Target="https://www.magnific.com/" TargetMode="External"/><Relationship Id="rId8" Type="http://schemas.openxmlformats.org/officeDocument/2006/relationships/hyperlink" Target="https://www.capcut.com/my-cloud/7325701873405722626?enter_from=page_header&amp;from_page=work_space&amp;tab=all" TargetMode="External"/><Relationship Id="rId11" Type="http://schemas.openxmlformats.org/officeDocument/2006/relationships/hyperlink" Target="https://www.adobe.com/" TargetMode="External"/><Relationship Id="rId10" Type="http://schemas.openxmlformats.org/officeDocument/2006/relationships/hyperlink" Target="https://www.magnific.com/" TargetMode="External"/><Relationship Id="rId13" Type="http://schemas.openxmlformats.org/officeDocument/2006/relationships/hyperlink" Target="https://www.magnific.com/" TargetMode="External"/><Relationship Id="rId12" Type="http://schemas.openxmlformats.org/officeDocument/2006/relationships/hyperlink" Target="https://www.capcut.com/my-cloud/7325701873405722626?enter_from=page_header&amp;from_page=work_space&amp;tab=all" TargetMode="External"/><Relationship Id="rId15" Type="http://schemas.openxmlformats.org/officeDocument/2006/relationships/hyperlink" Target="https://www.magnific.com/" TargetMode="External"/><Relationship Id="rId14" Type="http://schemas.openxmlformats.org/officeDocument/2006/relationships/hyperlink" Target="https://www.adobe.com/" TargetMode="External"/><Relationship Id="rId17" Type="http://schemas.openxmlformats.org/officeDocument/2006/relationships/hyperlink" Target="https://www.magnific.com/" TargetMode="External"/><Relationship Id="rId16" Type="http://schemas.openxmlformats.org/officeDocument/2006/relationships/hyperlink" Target="https://www.adobe.com/" TargetMode="External"/><Relationship Id="rId19" Type="http://schemas.openxmlformats.org/officeDocument/2006/relationships/drawing" Target="../drawings/drawing6.xml"/><Relationship Id="rId18" Type="http://schemas.openxmlformats.org/officeDocument/2006/relationships/hyperlink" Target="https://www.adobe.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dobe.com/" TargetMode="External"/><Relationship Id="rId2" Type="http://schemas.openxmlformats.org/officeDocument/2006/relationships/hyperlink" Target="https://www.adobe.com/" TargetMode="External"/><Relationship Id="rId3" Type="http://schemas.openxmlformats.org/officeDocument/2006/relationships/hyperlink" Target="https://www.adobe.com/" TargetMode="External"/><Relationship Id="rId4" Type="http://schemas.openxmlformats.org/officeDocument/2006/relationships/hyperlink" Target="https://www.adobe.com/" TargetMode="External"/><Relationship Id="rId9" Type="http://schemas.openxmlformats.org/officeDocument/2006/relationships/hyperlink" Target="https://www.adobe.com/" TargetMode="External"/><Relationship Id="rId5" Type="http://schemas.openxmlformats.org/officeDocument/2006/relationships/hyperlink" Target="https://www.adobe.com/" TargetMode="External"/><Relationship Id="rId6" Type="http://schemas.openxmlformats.org/officeDocument/2006/relationships/hyperlink" Target="https://www.adobe.com/" TargetMode="External"/><Relationship Id="rId7" Type="http://schemas.openxmlformats.org/officeDocument/2006/relationships/hyperlink" Target="https://www.adobe.com/" TargetMode="External"/><Relationship Id="rId8" Type="http://schemas.openxmlformats.org/officeDocument/2006/relationships/hyperlink" Target="https://www.adobe.com/" TargetMode="External"/><Relationship Id="rId11" Type="http://schemas.openxmlformats.org/officeDocument/2006/relationships/drawing" Target="../drawings/drawing7.xml"/><Relationship Id="rId10" Type="http://schemas.openxmlformats.org/officeDocument/2006/relationships/hyperlink" Target="https://www.magnific.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youtube.com/@phongkhamthammyapexmed" TargetMode="External"/><Relationship Id="rId42" Type="http://schemas.openxmlformats.org/officeDocument/2006/relationships/hyperlink" Target="https://www.facebook.com/profile.php?id=100069127330255" TargetMode="External"/><Relationship Id="rId41" Type="http://schemas.openxmlformats.org/officeDocument/2006/relationships/hyperlink" Target="https://www.facebook.com/profile.php?id=61591732420566" TargetMode="External"/><Relationship Id="rId43" Type="http://schemas.openxmlformats.org/officeDocument/2006/relationships/drawing" Target="../drawings/drawing8.xml"/><Relationship Id="rId1" Type="http://schemas.openxmlformats.org/officeDocument/2006/relationships/hyperlink" Target="https://www.facebook.com/DrTienVien103?locale=vi_VN" TargetMode="External"/><Relationship Id="rId2" Type="http://schemas.openxmlformats.org/officeDocument/2006/relationships/hyperlink" Target="https://www.facebook.com/TIENSI.VUTRONGTIEN/" TargetMode="External"/><Relationship Id="rId3" Type="http://schemas.openxmlformats.org/officeDocument/2006/relationships/hyperlink" Target="https://www.facebook.com/DrTienVien103?locale=vi_VN" TargetMode="External"/><Relationship Id="rId4" Type="http://schemas.openxmlformats.org/officeDocument/2006/relationships/hyperlink" Target="https://www.facebook.com/groups/4016174882008678" TargetMode="External"/><Relationship Id="rId9" Type="http://schemas.openxmlformats.org/officeDocument/2006/relationships/hyperlink" Target="https://www.facebook.com/groups/531411745613668" TargetMode="External"/><Relationship Id="rId5" Type="http://schemas.openxmlformats.org/officeDocument/2006/relationships/hyperlink" Target="https://www.facebook.com/groups/1098149724956406" TargetMode="External"/><Relationship Id="rId6" Type="http://schemas.openxmlformats.org/officeDocument/2006/relationships/hyperlink" Target="https://www.facebook.com/groups/608585069532791" TargetMode="External"/><Relationship Id="rId7" Type="http://schemas.openxmlformats.org/officeDocument/2006/relationships/hyperlink" Target="https://www.facebook.com/groups/6550407141679776" TargetMode="External"/><Relationship Id="rId8" Type="http://schemas.openxmlformats.org/officeDocument/2006/relationships/hyperlink" Target="https://www.facebook.com/groups/443897823755710" TargetMode="External"/><Relationship Id="rId31" Type="http://schemas.openxmlformats.org/officeDocument/2006/relationships/hyperlink" Target="https://www.tiktok.com/@vutrongtien.trending" TargetMode="External"/><Relationship Id="rId30" Type="http://schemas.openxmlformats.org/officeDocument/2006/relationships/hyperlink" Target="https://www.tiktok.com/@drvutrongtien" TargetMode="External"/><Relationship Id="rId33" Type="http://schemas.openxmlformats.org/officeDocument/2006/relationships/hyperlink" Target="https://www.tiktok.com/@bacsidavidbui" TargetMode="External"/><Relationship Id="rId32" Type="http://schemas.openxmlformats.org/officeDocument/2006/relationships/hyperlink" Target="https://www.tiktok.com/@drdavidbui" TargetMode="External"/><Relationship Id="rId35" Type="http://schemas.openxmlformats.org/officeDocument/2006/relationships/hyperlink" Target="https://www.tiktok.com/@bsminhtam.sanphukhoa" TargetMode="External"/><Relationship Id="rId34" Type="http://schemas.openxmlformats.org/officeDocument/2006/relationships/hyperlink" Target="https://www.tiktok.com/@bacsidavidbui.tiktok" TargetMode="External"/><Relationship Id="rId37" Type="http://schemas.openxmlformats.org/officeDocument/2006/relationships/hyperlink" Target="https://www.youtube.com/@bacsidavidbui" TargetMode="External"/><Relationship Id="rId36" Type="http://schemas.openxmlformats.org/officeDocument/2006/relationships/hyperlink" Target="https://www.youtube.com/@bacsivutrongtien" TargetMode="External"/><Relationship Id="rId39" Type="http://schemas.openxmlformats.org/officeDocument/2006/relationships/hyperlink" Target="https://www.tiktok.com/@phongkhamthammy.apexmed" TargetMode="External"/><Relationship Id="rId38" Type="http://schemas.openxmlformats.org/officeDocument/2006/relationships/hyperlink" Target="https://www.youtube.com/@Bacsiminhtam.sanphukhoa" TargetMode="External"/><Relationship Id="rId20" Type="http://schemas.openxmlformats.org/officeDocument/2006/relationships/hyperlink" Target="https://www.facebook.com/TIENSI.VUTRONGTIEN/" TargetMode="External"/><Relationship Id="rId22" Type="http://schemas.openxmlformats.org/officeDocument/2006/relationships/hyperlink" Target="https://www.facebook.com/groups/phanhoikhachhangthepyo" TargetMode="External"/><Relationship Id="rId21" Type="http://schemas.openxmlformats.org/officeDocument/2006/relationships/hyperlink" Target="https://www.facebook.com/groups/938568356885577" TargetMode="External"/><Relationship Id="rId24" Type="http://schemas.openxmlformats.org/officeDocument/2006/relationships/hyperlink" Target="https://www.facebook.com/thammyApexmed/" TargetMode="External"/><Relationship Id="rId23" Type="http://schemas.openxmlformats.org/officeDocument/2006/relationships/hyperlink" Target="https://www.facebook.com/thammyApexmed/" TargetMode="External"/><Relationship Id="rId26" Type="http://schemas.openxmlformats.org/officeDocument/2006/relationships/hyperlink" Target="https://www.facebook.com/BacsiDavidBui.Apexmed" TargetMode="External"/><Relationship Id="rId25" Type="http://schemas.openxmlformats.org/officeDocument/2006/relationships/hyperlink" Target="https://www.facebook.com/phongkhamthammyApexmed" TargetMode="External"/><Relationship Id="rId28" Type="http://schemas.openxmlformats.org/officeDocument/2006/relationships/hyperlink" Target="https://www.facebook.com/Bacsisanphukhoa.Apexmed" TargetMode="External"/><Relationship Id="rId27" Type="http://schemas.openxmlformats.org/officeDocument/2006/relationships/hyperlink" Target="https://www.facebook.com/BsDavidBui.Apexmed" TargetMode="External"/><Relationship Id="rId29" Type="http://schemas.openxmlformats.org/officeDocument/2006/relationships/hyperlink" Target="https://www.tiktok.com/@drvutrongtien.apexmed" TargetMode="External"/><Relationship Id="rId11" Type="http://schemas.openxmlformats.org/officeDocument/2006/relationships/hyperlink" Target="https://www.facebook.com/groups/824499352169302" TargetMode="External"/><Relationship Id="rId10" Type="http://schemas.openxmlformats.org/officeDocument/2006/relationships/hyperlink" Target="https://www.facebook.com/groups/284783797619080" TargetMode="External"/><Relationship Id="rId13" Type="http://schemas.openxmlformats.org/officeDocument/2006/relationships/hyperlink" Target="https://www.facebook.com/groups/nhomkhachhangthepyo" TargetMode="External"/><Relationship Id="rId12" Type="http://schemas.openxmlformats.org/officeDocument/2006/relationships/hyperlink" Target="https://www.facebook.com/groups/695743015705652" TargetMode="External"/><Relationship Id="rId15" Type="http://schemas.openxmlformats.org/officeDocument/2006/relationships/hyperlink" Target="https://www.facebook.com/TIENSI.VUTRONGTIEN" TargetMode="External"/><Relationship Id="rId14" Type="http://schemas.openxmlformats.org/officeDocument/2006/relationships/hyperlink" Target="https://www.facebook.com/groups/776125762224045" TargetMode="External"/><Relationship Id="rId17" Type="http://schemas.openxmlformats.org/officeDocument/2006/relationships/hyperlink" Target="https://www.facebook.com/BacsiDavidBuichuanykhoa/" TargetMode="External"/><Relationship Id="rId16" Type="http://schemas.openxmlformats.org/officeDocument/2006/relationships/hyperlink" Target="https://www.facebook.com/groups/1722092492110074" TargetMode="External"/><Relationship Id="rId19" Type="http://schemas.openxmlformats.org/officeDocument/2006/relationships/hyperlink" Target="https://www.facebook.com/Tamsucungbsvutrongtien.apexmed" TargetMode="External"/><Relationship Id="rId18" Type="http://schemas.openxmlformats.org/officeDocument/2006/relationships/hyperlink" Target="https://www.facebook.com/BacsiDavidBuichuanykhoa/"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6A8E"/>
    <pageSetUpPr/>
  </sheetPr>
  <sheetViews>
    <sheetView workbookViewId="0"/>
  </sheetViews>
  <sheetFormatPr customHeight="1" defaultColWidth="14.43" defaultRowHeight="15.0"/>
  <cols>
    <col customWidth="1" min="1" max="1" width="26.0"/>
    <col customWidth="1" min="2" max="2" width="95.0"/>
    <col customWidth="1" min="3" max="3" width="24.0"/>
    <col customWidth="1" min="4" max="4" width="22.0"/>
    <col customWidth="1" min="5" max="5" width="28.0"/>
    <col customWidth="1" min="6" max="6" width="30.0"/>
    <col customWidth="1" min="7" max="7" width="26.0"/>
    <col customWidth="1" min="8" max="8" width="16.0"/>
    <col customWidth="1" min="9" max="9" width="22.0"/>
    <col customWidth="1" min="10" max="10" width="26.0"/>
    <col customWidth="1" min="11" max="11" width="14.0"/>
    <col customWidth="1" min="12" max="12" width="30.0"/>
    <col customWidth="1" min="13" max="13" width="20.0"/>
    <col customWidth="1" min="14" max="14" width="18.0"/>
    <col customWidth="1" min="15" max="15" width="14.0"/>
    <col customWidth="1" min="16" max="16" width="26.0"/>
    <col customWidth="1" min="17" max="17" width="18.0"/>
    <col customWidth="1" min="18" max="18" width="28.0"/>
    <col customWidth="1" min="19" max="26" width="8.71"/>
  </cols>
  <sheetData>
    <row r="1">
      <c r="A1" s="3" t="s">
        <v>1</v>
      </c>
    </row>
    <row r="3">
      <c r="A3" s="6" t="s">
        <v>5</v>
      </c>
      <c r="B3" s="9" t="s">
        <v>8</v>
      </c>
    </row>
    <row r="4">
      <c r="A4" s="6" t="s">
        <v>10</v>
      </c>
      <c r="B4" s="10" t="s">
        <v>12</v>
      </c>
    </row>
    <row r="5">
      <c r="A5" s="6" t="s">
        <v>14</v>
      </c>
      <c r="B5" s="9" t="s">
        <v>15</v>
      </c>
    </row>
    <row r="6">
      <c r="A6" s="6" t="s">
        <v>17</v>
      </c>
      <c r="B6" s="9" t="s">
        <v>18</v>
      </c>
    </row>
    <row r="7">
      <c r="A7" s="6" t="s">
        <v>19</v>
      </c>
      <c r="B7" s="9" t="s">
        <v>21</v>
      </c>
    </row>
    <row r="8">
      <c r="A8" s="6" t="s">
        <v>23</v>
      </c>
      <c r="B8" s="16" t="s">
        <v>26</v>
      </c>
    </row>
    <row r="9">
      <c r="A9" s="6" t="s">
        <v>31</v>
      </c>
      <c r="B9" s="9" t="s">
        <v>33</v>
      </c>
    </row>
    <row r="10">
      <c r="A10" s="6" t="s">
        <v>35</v>
      </c>
      <c r="B10" s="9" t="s">
        <v>37</v>
      </c>
    </row>
    <row r="11">
      <c r="A11" s="6" t="s">
        <v>38</v>
      </c>
      <c r="B11" s="9" t="s">
        <v>39</v>
      </c>
    </row>
    <row r="12">
      <c r="A12" s="6" t="s">
        <v>40</v>
      </c>
      <c r="B12" s="9" t="s">
        <v>41</v>
      </c>
    </row>
    <row r="13">
      <c r="A13" s="6" t="s">
        <v>42</v>
      </c>
      <c r="B13" s="9" t="s">
        <v>43</v>
      </c>
    </row>
    <row r="14">
      <c r="A14" s="6" t="s">
        <v>44</v>
      </c>
      <c r="B14" s="9" t="s">
        <v>45</v>
      </c>
    </row>
    <row r="15">
      <c r="A15" s="6" t="s">
        <v>46</v>
      </c>
      <c r="B15" s="9" t="s">
        <v>47</v>
      </c>
    </row>
    <row r="17">
      <c r="A17" s="17" t="s">
        <v>48</v>
      </c>
    </row>
    <row r="18" ht="33.75" customHeight="1">
      <c r="A18" s="12" t="s">
        <v>11</v>
      </c>
      <c r="B18" s="12" t="s">
        <v>16</v>
      </c>
      <c r="C18" s="12" t="s">
        <v>20</v>
      </c>
      <c r="D18" s="12" t="s">
        <v>22</v>
      </c>
      <c r="E18" s="12" t="s">
        <v>24</v>
      </c>
      <c r="F18" s="12" t="s">
        <v>25</v>
      </c>
      <c r="G18" s="12" t="s">
        <v>28</v>
      </c>
      <c r="H18" s="12" t="s">
        <v>29</v>
      </c>
      <c r="I18" s="12" t="s">
        <v>30</v>
      </c>
      <c r="J18" s="12" t="s">
        <v>32</v>
      </c>
      <c r="K18" s="12" t="s">
        <v>34</v>
      </c>
      <c r="L18" s="12" t="s">
        <v>36</v>
      </c>
    </row>
    <row r="19">
      <c r="A19" s="20" t="s">
        <v>50</v>
      </c>
      <c r="B19" s="20" t="s">
        <v>52</v>
      </c>
      <c r="C19" s="20" t="s">
        <v>53</v>
      </c>
      <c r="D19" s="20" t="s">
        <v>54</v>
      </c>
      <c r="E19" s="20" t="s">
        <v>55</v>
      </c>
      <c r="F19" s="20" t="s">
        <v>56</v>
      </c>
      <c r="G19" s="20" t="s">
        <v>57</v>
      </c>
      <c r="H19" s="20" t="s">
        <v>58</v>
      </c>
      <c r="I19" s="20" t="s">
        <v>59</v>
      </c>
      <c r="J19" s="20"/>
      <c r="K19" s="20" t="s">
        <v>60</v>
      </c>
      <c r="L19" s="20" t="s">
        <v>61</v>
      </c>
    </row>
    <row r="21" ht="15.75" customHeight="1">
      <c r="A21" s="17" t="s">
        <v>63</v>
      </c>
    </row>
    <row r="22" ht="33.75" customHeight="1">
      <c r="A22" s="12" t="s">
        <v>11</v>
      </c>
      <c r="B22" s="12" t="s">
        <v>65</v>
      </c>
      <c r="C22" s="12" t="s">
        <v>66</v>
      </c>
      <c r="D22" s="12" t="s">
        <v>67</v>
      </c>
      <c r="E22" s="12" t="s">
        <v>68</v>
      </c>
      <c r="F22" s="12" t="s">
        <v>69</v>
      </c>
      <c r="G22" s="12" t="s">
        <v>71</v>
      </c>
      <c r="H22" s="12" t="s">
        <v>72</v>
      </c>
      <c r="I22" s="12" t="s">
        <v>73</v>
      </c>
      <c r="J22" s="12" t="s">
        <v>74</v>
      </c>
      <c r="K22" s="12" t="s">
        <v>75</v>
      </c>
      <c r="L22" s="12" t="s">
        <v>76</v>
      </c>
      <c r="M22" s="12" t="s">
        <v>78</v>
      </c>
      <c r="N22" s="12" t="s">
        <v>79</v>
      </c>
      <c r="O22" s="12" t="s">
        <v>80</v>
      </c>
      <c r="P22" s="12" t="s">
        <v>81</v>
      </c>
      <c r="Q22" s="12" t="s">
        <v>82</v>
      </c>
      <c r="R22" s="12" t="s">
        <v>36</v>
      </c>
    </row>
    <row r="23" ht="15.75" customHeight="1">
      <c r="A23" s="20" t="s">
        <v>50</v>
      </c>
      <c r="B23" s="20" t="s">
        <v>83</v>
      </c>
      <c r="C23" s="20" t="s">
        <v>84</v>
      </c>
      <c r="D23" s="20" t="s">
        <v>85</v>
      </c>
      <c r="E23" s="20" t="s">
        <v>86</v>
      </c>
      <c r="F23" s="20" t="s">
        <v>87</v>
      </c>
      <c r="G23" s="20" t="s">
        <v>53</v>
      </c>
      <c r="H23" s="20" t="s">
        <v>88</v>
      </c>
      <c r="I23" s="20" t="s">
        <v>89</v>
      </c>
      <c r="J23" s="20" t="s">
        <v>90</v>
      </c>
      <c r="K23" s="20" t="s">
        <v>56</v>
      </c>
      <c r="L23" s="20" t="s">
        <v>91</v>
      </c>
      <c r="M23" s="20" t="s">
        <v>53</v>
      </c>
      <c r="N23" s="20" t="s">
        <v>92</v>
      </c>
      <c r="O23" s="20" t="s">
        <v>93</v>
      </c>
      <c r="P23" s="20" t="s">
        <v>95</v>
      </c>
      <c r="Q23" s="20" t="s">
        <v>96</v>
      </c>
      <c r="R23" s="20" t="s">
        <v>97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2863"/>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8.0"/>
    <col customWidth="1" min="2" max="3" width="14.0"/>
    <col customWidth="1" min="4" max="4" width="12.0"/>
    <col customWidth="1" min="5" max="5" width="20.0"/>
    <col customWidth="1" min="6" max="6" width="28.0"/>
    <col customWidth="1" min="7" max="7" width="26.0"/>
    <col customWidth="1" min="8" max="8" width="20.0"/>
    <col customWidth="1" min="9" max="9" width="12.0"/>
    <col customWidth="1" min="10" max="11" width="16.0"/>
    <col customWidth="1" min="12" max="13" width="14.0"/>
    <col customWidth="1" min="14" max="25" width="8.71"/>
    <col customWidth="1" hidden="1" min="26" max="26" width="13.0"/>
  </cols>
  <sheetData>
    <row r="1">
      <c r="A1" s="1" t="s">
        <v>0</v>
      </c>
    </row>
    <row r="2">
      <c r="A2" s="2" t="s">
        <v>3</v>
      </c>
    </row>
    <row r="3">
      <c r="A3" s="5" t="s">
        <v>4</v>
      </c>
    </row>
    <row r="4">
      <c r="A4" s="8" t="s">
        <v>7</v>
      </c>
      <c r="C4" s="13" t="s">
        <v>13</v>
      </c>
      <c r="D4" s="14"/>
      <c r="E4" s="14"/>
      <c r="F4" s="15"/>
    </row>
    <row r="5">
      <c r="A5" s="8" t="s">
        <v>27</v>
      </c>
      <c r="B5" s="22" t="str">
        <f t="array" ref="B5">IF($C$4="","",IFERROR(INDEX('Người sử dụng'!$D$5:$D$140,MATCH($C$4,'Người sử dụng'!$C$5:$C$140,0)),""))</f>
        <v>Phòng Tài nguyên</v>
      </c>
      <c r="E5" s="8" t="s">
        <v>70</v>
      </c>
      <c r="F5" s="22" t="str">
        <f t="array" ref="F5">IF($C$4="","",IFERROR(INDEX('Người sử dụng'!$H$5:$H$140,MATCH($C$4,'Người sử dụng'!$C$5:$C$140,0)),""))</f>
        <v>Đang làm</v>
      </c>
      <c r="H5" s="8" t="s">
        <v>98</v>
      </c>
      <c r="J5" s="22" t="str">
        <f>IF($C$4="","",MAX('Dữ liệu gộp'!$L$2:$L$1001))</f>
        <v>#REF!</v>
      </c>
    </row>
    <row r="6">
      <c r="A6" s="8" t="s">
        <v>100</v>
      </c>
      <c r="B6" s="30" t="s">
        <v>101</v>
      </c>
      <c r="C6" s="30" t="s">
        <v>84</v>
      </c>
      <c r="D6" s="30" t="s">
        <v>102</v>
      </c>
      <c r="E6" s="30" t="s">
        <v>103</v>
      </c>
      <c r="F6" s="30" t="s">
        <v>104</v>
      </c>
      <c r="G6" s="30" t="s">
        <v>106</v>
      </c>
      <c r="H6" s="30" t="s">
        <v>107</v>
      </c>
    </row>
    <row r="7">
      <c r="B7" s="36">
        <f>IF($C$4="","",COUNTIFS('Dữ liệu gộp'!$G$2:$G$1001,$C$4,'Dữ liệu gộp'!$C$2:$C$1001,"Via"))</f>
        <v>1</v>
      </c>
      <c r="C7" s="36">
        <f>IF($C$4="","",COUNTIFS('Dữ liệu gộp'!$G$2:$G$1001,$C$4,'Dữ liệu gộp'!$C$2:$C$1001,"Page"))</f>
        <v>0</v>
      </c>
      <c r="D7" s="36">
        <f>IF($C$4="","",COUNTIFS('Dữ liệu gộp'!$G$2:$G$1001,$C$4,'Dữ liệu gộp'!$C$2:$C$1001,"Nhóm"))</f>
        <v>0</v>
      </c>
      <c r="E7" s="36">
        <f>IF($C$4="","",COUNTIFS('Dữ liệu gộp'!$G$2:$G$1001,$C$4,'Dữ liệu gộp'!$C$2:$C$1001,"AI"))</f>
        <v>0</v>
      </c>
      <c r="F7" s="36">
        <f>IF($C$4="","",COUNTIFS('Dữ liệu gộp'!$G$2:$G$1001,$C$4,'Dữ liệu gộp'!$C$2:$C$1001,"TKQC"))</f>
        <v>0</v>
      </c>
      <c r="G7" s="36">
        <f>IF($C$4="","",COUNTIFS('Dữ liệu gộp'!$G$2:$G$1001,$C$4,'Dữ liệu gộp'!$C$2:$C$1001,"BM"))</f>
        <v>0</v>
      </c>
      <c r="H7" s="36">
        <f>IF($C$4="","",COUNTIFS('Dữ liệu gộp'!$G$2:$G$1001,$C$4,'Dữ liệu gộp'!$C$2:$C$1001,"Khác"))</f>
        <v>0</v>
      </c>
    </row>
    <row r="9" ht="31.5" customHeight="1">
      <c r="A9" s="12" t="s">
        <v>11</v>
      </c>
      <c r="B9" s="12" t="s">
        <v>22</v>
      </c>
      <c r="C9" s="12" t="s">
        <v>65</v>
      </c>
      <c r="D9" s="12" t="s">
        <v>126</v>
      </c>
      <c r="E9" s="12" t="s">
        <v>67</v>
      </c>
      <c r="F9" s="12" t="s">
        <v>68</v>
      </c>
      <c r="G9" s="12" t="s">
        <v>69</v>
      </c>
      <c r="H9" s="12" t="s">
        <v>73</v>
      </c>
      <c r="I9" s="12" t="s">
        <v>76</v>
      </c>
      <c r="J9" s="12" t="s">
        <v>82</v>
      </c>
      <c r="K9" s="12" t="s">
        <v>129</v>
      </c>
    </row>
    <row r="10">
      <c r="A10" s="43">
        <f>IF(Z10="","",1)</f>
        <v>1</v>
      </c>
      <c r="B10" s="46" t="str">
        <f t="array" ref="B10">IF($Z10="","",INDEX('Dữ liệu gộp'!$A$2:$A$1001,$Z10))</f>
        <v>ADS</v>
      </c>
      <c r="C10" s="46" t="str">
        <f t="array" ref="C10">IF($Z10="","",INDEX('Dữ liệu gộp'!$B$2:$B$1001,$Z10))</f>
        <v>ADS-001</v>
      </c>
      <c r="D10" s="43" t="str">
        <f t="array" ref="D10">IF($Z10="","",INDEX('Dữ liệu gộp'!$C$2:$C$1001,$Z10))</f>
        <v>Via</v>
      </c>
      <c r="E10" s="47" t="str">
        <f t="array" ref="E10">IF($Z10="","",INDEX('Dữ liệu gộp'!$D$2:$D$1001,$Z10))</f>
        <v>12356489755</v>
      </c>
      <c r="F10" s="46" t="str">
        <f t="array" ref="F10">IF($Z10="","",INDEX('Dữ liệu gộp'!$E$2:$E$1001,$Z10))</f>
        <v>Via Ads 1</v>
      </c>
      <c r="G10" s="49" t="str">
        <f t="array" ref="G10">IF($Z10="","",INDEX('Dữ liệu gộp'!$F$2:$F$1001,$Z10))</f>
        <v>abcxyz.com</v>
      </c>
      <c r="H10" s="46" t="str">
        <f t="array" ref="H10">IF($Z10="","",INDEX('Dữ liệu gộp'!$H$2:$H$1001,$Z10))</f>
        <v>Chủ sở hữu / Admin</v>
      </c>
      <c r="I10" s="43" t="str">
        <f t="array" ref="I10">IF($Z10="","",INDEX('Dữ liệu gộp'!$I$2:$I$1001,$Z10))</f>
        <v/>
      </c>
      <c r="J10" s="43" t="str">
        <f t="array" ref="J10">IF($Z10="","",INDEX('Dữ liệu gộp'!$J$2:$J$1001,$Z10))</f>
        <v>Đã bàn giao</v>
      </c>
      <c r="K10" s="43" t="str">
        <f t="array" ref="K10">IF($Z10="","",INDEX('Dữ liệu gộp'!$K$2:$K$1001,$Z10))</f>
        <v/>
      </c>
      <c r="Z10" s="52">
        <f>IF($C$4="","",IFERROR(MATCH(1,'Dữ liệu gộp'!$L$2:$L$1001,0),""))</f>
        <v>1</v>
      </c>
    </row>
    <row r="11">
      <c r="A11" s="43" t="str">
        <f>IF(Z11="","",2)</f>
        <v/>
      </c>
      <c r="B11" s="46" t="str">
        <f t="array" ref="B11">IF($Z11="","",INDEX('Dữ liệu gộp'!$A$2:$A$1001,$Z11))</f>
        <v/>
      </c>
      <c r="C11" s="46" t="str">
        <f t="array" ref="C11">IF($Z11="","",INDEX('Dữ liệu gộp'!$B$2:$B$1001,$Z11))</f>
        <v/>
      </c>
      <c r="D11" s="43" t="str">
        <f t="array" ref="D11">IF($Z11="","",INDEX('Dữ liệu gộp'!$C$2:$C$1001,$Z11))</f>
        <v/>
      </c>
      <c r="E11" s="47" t="str">
        <f t="array" ref="E11">IF($Z11="","",INDEX('Dữ liệu gộp'!$D$2:$D$1001,$Z11))</f>
        <v/>
      </c>
      <c r="F11" s="46" t="str">
        <f t="array" ref="F11">IF($Z11="","",INDEX('Dữ liệu gộp'!$E$2:$E$1001,$Z11))</f>
        <v/>
      </c>
      <c r="G11" s="46" t="str">
        <f t="array" ref="G11">IF($Z11="","",INDEX('Dữ liệu gộp'!$F$2:$F$1001,$Z11))</f>
        <v/>
      </c>
      <c r="H11" s="46" t="str">
        <f t="array" ref="H11">IF($Z11="","",INDEX('Dữ liệu gộp'!$H$2:$H$1001,$Z11))</f>
        <v/>
      </c>
      <c r="I11" s="43" t="str">
        <f t="array" ref="I11">IF($Z11="","",INDEX('Dữ liệu gộp'!$I$2:$I$1001,$Z11))</f>
        <v/>
      </c>
      <c r="J11" s="43" t="str">
        <f t="array" ref="J11">IF($Z11="","",INDEX('Dữ liệu gộp'!$J$2:$J$1001,$Z11))</f>
        <v/>
      </c>
      <c r="K11" s="43" t="str">
        <f t="array" ref="K11">IF($Z11="","",INDEX('Dữ liệu gộp'!$K$2:$K$1001,$Z11))</f>
        <v/>
      </c>
      <c r="Z11" s="52" t="str">
        <f>IF($C$4="","",IFERROR(MATCH(2,'Dữ liệu gộp'!$L$2:$L$1001,0),""))</f>
        <v/>
      </c>
    </row>
    <row r="12">
      <c r="A12" s="43" t="str">
        <f>IF(Z12="","",3)</f>
        <v/>
      </c>
      <c r="B12" s="46" t="str">
        <f t="array" ref="B12">IF($Z12="","",INDEX('Dữ liệu gộp'!$A$2:$A$1001,$Z12))</f>
        <v/>
      </c>
      <c r="C12" s="46" t="str">
        <f t="array" ref="C12">IF($Z12="","",INDEX('Dữ liệu gộp'!$B$2:$B$1001,$Z12))</f>
        <v/>
      </c>
      <c r="D12" s="43" t="str">
        <f t="array" ref="D12">IF($Z12="","",INDEX('Dữ liệu gộp'!$C$2:$C$1001,$Z12))</f>
        <v/>
      </c>
      <c r="E12" s="47" t="str">
        <f t="array" ref="E12">IF($Z12="","",INDEX('Dữ liệu gộp'!$D$2:$D$1001,$Z12))</f>
        <v/>
      </c>
      <c r="F12" s="46" t="str">
        <f t="array" ref="F12">IF($Z12="","",INDEX('Dữ liệu gộp'!$E$2:$E$1001,$Z12))</f>
        <v/>
      </c>
      <c r="G12" s="46" t="str">
        <f t="array" ref="G12">IF($Z12="","",INDEX('Dữ liệu gộp'!$F$2:$F$1001,$Z12))</f>
        <v/>
      </c>
      <c r="H12" s="46" t="str">
        <f t="array" ref="H12">IF($Z12="","",INDEX('Dữ liệu gộp'!$H$2:$H$1001,$Z12))</f>
        <v/>
      </c>
      <c r="I12" s="43" t="str">
        <f t="array" ref="I12">IF($Z12="","",INDEX('Dữ liệu gộp'!$I$2:$I$1001,$Z12))</f>
        <v/>
      </c>
      <c r="J12" s="43" t="str">
        <f t="array" ref="J12">IF($Z12="","",INDEX('Dữ liệu gộp'!$J$2:$J$1001,$Z12))</f>
        <v/>
      </c>
      <c r="K12" s="43" t="str">
        <f t="array" ref="K12">IF($Z12="","",INDEX('Dữ liệu gộp'!$K$2:$K$1001,$Z12))</f>
        <v/>
      </c>
      <c r="Z12" s="52" t="str">
        <f>IF($C$4="","",IFERROR(MATCH(3,'Dữ liệu gộp'!$L$2:$L$1001,0),""))</f>
        <v/>
      </c>
    </row>
    <row r="13">
      <c r="A13" s="43" t="str">
        <f>IF(Z13="","",4)</f>
        <v/>
      </c>
      <c r="B13" s="46" t="str">
        <f t="array" ref="B13">IF($Z13="","",INDEX('Dữ liệu gộp'!$A$2:$A$1001,$Z13))</f>
        <v/>
      </c>
      <c r="C13" s="46" t="str">
        <f t="array" ref="C13">IF($Z13="","",INDEX('Dữ liệu gộp'!$B$2:$B$1001,$Z13))</f>
        <v/>
      </c>
      <c r="D13" s="43" t="str">
        <f t="array" ref="D13">IF($Z13="","",INDEX('Dữ liệu gộp'!$C$2:$C$1001,$Z13))</f>
        <v/>
      </c>
      <c r="E13" s="47" t="str">
        <f t="array" ref="E13">IF($Z13="","",INDEX('Dữ liệu gộp'!$D$2:$D$1001,$Z13))</f>
        <v/>
      </c>
      <c r="F13" s="46" t="str">
        <f t="array" ref="F13">IF($Z13="","",INDEX('Dữ liệu gộp'!$E$2:$E$1001,$Z13))</f>
        <v/>
      </c>
      <c r="G13" s="46" t="str">
        <f t="array" ref="G13">IF($Z13="","",INDEX('Dữ liệu gộp'!$F$2:$F$1001,$Z13))</f>
        <v/>
      </c>
      <c r="H13" s="46" t="str">
        <f t="array" ref="H13">IF($Z13="","",INDEX('Dữ liệu gộp'!$H$2:$H$1001,$Z13))</f>
        <v/>
      </c>
      <c r="I13" s="43" t="str">
        <f t="array" ref="I13">IF($Z13="","",INDEX('Dữ liệu gộp'!$I$2:$I$1001,$Z13))</f>
        <v/>
      </c>
      <c r="J13" s="43" t="str">
        <f t="array" ref="J13">IF($Z13="","",INDEX('Dữ liệu gộp'!$J$2:$J$1001,$Z13))</f>
        <v/>
      </c>
      <c r="K13" s="43" t="str">
        <f t="array" ref="K13">IF($Z13="","",INDEX('Dữ liệu gộp'!$K$2:$K$1001,$Z13))</f>
        <v/>
      </c>
      <c r="Z13" s="52" t="str">
        <f>IF($C$4="","",IFERROR(MATCH(4,'Dữ liệu gộp'!$L$2:$L$1001,0),""))</f>
        <v/>
      </c>
    </row>
    <row r="14">
      <c r="A14" s="43" t="str">
        <f>IF(Z14="","",5)</f>
        <v/>
      </c>
      <c r="B14" s="46" t="str">
        <f t="array" ref="B14">IF($Z14="","",INDEX('Dữ liệu gộp'!$A$2:$A$1001,$Z14))</f>
        <v/>
      </c>
      <c r="C14" s="46" t="str">
        <f t="array" ref="C14">IF($Z14="","",INDEX('Dữ liệu gộp'!$B$2:$B$1001,$Z14))</f>
        <v/>
      </c>
      <c r="D14" s="43" t="str">
        <f t="array" ref="D14">IF($Z14="","",INDEX('Dữ liệu gộp'!$C$2:$C$1001,$Z14))</f>
        <v/>
      </c>
      <c r="E14" s="47" t="str">
        <f t="array" ref="E14">IF($Z14="","",INDEX('Dữ liệu gộp'!$D$2:$D$1001,$Z14))</f>
        <v/>
      </c>
      <c r="F14" s="46" t="str">
        <f t="array" ref="F14">IF($Z14="","",INDEX('Dữ liệu gộp'!$E$2:$E$1001,$Z14))</f>
        <v/>
      </c>
      <c r="G14" s="46" t="str">
        <f t="array" ref="G14">IF($Z14="","",INDEX('Dữ liệu gộp'!$F$2:$F$1001,$Z14))</f>
        <v/>
      </c>
      <c r="H14" s="46" t="str">
        <f t="array" ref="H14">IF($Z14="","",INDEX('Dữ liệu gộp'!$H$2:$H$1001,$Z14))</f>
        <v/>
      </c>
      <c r="I14" s="43" t="str">
        <f t="array" ref="I14">IF($Z14="","",INDEX('Dữ liệu gộp'!$I$2:$I$1001,$Z14))</f>
        <v/>
      </c>
      <c r="J14" s="43" t="str">
        <f t="array" ref="J14">IF($Z14="","",INDEX('Dữ liệu gộp'!$J$2:$J$1001,$Z14))</f>
        <v/>
      </c>
      <c r="K14" s="43" t="str">
        <f t="array" ref="K14">IF($Z14="","",INDEX('Dữ liệu gộp'!$K$2:$K$1001,$Z14))</f>
        <v/>
      </c>
      <c r="Z14" s="52" t="str">
        <f>IF($C$4="","",IFERROR(MATCH(5,'Dữ liệu gộp'!$L$2:$L$1001,0),""))</f>
        <v/>
      </c>
    </row>
    <row r="15">
      <c r="A15" s="43" t="str">
        <f>IF(Z15="","",6)</f>
        <v/>
      </c>
      <c r="B15" s="46" t="str">
        <f t="array" ref="B15">IF($Z15="","",INDEX('Dữ liệu gộp'!$A$2:$A$1001,$Z15))</f>
        <v/>
      </c>
      <c r="C15" s="46" t="str">
        <f t="array" ref="C15">IF($Z15="","",INDEX('Dữ liệu gộp'!$B$2:$B$1001,$Z15))</f>
        <v/>
      </c>
      <c r="D15" s="43" t="str">
        <f t="array" ref="D15">IF($Z15="","",INDEX('Dữ liệu gộp'!$C$2:$C$1001,$Z15))</f>
        <v/>
      </c>
      <c r="E15" s="47" t="str">
        <f t="array" ref="E15">IF($Z15="","",INDEX('Dữ liệu gộp'!$D$2:$D$1001,$Z15))</f>
        <v/>
      </c>
      <c r="F15" s="46" t="str">
        <f t="array" ref="F15">IF($Z15="","",INDEX('Dữ liệu gộp'!$E$2:$E$1001,$Z15))</f>
        <v/>
      </c>
      <c r="G15" s="46" t="str">
        <f t="array" ref="G15">IF($Z15="","",INDEX('Dữ liệu gộp'!$F$2:$F$1001,$Z15))</f>
        <v/>
      </c>
      <c r="H15" s="46" t="str">
        <f t="array" ref="H15">IF($Z15="","",INDEX('Dữ liệu gộp'!$H$2:$H$1001,$Z15))</f>
        <v/>
      </c>
      <c r="I15" s="43" t="str">
        <f t="array" ref="I15">IF($Z15="","",INDEX('Dữ liệu gộp'!$I$2:$I$1001,$Z15))</f>
        <v/>
      </c>
      <c r="J15" s="43" t="str">
        <f t="array" ref="J15">IF($Z15="","",INDEX('Dữ liệu gộp'!$J$2:$J$1001,$Z15))</f>
        <v/>
      </c>
      <c r="K15" s="43" t="str">
        <f t="array" ref="K15">IF($Z15="","",INDEX('Dữ liệu gộp'!$K$2:$K$1001,$Z15))</f>
        <v/>
      </c>
      <c r="Z15" s="52" t="str">
        <f>IF($C$4="","",IFERROR(MATCH(6,'Dữ liệu gộp'!$L$2:$L$1001,0),""))</f>
        <v/>
      </c>
    </row>
    <row r="16">
      <c r="A16" s="43" t="str">
        <f>IF(Z16="","",7)</f>
        <v/>
      </c>
      <c r="B16" s="46" t="str">
        <f t="array" ref="B16">IF($Z16="","",INDEX('Dữ liệu gộp'!$A$2:$A$1001,$Z16))</f>
        <v/>
      </c>
      <c r="C16" s="46" t="str">
        <f t="array" ref="C16">IF($Z16="","",INDEX('Dữ liệu gộp'!$B$2:$B$1001,$Z16))</f>
        <v/>
      </c>
      <c r="D16" s="43" t="str">
        <f t="array" ref="D16">IF($Z16="","",INDEX('Dữ liệu gộp'!$C$2:$C$1001,$Z16))</f>
        <v/>
      </c>
      <c r="E16" s="47" t="str">
        <f t="array" ref="E16">IF($Z16="","",INDEX('Dữ liệu gộp'!$D$2:$D$1001,$Z16))</f>
        <v/>
      </c>
      <c r="F16" s="46" t="str">
        <f t="array" ref="F16">IF($Z16="","",INDEX('Dữ liệu gộp'!$E$2:$E$1001,$Z16))</f>
        <v/>
      </c>
      <c r="G16" s="46" t="str">
        <f t="array" ref="G16">IF($Z16="","",INDEX('Dữ liệu gộp'!$F$2:$F$1001,$Z16))</f>
        <v/>
      </c>
      <c r="H16" s="46" t="str">
        <f t="array" ref="H16">IF($Z16="","",INDEX('Dữ liệu gộp'!$H$2:$H$1001,$Z16))</f>
        <v/>
      </c>
      <c r="I16" s="43" t="str">
        <f t="array" ref="I16">IF($Z16="","",INDEX('Dữ liệu gộp'!$I$2:$I$1001,$Z16))</f>
        <v/>
      </c>
      <c r="J16" s="43" t="str">
        <f t="array" ref="J16">IF($Z16="","",INDEX('Dữ liệu gộp'!$J$2:$J$1001,$Z16))</f>
        <v/>
      </c>
      <c r="K16" s="43" t="str">
        <f t="array" ref="K16">IF($Z16="","",INDEX('Dữ liệu gộp'!$K$2:$K$1001,$Z16))</f>
        <v/>
      </c>
      <c r="Z16" s="52" t="str">
        <f>IF($C$4="","",IFERROR(MATCH(7,'Dữ liệu gộp'!$L$2:$L$1001,0),""))</f>
        <v/>
      </c>
    </row>
    <row r="17">
      <c r="A17" s="43" t="str">
        <f>IF(Z17="","",8)</f>
        <v/>
      </c>
      <c r="B17" s="46" t="str">
        <f t="array" ref="B17">IF($Z17="","",INDEX('Dữ liệu gộp'!$A$2:$A$1001,$Z17))</f>
        <v/>
      </c>
      <c r="C17" s="46" t="str">
        <f t="array" ref="C17">IF($Z17="","",INDEX('Dữ liệu gộp'!$B$2:$B$1001,$Z17))</f>
        <v/>
      </c>
      <c r="D17" s="43" t="str">
        <f t="array" ref="D17">IF($Z17="","",INDEX('Dữ liệu gộp'!$C$2:$C$1001,$Z17))</f>
        <v/>
      </c>
      <c r="E17" s="47" t="str">
        <f t="array" ref="E17">IF($Z17="","",INDEX('Dữ liệu gộp'!$D$2:$D$1001,$Z17))</f>
        <v/>
      </c>
      <c r="F17" s="46" t="str">
        <f t="array" ref="F17">IF($Z17="","",INDEX('Dữ liệu gộp'!$E$2:$E$1001,$Z17))</f>
        <v/>
      </c>
      <c r="G17" s="46" t="str">
        <f t="array" ref="G17">IF($Z17="","",INDEX('Dữ liệu gộp'!$F$2:$F$1001,$Z17))</f>
        <v/>
      </c>
      <c r="H17" s="46" t="str">
        <f t="array" ref="H17">IF($Z17="","",INDEX('Dữ liệu gộp'!$H$2:$H$1001,$Z17))</f>
        <v/>
      </c>
      <c r="I17" s="43" t="str">
        <f t="array" ref="I17">IF($Z17="","",INDEX('Dữ liệu gộp'!$I$2:$I$1001,$Z17))</f>
        <v/>
      </c>
      <c r="J17" s="43" t="str">
        <f t="array" ref="J17">IF($Z17="","",INDEX('Dữ liệu gộp'!$J$2:$J$1001,$Z17))</f>
        <v/>
      </c>
      <c r="K17" s="43" t="str">
        <f t="array" ref="K17">IF($Z17="","",INDEX('Dữ liệu gộp'!$K$2:$K$1001,$Z17))</f>
        <v/>
      </c>
      <c r="Z17" s="52" t="str">
        <f>IF($C$4="","",IFERROR(MATCH(8,'Dữ liệu gộp'!$L$2:$L$1001,0),""))</f>
        <v/>
      </c>
    </row>
    <row r="18">
      <c r="A18" s="43" t="str">
        <f>IF(Z18="","",9)</f>
        <v/>
      </c>
      <c r="B18" s="46" t="str">
        <f t="array" ref="B18">IF($Z18="","",INDEX('Dữ liệu gộp'!$A$2:$A$1001,$Z18))</f>
        <v/>
      </c>
      <c r="C18" s="46" t="str">
        <f t="array" ref="C18">IF($Z18="","",INDEX('Dữ liệu gộp'!$B$2:$B$1001,$Z18))</f>
        <v/>
      </c>
      <c r="D18" s="43" t="str">
        <f t="array" ref="D18">IF($Z18="","",INDEX('Dữ liệu gộp'!$C$2:$C$1001,$Z18))</f>
        <v/>
      </c>
      <c r="E18" s="47" t="str">
        <f t="array" ref="E18">IF($Z18="","",INDEX('Dữ liệu gộp'!$D$2:$D$1001,$Z18))</f>
        <v/>
      </c>
      <c r="F18" s="46" t="str">
        <f t="array" ref="F18">IF($Z18="","",INDEX('Dữ liệu gộp'!$E$2:$E$1001,$Z18))</f>
        <v/>
      </c>
      <c r="G18" s="46" t="str">
        <f t="array" ref="G18">IF($Z18="","",INDEX('Dữ liệu gộp'!$F$2:$F$1001,$Z18))</f>
        <v/>
      </c>
      <c r="H18" s="46" t="str">
        <f t="array" ref="H18">IF($Z18="","",INDEX('Dữ liệu gộp'!$H$2:$H$1001,$Z18))</f>
        <v/>
      </c>
      <c r="I18" s="43" t="str">
        <f t="array" ref="I18">IF($Z18="","",INDEX('Dữ liệu gộp'!$I$2:$I$1001,$Z18))</f>
        <v/>
      </c>
      <c r="J18" s="43" t="str">
        <f t="array" ref="J18">IF($Z18="","",INDEX('Dữ liệu gộp'!$J$2:$J$1001,$Z18))</f>
        <v/>
      </c>
      <c r="K18" s="43" t="str">
        <f t="array" ref="K18">IF($Z18="","",INDEX('Dữ liệu gộp'!$K$2:$K$1001,$Z18))</f>
        <v/>
      </c>
      <c r="Z18" s="52" t="str">
        <f>IF($C$4="","",IFERROR(MATCH(9,'Dữ liệu gộp'!$L$2:$L$1001,0),""))</f>
        <v/>
      </c>
    </row>
    <row r="19">
      <c r="A19" s="43" t="str">
        <f>IF(Z19="","",10)</f>
        <v/>
      </c>
      <c r="B19" s="46" t="str">
        <f t="array" ref="B19">IF($Z19="","",INDEX('Dữ liệu gộp'!$A$2:$A$1001,$Z19))</f>
        <v/>
      </c>
      <c r="C19" s="46" t="str">
        <f t="array" ref="C19">IF($Z19="","",INDEX('Dữ liệu gộp'!$B$2:$B$1001,$Z19))</f>
        <v/>
      </c>
      <c r="D19" s="43" t="str">
        <f t="array" ref="D19">IF($Z19="","",INDEX('Dữ liệu gộp'!$C$2:$C$1001,$Z19))</f>
        <v/>
      </c>
      <c r="E19" s="47" t="str">
        <f t="array" ref="E19">IF($Z19="","",INDEX('Dữ liệu gộp'!$D$2:$D$1001,$Z19))</f>
        <v/>
      </c>
      <c r="F19" s="46" t="str">
        <f t="array" ref="F19">IF($Z19="","",INDEX('Dữ liệu gộp'!$E$2:$E$1001,$Z19))</f>
        <v/>
      </c>
      <c r="G19" s="46" t="str">
        <f t="array" ref="G19">IF($Z19="","",INDEX('Dữ liệu gộp'!$F$2:$F$1001,$Z19))</f>
        <v/>
      </c>
      <c r="H19" s="46" t="str">
        <f t="array" ref="H19">IF($Z19="","",INDEX('Dữ liệu gộp'!$H$2:$H$1001,$Z19))</f>
        <v/>
      </c>
      <c r="I19" s="43" t="str">
        <f t="array" ref="I19">IF($Z19="","",INDEX('Dữ liệu gộp'!$I$2:$I$1001,$Z19))</f>
        <v/>
      </c>
      <c r="J19" s="43" t="str">
        <f t="array" ref="J19">IF($Z19="","",INDEX('Dữ liệu gộp'!$J$2:$J$1001,$Z19))</f>
        <v/>
      </c>
      <c r="K19" s="43" t="str">
        <f t="array" ref="K19">IF($Z19="","",INDEX('Dữ liệu gộp'!$K$2:$K$1001,$Z19))</f>
        <v/>
      </c>
      <c r="Z19" s="52" t="str">
        <f>IF($C$4="","",IFERROR(MATCH(10,'Dữ liệu gộp'!$L$2:$L$1001,0),""))</f>
        <v/>
      </c>
    </row>
    <row r="20">
      <c r="A20" s="43" t="str">
        <f>IF(Z20="","",11)</f>
        <v/>
      </c>
      <c r="B20" s="46" t="str">
        <f t="array" ref="B20">IF($Z20="","",INDEX('Dữ liệu gộp'!$A$2:$A$1001,$Z20))</f>
        <v/>
      </c>
      <c r="C20" s="46" t="str">
        <f t="array" ref="C20">IF($Z20="","",INDEX('Dữ liệu gộp'!$B$2:$B$1001,$Z20))</f>
        <v/>
      </c>
      <c r="D20" s="43" t="str">
        <f t="array" ref="D20">IF($Z20="","",INDEX('Dữ liệu gộp'!$C$2:$C$1001,$Z20))</f>
        <v/>
      </c>
      <c r="E20" s="47" t="str">
        <f t="array" ref="E20">IF($Z20="","",INDEX('Dữ liệu gộp'!$D$2:$D$1001,$Z20))</f>
        <v/>
      </c>
      <c r="F20" s="46" t="str">
        <f t="array" ref="F20">IF($Z20="","",INDEX('Dữ liệu gộp'!$E$2:$E$1001,$Z20))</f>
        <v/>
      </c>
      <c r="G20" s="46" t="str">
        <f t="array" ref="G20">IF($Z20="","",INDEX('Dữ liệu gộp'!$F$2:$F$1001,$Z20))</f>
        <v/>
      </c>
      <c r="H20" s="46" t="str">
        <f t="array" ref="H20">IF($Z20="","",INDEX('Dữ liệu gộp'!$H$2:$H$1001,$Z20))</f>
        <v/>
      </c>
      <c r="I20" s="43" t="str">
        <f t="array" ref="I20">IF($Z20="","",INDEX('Dữ liệu gộp'!$I$2:$I$1001,$Z20))</f>
        <v/>
      </c>
      <c r="J20" s="43" t="str">
        <f t="array" ref="J20">IF($Z20="","",INDEX('Dữ liệu gộp'!$J$2:$J$1001,$Z20))</f>
        <v/>
      </c>
      <c r="K20" s="43" t="str">
        <f t="array" ref="K20">IF($Z20="","",INDEX('Dữ liệu gộp'!$K$2:$K$1001,$Z20))</f>
        <v/>
      </c>
      <c r="Z20" s="52" t="str">
        <f>IF($C$4="","",IFERROR(MATCH(11,'Dữ liệu gộp'!$L$2:$L$1001,0),""))</f>
        <v/>
      </c>
    </row>
    <row r="21" ht="15.75" customHeight="1">
      <c r="A21" s="43" t="str">
        <f>IF(Z21="","",12)</f>
        <v/>
      </c>
      <c r="B21" s="46" t="str">
        <f t="array" ref="B21">IF($Z21="","",INDEX('Dữ liệu gộp'!$A$2:$A$1001,$Z21))</f>
        <v/>
      </c>
      <c r="C21" s="46" t="str">
        <f t="array" ref="C21">IF($Z21="","",INDEX('Dữ liệu gộp'!$B$2:$B$1001,$Z21))</f>
        <v/>
      </c>
      <c r="D21" s="43" t="str">
        <f t="array" ref="D21">IF($Z21="","",INDEX('Dữ liệu gộp'!$C$2:$C$1001,$Z21))</f>
        <v/>
      </c>
      <c r="E21" s="47" t="str">
        <f t="array" ref="E21">IF($Z21="","",INDEX('Dữ liệu gộp'!$D$2:$D$1001,$Z21))</f>
        <v/>
      </c>
      <c r="F21" s="46" t="str">
        <f t="array" ref="F21">IF($Z21="","",INDEX('Dữ liệu gộp'!$E$2:$E$1001,$Z21))</f>
        <v/>
      </c>
      <c r="G21" s="46" t="str">
        <f t="array" ref="G21">IF($Z21="","",INDEX('Dữ liệu gộp'!$F$2:$F$1001,$Z21))</f>
        <v/>
      </c>
      <c r="H21" s="46" t="str">
        <f t="array" ref="H21">IF($Z21="","",INDEX('Dữ liệu gộp'!$H$2:$H$1001,$Z21))</f>
        <v/>
      </c>
      <c r="I21" s="43" t="str">
        <f t="array" ref="I21">IF($Z21="","",INDEX('Dữ liệu gộp'!$I$2:$I$1001,$Z21))</f>
        <v/>
      </c>
      <c r="J21" s="43" t="str">
        <f t="array" ref="J21">IF($Z21="","",INDEX('Dữ liệu gộp'!$J$2:$J$1001,$Z21))</f>
        <v/>
      </c>
      <c r="K21" s="43" t="str">
        <f t="array" ref="K21">IF($Z21="","",INDEX('Dữ liệu gộp'!$K$2:$K$1001,$Z21))</f>
        <v/>
      </c>
      <c r="Z21" s="52" t="str">
        <f>IF($C$4="","",IFERROR(MATCH(12,'Dữ liệu gộp'!$L$2:$L$1001,0),""))</f>
        <v/>
      </c>
    </row>
    <row r="22" ht="15.75" customHeight="1">
      <c r="A22" s="43" t="str">
        <f>IF(Z22="","",13)</f>
        <v/>
      </c>
      <c r="B22" s="46" t="str">
        <f t="array" ref="B22">IF($Z22="","",INDEX('Dữ liệu gộp'!$A$2:$A$1001,$Z22))</f>
        <v/>
      </c>
      <c r="C22" s="46" t="str">
        <f t="array" ref="C22">IF($Z22="","",INDEX('Dữ liệu gộp'!$B$2:$B$1001,$Z22))</f>
        <v/>
      </c>
      <c r="D22" s="43" t="str">
        <f t="array" ref="D22">IF($Z22="","",INDEX('Dữ liệu gộp'!$C$2:$C$1001,$Z22))</f>
        <v/>
      </c>
      <c r="E22" s="47" t="str">
        <f t="array" ref="E22">IF($Z22="","",INDEX('Dữ liệu gộp'!$D$2:$D$1001,$Z22))</f>
        <v/>
      </c>
      <c r="F22" s="46" t="str">
        <f t="array" ref="F22">IF($Z22="","",INDEX('Dữ liệu gộp'!$E$2:$E$1001,$Z22))</f>
        <v/>
      </c>
      <c r="G22" s="46" t="str">
        <f t="array" ref="G22">IF($Z22="","",INDEX('Dữ liệu gộp'!$F$2:$F$1001,$Z22))</f>
        <v/>
      </c>
      <c r="H22" s="46" t="str">
        <f t="array" ref="H22">IF($Z22="","",INDEX('Dữ liệu gộp'!$H$2:$H$1001,$Z22))</f>
        <v/>
      </c>
      <c r="I22" s="43" t="str">
        <f t="array" ref="I22">IF($Z22="","",INDEX('Dữ liệu gộp'!$I$2:$I$1001,$Z22))</f>
        <v/>
      </c>
      <c r="J22" s="43" t="str">
        <f t="array" ref="J22">IF($Z22="","",INDEX('Dữ liệu gộp'!$J$2:$J$1001,$Z22))</f>
        <v/>
      </c>
      <c r="K22" s="43" t="str">
        <f t="array" ref="K22">IF($Z22="","",INDEX('Dữ liệu gộp'!$K$2:$K$1001,$Z22))</f>
        <v/>
      </c>
      <c r="Z22" s="52" t="str">
        <f>IF($C$4="","",IFERROR(MATCH(13,'Dữ liệu gộp'!$L$2:$L$1001,0),""))</f>
        <v/>
      </c>
    </row>
    <row r="23" ht="15.75" customHeight="1">
      <c r="A23" s="43" t="str">
        <f>IF(Z23="","",14)</f>
        <v/>
      </c>
      <c r="B23" s="46" t="str">
        <f t="array" ref="B23">IF($Z23="","",INDEX('Dữ liệu gộp'!$A$2:$A$1001,$Z23))</f>
        <v/>
      </c>
      <c r="C23" s="46" t="str">
        <f t="array" ref="C23">IF($Z23="","",INDEX('Dữ liệu gộp'!$B$2:$B$1001,$Z23))</f>
        <v/>
      </c>
      <c r="D23" s="43" t="str">
        <f t="array" ref="D23">IF($Z23="","",INDEX('Dữ liệu gộp'!$C$2:$C$1001,$Z23))</f>
        <v/>
      </c>
      <c r="E23" s="47" t="str">
        <f t="array" ref="E23">IF($Z23="","",INDEX('Dữ liệu gộp'!$D$2:$D$1001,$Z23))</f>
        <v/>
      </c>
      <c r="F23" s="46" t="str">
        <f t="array" ref="F23">IF($Z23="","",INDEX('Dữ liệu gộp'!$E$2:$E$1001,$Z23))</f>
        <v/>
      </c>
      <c r="G23" s="46" t="str">
        <f t="array" ref="G23">IF($Z23="","",INDEX('Dữ liệu gộp'!$F$2:$F$1001,$Z23))</f>
        <v/>
      </c>
      <c r="H23" s="46" t="str">
        <f t="array" ref="H23">IF($Z23="","",INDEX('Dữ liệu gộp'!$H$2:$H$1001,$Z23))</f>
        <v/>
      </c>
      <c r="I23" s="43" t="str">
        <f t="array" ref="I23">IF($Z23="","",INDEX('Dữ liệu gộp'!$I$2:$I$1001,$Z23))</f>
        <v/>
      </c>
      <c r="J23" s="43" t="str">
        <f t="array" ref="J23">IF($Z23="","",INDEX('Dữ liệu gộp'!$J$2:$J$1001,$Z23))</f>
        <v/>
      </c>
      <c r="K23" s="43" t="str">
        <f t="array" ref="K23">IF($Z23="","",INDEX('Dữ liệu gộp'!$K$2:$K$1001,$Z23))</f>
        <v/>
      </c>
      <c r="Z23" s="52" t="str">
        <f>IF($C$4="","",IFERROR(MATCH(14,'Dữ liệu gộp'!$L$2:$L$1001,0),""))</f>
        <v/>
      </c>
    </row>
    <row r="24" ht="15.75" customHeight="1">
      <c r="A24" s="43" t="str">
        <f>IF(Z24="","",15)</f>
        <v/>
      </c>
      <c r="B24" s="46" t="str">
        <f t="array" ref="B24">IF($Z24="","",INDEX('Dữ liệu gộp'!$A$2:$A$1001,$Z24))</f>
        <v/>
      </c>
      <c r="C24" s="46" t="str">
        <f t="array" ref="C24">IF($Z24="","",INDEX('Dữ liệu gộp'!$B$2:$B$1001,$Z24))</f>
        <v/>
      </c>
      <c r="D24" s="43" t="str">
        <f t="array" ref="D24">IF($Z24="","",INDEX('Dữ liệu gộp'!$C$2:$C$1001,$Z24))</f>
        <v/>
      </c>
      <c r="E24" s="47" t="str">
        <f t="array" ref="E24">IF($Z24="","",INDEX('Dữ liệu gộp'!$D$2:$D$1001,$Z24))</f>
        <v/>
      </c>
      <c r="F24" s="46" t="str">
        <f t="array" ref="F24">IF($Z24="","",INDEX('Dữ liệu gộp'!$E$2:$E$1001,$Z24))</f>
        <v/>
      </c>
      <c r="G24" s="46" t="str">
        <f t="array" ref="G24">IF($Z24="","",INDEX('Dữ liệu gộp'!$F$2:$F$1001,$Z24))</f>
        <v/>
      </c>
      <c r="H24" s="46" t="str">
        <f t="array" ref="H24">IF($Z24="","",INDEX('Dữ liệu gộp'!$H$2:$H$1001,$Z24))</f>
        <v/>
      </c>
      <c r="I24" s="43" t="str">
        <f t="array" ref="I24">IF($Z24="","",INDEX('Dữ liệu gộp'!$I$2:$I$1001,$Z24))</f>
        <v/>
      </c>
      <c r="J24" s="43" t="str">
        <f t="array" ref="J24">IF($Z24="","",INDEX('Dữ liệu gộp'!$J$2:$J$1001,$Z24))</f>
        <v/>
      </c>
      <c r="K24" s="43" t="str">
        <f t="array" ref="K24">IF($Z24="","",INDEX('Dữ liệu gộp'!$K$2:$K$1001,$Z24))</f>
        <v/>
      </c>
      <c r="Z24" s="52" t="str">
        <f>IF($C$4="","",IFERROR(MATCH(15,'Dữ liệu gộp'!$L$2:$L$1001,0),""))</f>
        <v/>
      </c>
    </row>
    <row r="25" ht="15.75" customHeight="1">
      <c r="A25" s="43" t="str">
        <f>IF(Z25="","",16)</f>
        <v/>
      </c>
      <c r="B25" s="46" t="str">
        <f t="array" ref="B25">IF($Z25="","",INDEX('Dữ liệu gộp'!$A$2:$A$1001,$Z25))</f>
        <v/>
      </c>
      <c r="C25" s="46" t="str">
        <f t="array" ref="C25">IF($Z25="","",INDEX('Dữ liệu gộp'!$B$2:$B$1001,$Z25))</f>
        <v/>
      </c>
      <c r="D25" s="43" t="str">
        <f t="array" ref="D25">IF($Z25="","",INDEX('Dữ liệu gộp'!$C$2:$C$1001,$Z25))</f>
        <v/>
      </c>
      <c r="E25" s="47" t="str">
        <f t="array" ref="E25">IF($Z25="","",INDEX('Dữ liệu gộp'!$D$2:$D$1001,$Z25))</f>
        <v/>
      </c>
      <c r="F25" s="46" t="str">
        <f t="array" ref="F25">IF($Z25="","",INDEX('Dữ liệu gộp'!$E$2:$E$1001,$Z25))</f>
        <v/>
      </c>
      <c r="G25" s="46" t="str">
        <f t="array" ref="G25">IF($Z25="","",INDEX('Dữ liệu gộp'!$F$2:$F$1001,$Z25))</f>
        <v/>
      </c>
      <c r="H25" s="46" t="str">
        <f t="array" ref="H25">IF($Z25="","",INDEX('Dữ liệu gộp'!$H$2:$H$1001,$Z25))</f>
        <v/>
      </c>
      <c r="I25" s="43" t="str">
        <f t="array" ref="I25">IF($Z25="","",INDEX('Dữ liệu gộp'!$I$2:$I$1001,$Z25))</f>
        <v/>
      </c>
      <c r="J25" s="43" t="str">
        <f t="array" ref="J25">IF($Z25="","",INDEX('Dữ liệu gộp'!$J$2:$J$1001,$Z25))</f>
        <v/>
      </c>
      <c r="K25" s="43" t="str">
        <f t="array" ref="K25">IF($Z25="","",INDEX('Dữ liệu gộp'!$K$2:$K$1001,$Z25))</f>
        <v/>
      </c>
      <c r="Z25" s="52" t="str">
        <f>IF($C$4="","",IFERROR(MATCH(16,'Dữ liệu gộp'!$L$2:$L$1001,0),""))</f>
        <v/>
      </c>
    </row>
    <row r="26" ht="15.75" customHeight="1">
      <c r="A26" s="43" t="str">
        <f>IF(Z26="","",17)</f>
        <v/>
      </c>
      <c r="B26" s="46" t="str">
        <f t="array" ref="B26">IF($Z26="","",INDEX('Dữ liệu gộp'!$A$2:$A$1001,$Z26))</f>
        <v/>
      </c>
      <c r="C26" s="46" t="str">
        <f t="array" ref="C26">IF($Z26="","",INDEX('Dữ liệu gộp'!$B$2:$B$1001,$Z26))</f>
        <v/>
      </c>
      <c r="D26" s="43" t="str">
        <f t="array" ref="D26">IF($Z26="","",INDEX('Dữ liệu gộp'!$C$2:$C$1001,$Z26))</f>
        <v/>
      </c>
      <c r="E26" s="47" t="str">
        <f t="array" ref="E26">IF($Z26="","",INDEX('Dữ liệu gộp'!$D$2:$D$1001,$Z26))</f>
        <v/>
      </c>
      <c r="F26" s="46" t="str">
        <f t="array" ref="F26">IF($Z26="","",INDEX('Dữ liệu gộp'!$E$2:$E$1001,$Z26))</f>
        <v/>
      </c>
      <c r="G26" s="46" t="str">
        <f t="array" ref="G26">IF($Z26="","",INDEX('Dữ liệu gộp'!$F$2:$F$1001,$Z26))</f>
        <v/>
      </c>
      <c r="H26" s="46" t="str">
        <f t="array" ref="H26">IF($Z26="","",INDEX('Dữ liệu gộp'!$H$2:$H$1001,$Z26))</f>
        <v/>
      </c>
      <c r="I26" s="43" t="str">
        <f t="array" ref="I26">IF($Z26="","",INDEX('Dữ liệu gộp'!$I$2:$I$1001,$Z26))</f>
        <v/>
      </c>
      <c r="J26" s="43" t="str">
        <f t="array" ref="J26">IF($Z26="","",INDEX('Dữ liệu gộp'!$J$2:$J$1001,$Z26))</f>
        <v/>
      </c>
      <c r="K26" s="43" t="str">
        <f t="array" ref="K26">IF($Z26="","",INDEX('Dữ liệu gộp'!$K$2:$K$1001,$Z26))</f>
        <v/>
      </c>
      <c r="Z26" s="52" t="str">
        <f>IF($C$4="","",IFERROR(MATCH(17,'Dữ liệu gộp'!$L$2:$L$1001,0),""))</f>
        <v/>
      </c>
    </row>
    <row r="27" ht="15.75" customHeight="1">
      <c r="A27" s="43" t="str">
        <f>IF(Z27="","",18)</f>
        <v/>
      </c>
      <c r="B27" s="46" t="str">
        <f t="array" ref="B27">IF($Z27="","",INDEX('Dữ liệu gộp'!$A$2:$A$1001,$Z27))</f>
        <v/>
      </c>
      <c r="C27" s="46" t="str">
        <f t="array" ref="C27">IF($Z27="","",INDEX('Dữ liệu gộp'!$B$2:$B$1001,$Z27))</f>
        <v/>
      </c>
      <c r="D27" s="43" t="str">
        <f t="array" ref="D27">IF($Z27="","",INDEX('Dữ liệu gộp'!$C$2:$C$1001,$Z27))</f>
        <v/>
      </c>
      <c r="E27" s="47" t="str">
        <f t="array" ref="E27">IF($Z27="","",INDEX('Dữ liệu gộp'!$D$2:$D$1001,$Z27))</f>
        <v/>
      </c>
      <c r="F27" s="46" t="str">
        <f t="array" ref="F27">IF($Z27="","",INDEX('Dữ liệu gộp'!$E$2:$E$1001,$Z27))</f>
        <v/>
      </c>
      <c r="G27" s="46" t="str">
        <f t="array" ref="G27">IF($Z27="","",INDEX('Dữ liệu gộp'!$F$2:$F$1001,$Z27))</f>
        <v/>
      </c>
      <c r="H27" s="46" t="str">
        <f t="array" ref="H27">IF($Z27="","",INDEX('Dữ liệu gộp'!$H$2:$H$1001,$Z27))</f>
        <v/>
      </c>
      <c r="I27" s="43" t="str">
        <f t="array" ref="I27">IF($Z27="","",INDEX('Dữ liệu gộp'!$I$2:$I$1001,$Z27))</f>
        <v/>
      </c>
      <c r="J27" s="43" t="str">
        <f t="array" ref="J27">IF($Z27="","",INDEX('Dữ liệu gộp'!$J$2:$J$1001,$Z27))</f>
        <v/>
      </c>
      <c r="K27" s="43" t="str">
        <f t="array" ref="K27">IF($Z27="","",INDEX('Dữ liệu gộp'!$K$2:$K$1001,$Z27))</f>
        <v/>
      </c>
      <c r="Z27" s="52" t="str">
        <f>IF($C$4="","",IFERROR(MATCH(18,'Dữ liệu gộp'!$L$2:$L$1001,0),""))</f>
        <v/>
      </c>
    </row>
    <row r="28" ht="15.75" customHeight="1">
      <c r="A28" s="43" t="str">
        <f>IF(Z28="","",19)</f>
        <v/>
      </c>
      <c r="B28" s="46" t="str">
        <f t="array" ref="B28">IF($Z28="","",INDEX('Dữ liệu gộp'!$A$2:$A$1001,$Z28))</f>
        <v/>
      </c>
      <c r="C28" s="46" t="str">
        <f t="array" ref="C28">IF($Z28="","",INDEX('Dữ liệu gộp'!$B$2:$B$1001,$Z28))</f>
        <v/>
      </c>
      <c r="D28" s="43" t="str">
        <f t="array" ref="D28">IF($Z28="","",INDEX('Dữ liệu gộp'!$C$2:$C$1001,$Z28))</f>
        <v/>
      </c>
      <c r="E28" s="47" t="str">
        <f t="array" ref="E28">IF($Z28="","",INDEX('Dữ liệu gộp'!$D$2:$D$1001,$Z28))</f>
        <v/>
      </c>
      <c r="F28" s="46" t="str">
        <f t="array" ref="F28">IF($Z28="","",INDEX('Dữ liệu gộp'!$E$2:$E$1001,$Z28))</f>
        <v/>
      </c>
      <c r="G28" s="46" t="str">
        <f t="array" ref="G28">IF($Z28="","",INDEX('Dữ liệu gộp'!$F$2:$F$1001,$Z28))</f>
        <v/>
      </c>
      <c r="H28" s="46" t="str">
        <f t="array" ref="H28">IF($Z28="","",INDEX('Dữ liệu gộp'!$H$2:$H$1001,$Z28))</f>
        <v/>
      </c>
      <c r="I28" s="43" t="str">
        <f t="array" ref="I28">IF($Z28="","",INDEX('Dữ liệu gộp'!$I$2:$I$1001,$Z28))</f>
        <v/>
      </c>
      <c r="J28" s="43" t="str">
        <f t="array" ref="J28">IF($Z28="","",INDEX('Dữ liệu gộp'!$J$2:$J$1001,$Z28))</f>
        <v/>
      </c>
      <c r="K28" s="43" t="str">
        <f t="array" ref="K28">IF($Z28="","",INDEX('Dữ liệu gộp'!$K$2:$K$1001,$Z28))</f>
        <v/>
      </c>
      <c r="Z28" s="52" t="str">
        <f>IF($C$4="","",IFERROR(MATCH(19,'Dữ liệu gộp'!$L$2:$L$1001,0),""))</f>
        <v/>
      </c>
    </row>
    <row r="29" ht="15.75" customHeight="1">
      <c r="A29" s="43" t="str">
        <f>IF(Z29="","",20)</f>
        <v/>
      </c>
      <c r="B29" s="46" t="str">
        <f t="array" ref="B29">IF($Z29="","",INDEX('Dữ liệu gộp'!$A$2:$A$1001,$Z29))</f>
        <v/>
      </c>
      <c r="C29" s="46" t="str">
        <f t="array" ref="C29">IF($Z29="","",INDEX('Dữ liệu gộp'!$B$2:$B$1001,$Z29))</f>
        <v/>
      </c>
      <c r="D29" s="43" t="str">
        <f t="array" ref="D29">IF($Z29="","",INDEX('Dữ liệu gộp'!$C$2:$C$1001,$Z29))</f>
        <v/>
      </c>
      <c r="E29" s="47" t="str">
        <f t="array" ref="E29">IF($Z29="","",INDEX('Dữ liệu gộp'!$D$2:$D$1001,$Z29))</f>
        <v/>
      </c>
      <c r="F29" s="46" t="str">
        <f t="array" ref="F29">IF($Z29="","",INDEX('Dữ liệu gộp'!$E$2:$E$1001,$Z29))</f>
        <v/>
      </c>
      <c r="G29" s="46" t="str">
        <f t="array" ref="G29">IF($Z29="","",INDEX('Dữ liệu gộp'!$F$2:$F$1001,$Z29))</f>
        <v/>
      </c>
      <c r="H29" s="46" t="str">
        <f t="array" ref="H29">IF($Z29="","",INDEX('Dữ liệu gộp'!$H$2:$H$1001,$Z29))</f>
        <v/>
      </c>
      <c r="I29" s="43" t="str">
        <f t="array" ref="I29">IF($Z29="","",INDEX('Dữ liệu gộp'!$I$2:$I$1001,$Z29))</f>
        <v/>
      </c>
      <c r="J29" s="43" t="str">
        <f t="array" ref="J29">IF($Z29="","",INDEX('Dữ liệu gộp'!$J$2:$J$1001,$Z29))</f>
        <v/>
      </c>
      <c r="K29" s="43" t="str">
        <f t="array" ref="K29">IF($Z29="","",INDEX('Dữ liệu gộp'!$K$2:$K$1001,$Z29))</f>
        <v/>
      </c>
      <c r="Z29" s="52" t="str">
        <f>IF($C$4="","",IFERROR(MATCH(20,'Dữ liệu gộp'!$L$2:$L$1001,0),""))</f>
        <v/>
      </c>
    </row>
    <row r="30" ht="15.75" customHeight="1">
      <c r="A30" s="43" t="str">
        <f>IF(Z30="","",21)</f>
        <v/>
      </c>
      <c r="B30" s="46" t="str">
        <f t="array" ref="B30">IF($Z30="","",INDEX('Dữ liệu gộp'!$A$2:$A$1001,$Z30))</f>
        <v/>
      </c>
      <c r="C30" s="46" t="str">
        <f t="array" ref="C30">IF($Z30="","",INDEX('Dữ liệu gộp'!$B$2:$B$1001,$Z30))</f>
        <v/>
      </c>
      <c r="D30" s="43" t="str">
        <f t="array" ref="D30">IF($Z30="","",INDEX('Dữ liệu gộp'!$C$2:$C$1001,$Z30))</f>
        <v/>
      </c>
      <c r="E30" s="47" t="str">
        <f t="array" ref="E30">IF($Z30="","",INDEX('Dữ liệu gộp'!$D$2:$D$1001,$Z30))</f>
        <v/>
      </c>
      <c r="F30" s="46" t="str">
        <f t="array" ref="F30">IF($Z30="","",INDEX('Dữ liệu gộp'!$E$2:$E$1001,$Z30))</f>
        <v/>
      </c>
      <c r="G30" s="46" t="str">
        <f t="array" ref="G30">IF($Z30="","",INDEX('Dữ liệu gộp'!$F$2:$F$1001,$Z30))</f>
        <v/>
      </c>
      <c r="H30" s="46" t="str">
        <f t="array" ref="H30">IF($Z30="","",INDEX('Dữ liệu gộp'!$H$2:$H$1001,$Z30))</f>
        <v/>
      </c>
      <c r="I30" s="43" t="str">
        <f t="array" ref="I30">IF($Z30="","",INDEX('Dữ liệu gộp'!$I$2:$I$1001,$Z30))</f>
        <v/>
      </c>
      <c r="J30" s="43" t="str">
        <f t="array" ref="J30">IF($Z30="","",INDEX('Dữ liệu gộp'!$J$2:$J$1001,$Z30))</f>
        <v/>
      </c>
      <c r="K30" s="43" t="str">
        <f t="array" ref="K30">IF($Z30="","",INDEX('Dữ liệu gộp'!$K$2:$K$1001,$Z30))</f>
        <v/>
      </c>
      <c r="Z30" s="52" t="str">
        <f>IF($C$4="","",IFERROR(MATCH(21,'Dữ liệu gộp'!$L$2:$L$1001,0),""))</f>
        <v/>
      </c>
    </row>
    <row r="31" ht="15.75" customHeight="1">
      <c r="A31" s="43" t="str">
        <f>IF(Z31="","",22)</f>
        <v/>
      </c>
      <c r="B31" s="46" t="str">
        <f t="array" ref="B31">IF($Z31="","",INDEX('Dữ liệu gộp'!$A$2:$A$1001,$Z31))</f>
        <v/>
      </c>
      <c r="C31" s="46" t="str">
        <f t="array" ref="C31">IF($Z31="","",INDEX('Dữ liệu gộp'!$B$2:$B$1001,$Z31))</f>
        <v/>
      </c>
      <c r="D31" s="43" t="str">
        <f t="array" ref="D31">IF($Z31="","",INDEX('Dữ liệu gộp'!$C$2:$C$1001,$Z31))</f>
        <v/>
      </c>
      <c r="E31" s="47" t="str">
        <f t="array" ref="E31">IF($Z31="","",INDEX('Dữ liệu gộp'!$D$2:$D$1001,$Z31))</f>
        <v/>
      </c>
      <c r="F31" s="46" t="str">
        <f t="array" ref="F31">IF($Z31="","",INDEX('Dữ liệu gộp'!$E$2:$E$1001,$Z31))</f>
        <v/>
      </c>
      <c r="G31" s="46" t="str">
        <f t="array" ref="G31">IF($Z31="","",INDEX('Dữ liệu gộp'!$F$2:$F$1001,$Z31))</f>
        <v/>
      </c>
      <c r="H31" s="46" t="str">
        <f t="array" ref="H31">IF($Z31="","",INDEX('Dữ liệu gộp'!$H$2:$H$1001,$Z31))</f>
        <v/>
      </c>
      <c r="I31" s="43" t="str">
        <f t="array" ref="I31">IF($Z31="","",INDEX('Dữ liệu gộp'!$I$2:$I$1001,$Z31))</f>
        <v/>
      </c>
      <c r="J31" s="43" t="str">
        <f t="array" ref="J31">IF($Z31="","",INDEX('Dữ liệu gộp'!$J$2:$J$1001,$Z31))</f>
        <v/>
      </c>
      <c r="K31" s="43" t="str">
        <f t="array" ref="K31">IF($Z31="","",INDEX('Dữ liệu gộp'!$K$2:$K$1001,$Z31))</f>
        <v/>
      </c>
      <c r="Z31" s="52" t="str">
        <f>IF($C$4="","",IFERROR(MATCH(22,'Dữ liệu gộp'!$L$2:$L$1001,0),""))</f>
        <v/>
      </c>
    </row>
    <row r="32" ht="15.75" customHeight="1">
      <c r="A32" s="43" t="str">
        <f>IF(Z32="","",23)</f>
        <v/>
      </c>
      <c r="B32" s="46" t="str">
        <f t="array" ref="B32">IF($Z32="","",INDEX('Dữ liệu gộp'!$A$2:$A$1001,$Z32))</f>
        <v/>
      </c>
      <c r="C32" s="46" t="str">
        <f t="array" ref="C32">IF($Z32="","",INDEX('Dữ liệu gộp'!$B$2:$B$1001,$Z32))</f>
        <v/>
      </c>
      <c r="D32" s="43" t="str">
        <f t="array" ref="D32">IF($Z32="","",INDEX('Dữ liệu gộp'!$C$2:$C$1001,$Z32))</f>
        <v/>
      </c>
      <c r="E32" s="47" t="str">
        <f t="array" ref="E32">IF($Z32="","",INDEX('Dữ liệu gộp'!$D$2:$D$1001,$Z32))</f>
        <v/>
      </c>
      <c r="F32" s="46" t="str">
        <f t="array" ref="F32">IF($Z32="","",INDEX('Dữ liệu gộp'!$E$2:$E$1001,$Z32))</f>
        <v/>
      </c>
      <c r="G32" s="46" t="str">
        <f t="array" ref="G32">IF($Z32="","",INDEX('Dữ liệu gộp'!$F$2:$F$1001,$Z32))</f>
        <v/>
      </c>
      <c r="H32" s="46" t="str">
        <f t="array" ref="H32">IF($Z32="","",INDEX('Dữ liệu gộp'!$H$2:$H$1001,$Z32))</f>
        <v/>
      </c>
      <c r="I32" s="43" t="str">
        <f t="array" ref="I32">IF($Z32="","",INDEX('Dữ liệu gộp'!$I$2:$I$1001,$Z32))</f>
        <v/>
      </c>
      <c r="J32" s="43" t="str">
        <f t="array" ref="J32">IF($Z32="","",INDEX('Dữ liệu gộp'!$J$2:$J$1001,$Z32))</f>
        <v/>
      </c>
      <c r="K32" s="43" t="str">
        <f t="array" ref="K32">IF($Z32="","",INDEX('Dữ liệu gộp'!$K$2:$K$1001,$Z32))</f>
        <v/>
      </c>
      <c r="Z32" s="52" t="str">
        <f>IF($C$4="","",IFERROR(MATCH(23,'Dữ liệu gộp'!$L$2:$L$1001,0),""))</f>
        <v/>
      </c>
    </row>
    <row r="33" ht="15.75" customHeight="1">
      <c r="A33" s="43" t="str">
        <f>IF(Z33="","",24)</f>
        <v/>
      </c>
      <c r="B33" s="46" t="str">
        <f t="array" ref="B33">IF($Z33="","",INDEX('Dữ liệu gộp'!$A$2:$A$1001,$Z33))</f>
        <v/>
      </c>
      <c r="C33" s="46" t="str">
        <f t="array" ref="C33">IF($Z33="","",INDEX('Dữ liệu gộp'!$B$2:$B$1001,$Z33))</f>
        <v/>
      </c>
      <c r="D33" s="43" t="str">
        <f t="array" ref="D33">IF($Z33="","",INDEX('Dữ liệu gộp'!$C$2:$C$1001,$Z33))</f>
        <v/>
      </c>
      <c r="E33" s="47" t="str">
        <f t="array" ref="E33">IF($Z33="","",INDEX('Dữ liệu gộp'!$D$2:$D$1001,$Z33))</f>
        <v/>
      </c>
      <c r="F33" s="46" t="str">
        <f t="array" ref="F33">IF($Z33="","",INDEX('Dữ liệu gộp'!$E$2:$E$1001,$Z33))</f>
        <v/>
      </c>
      <c r="G33" s="46" t="str">
        <f t="array" ref="G33">IF($Z33="","",INDEX('Dữ liệu gộp'!$F$2:$F$1001,$Z33))</f>
        <v/>
      </c>
      <c r="H33" s="46" t="str">
        <f t="array" ref="H33">IF($Z33="","",INDEX('Dữ liệu gộp'!$H$2:$H$1001,$Z33))</f>
        <v/>
      </c>
      <c r="I33" s="43" t="str">
        <f t="array" ref="I33">IF($Z33="","",INDEX('Dữ liệu gộp'!$I$2:$I$1001,$Z33))</f>
        <v/>
      </c>
      <c r="J33" s="43" t="str">
        <f t="array" ref="J33">IF($Z33="","",INDEX('Dữ liệu gộp'!$J$2:$J$1001,$Z33))</f>
        <v/>
      </c>
      <c r="K33" s="43" t="str">
        <f t="array" ref="K33">IF($Z33="","",INDEX('Dữ liệu gộp'!$K$2:$K$1001,$Z33))</f>
        <v/>
      </c>
      <c r="Z33" s="52" t="str">
        <f>IF($C$4="","",IFERROR(MATCH(24,'Dữ liệu gộp'!$L$2:$L$1001,0),""))</f>
        <v/>
      </c>
    </row>
    <row r="34" ht="15.75" customHeight="1">
      <c r="A34" s="43" t="str">
        <f>IF(Z34="","",25)</f>
        <v/>
      </c>
      <c r="B34" s="46" t="str">
        <f t="array" ref="B34">IF($Z34="","",INDEX('Dữ liệu gộp'!$A$2:$A$1001,$Z34))</f>
        <v/>
      </c>
      <c r="C34" s="46" t="str">
        <f t="array" ref="C34">IF($Z34="","",INDEX('Dữ liệu gộp'!$B$2:$B$1001,$Z34))</f>
        <v/>
      </c>
      <c r="D34" s="43" t="str">
        <f t="array" ref="D34">IF($Z34="","",INDEX('Dữ liệu gộp'!$C$2:$C$1001,$Z34))</f>
        <v/>
      </c>
      <c r="E34" s="47" t="str">
        <f t="array" ref="E34">IF($Z34="","",INDEX('Dữ liệu gộp'!$D$2:$D$1001,$Z34))</f>
        <v/>
      </c>
      <c r="F34" s="46" t="str">
        <f t="array" ref="F34">IF($Z34="","",INDEX('Dữ liệu gộp'!$E$2:$E$1001,$Z34))</f>
        <v/>
      </c>
      <c r="G34" s="46" t="str">
        <f t="array" ref="G34">IF($Z34="","",INDEX('Dữ liệu gộp'!$F$2:$F$1001,$Z34))</f>
        <v/>
      </c>
      <c r="H34" s="46" t="str">
        <f t="array" ref="H34">IF($Z34="","",INDEX('Dữ liệu gộp'!$H$2:$H$1001,$Z34))</f>
        <v/>
      </c>
      <c r="I34" s="43" t="str">
        <f t="array" ref="I34">IF($Z34="","",INDEX('Dữ liệu gộp'!$I$2:$I$1001,$Z34))</f>
        <v/>
      </c>
      <c r="J34" s="43" t="str">
        <f t="array" ref="J34">IF($Z34="","",INDEX('Dữ liệu gộp'!$J$2:$J$1001,$Z34))</f>
        <v/>
      </c>
      <c r="K34" s="43" t="str">
        <f t="array" ref="K34">IF($Z34="","",INDEX('Dữ liệu gộp'!$K$2:$K$1001,$Z34))</f>
        <v/>
      </c>
      <c r="Z34" s="52" t="str">
        <f>IF($C$4="","",IFERROR(MATCH(25,'Dữ liệu gộp'!$L$2:$L$1001,0),""))</f>
        <v/>
      </c>
    </row>
    <row r="35" ht="15.75" customHeight="1">
      <c r="A35" s="43" t="str">
        <f>IF(Z35="","",26)</f>
        <v/>
      </c>
      <c r="B35" s="46" t="str">
        <f t="array" ref="B35">IF($Z35="","",INDEX('Dữ liệu gộp'!$A$2:$A$1001,$Z35))</f>
        <v/>
      </c>
      <c r="C35" s="46" t="str">
        <f t="array" ref="C35">IF($Z35="","",INDEX('Dữ liệu gộp'!$B$2:$B$1001,$Z35))</f>
        <v/>
      </c>
      <c r="D35" s="43" t="str">
        <f t="array" ref="D35">IF($Z35="","",INDEX('Dữ liệu gộp'!$C$2:$C$1001,$Z35))</f>
        <v/>
      </c>
      <c r="E35" s="47" t="str">
        <f t="array" ref="E35">IF($Z35="","",INDEX('Dữ liệu gộp'!$D$2:$D$1001,$Z35))</f>
        <v/>
      </c>
      <c r="F35" s="46" t="str">
        <f t="array" ref="F35">IF($Z35="","",INDEX('Dữ liệu gộp'!$E$2:$E$1001,$Z35))</f>
        <v/>
      </c>
      <c r="G35" s="46" t="str">
        <f t="array" ref="G35">IF($Z35="","",INDEX('Dữ liệu gộp'!$F$2:$F$1001,$Z35))</f>
        <v/>
      </c>
      <c r="H35" s="46" t="str">
        <f t="array" ref="H35">IF($Z35="","",INDEX('Dữ liệu gộp'!$H$2:$H$1001,$Z35))</f>
        <v/>
      </c>
      <c r="I35" s="43" t="str">
        <f t="array" ref="I35">IF($Z35="","",INDEX('Dữ liệu gộp'!$I$2:$I$1001,$Z35))</f>
        <v/>
      </c>
      <c r="J35" s="43" t="str">
        <f t="array" ref="J35">IF($Z35="","",INDEX('Dữ liệu gộp'!$J$2:$J$1001,$Z35))</f>
        <v/>
      </c>
      <c r="K35" s="43" t="str">
        <f t="array" ref="K35">IF($Z35="","",INDEX('Dữ liệu gộp'!$K$2:$K$1001,$Z35))</f>
        <v/>
      </c>
      <c r="Z35" s="52" t="str">
        <f>IF($C$4="","",IFERROR(MATCH(26,'Dữ liệu gộp'!$L$2:$L$1001,0),""))</f>
        <v/>
      </c>
    </row>
    <row r="36" ht="15.75" customHeight="1">
      <c r="A36" s="43" t="str">
        <f>IF(Z36="","",27)</f>
        <v/>
      </c>
      <c r="B36" s="46" t="str">
        <f t="array" ref="B36">IF($Z36="","",INDEX('Dữ liệu gộp'!$A$2:$A$1001,$Z36))</f>
        <v/>
      </c>
      <c r="C36" s="46" t="str">
        <f t="array" ref="C36">IF($Z36="","",INDEX('Dữ liệu gộp'!$B$2:$B$1001,$Z36))</f>
        <v/>
      </c>
      <c r="D36" s="43" t="str">
        <f t="array" ref="D36">IF($Z36="","",INDEX('Dữ liệu gộp'!$C$2:$C$1001,$Z36))</f>
        <v/>
      </c>
      <c r="E36" s="47" t="str">
        <f t="array" ref="E36">IF($Z36="","",INDEX('Dữ liệu gộp'!$D$2:$D$1001,$Z36))</f>
        <v/>
      </c>
      <c r="F36" s="46" t="str">
        <f t="array" ref="F36">IF($Z36="","",INDEX('Dữ liệu gộp'!$E$2:$E$1001,$Z36))</f>
        <v/>
      </c>
      <c r="G36" s="46" t="str">
        <f t="array" ref="G36">IF($Z36="","",INDEX('Dữ liệu gộp'!$F$2:$F$1001,$Z36))</f>
        <v/>
      </c>
      <c r="H36" s="46" t="str">
        <f t="array" ref="H36">IF($Z36="","",INDEX('Dữ liệu gộp'!$H$2:$H$1001,$Z36))</f>
        <v/>
      </c>
      <c r="I36" s="43" t="str">
        <f t="array" ref="I36">IF($Z36="","",INDEX('Dữ liệu gộp'!$I$2:$I$1001,$Z36))</f>
        <v/>
      </c>
      <c r="J36" s="43" t="str">
        <f t="array" ref="J36">IF($Z36="","",INDEX('Dữ liệu gộp'!$J$2:$J$1001,$Z36))</f>
        <v/>
      </c>
      <c r="K36" s="43" t="str">
        <f t="array" ref="K36">IF($Z36="","",INDEX('Dữ liệu gộp'!$K$2:$K$1001,$Z36))</f>
        <v/>
      </c>
      <c r="Z36" s="52" t="str">
        <f>IF($C$4="","",IFERROR(MATCH(27,'Dữ liệu gộp'!$L$2:$L$1001,0),""))</f>
        <v/>
      </c>
    </row>
    <row r="37" ht="15.75" customHeight="1">
      <c r="A37" s="43" t="str">
        <f>IF(Z37="","",28)</f>
        <v/>
      </c>
      <c r="B37" s="46" t="str">
        <f t="array" ref="B37">IF($Z37="","",INDEX('Dữ liệu gộp'!$A$2:$A$1001,$Z37))</f>
        <v/>
      </c>
      <c r="C37" s="46" t="str">
        <f t="array" ref="C37">IF($Z37="","",INDEX('Dữ liệu gộp'!$B$2:$B$1001,$Z37))</f>
        <v/>
      </c>
      <c r="D37" s="43" t="str">
        <f t="array" ref="D37">IF($Z37="","",INDEX('Dữ liệu gộp'!$C$2:$C$1001,$Z37))</f>
        <v/>
      </c>
      <c r="E37" s="47" t="str">
        <f t="array" ref="E37">IF($Z37="","",INDEX('Dữ liệu gộp'!$D$2:$D$1001,$Z37))</f>
        <v/>
      </c>
      <c r="F37" s="46" t="str">
        <f t="array" ref="F37">IF($Z37="","",INDEX('Dữ liệu gộp'!$E$2:$E$1001,$Z37))</f>
        <v/>
      </c>
      <c r="G37" s="46" t="str">
        <f t="array" ref="G37">IF($Z37="","",INDEX('Dữ liệu gộp'!$F$2:$F$1001,$Z37))</f>
        <v/>
      </c>
      <c r="H37" s="46" t="str">
        <f t="array" ref="H37">IF($Z37="","",INDEX('Dữ liệu gộp'!$H$2:$H$1001,$Z37))</f>
        <v/>
      </c>
      <c r="I37" s="43" t="str">
        <f t="array" ref="I37">IF($Z37="","",INDEX('Dữ liệu gộp'!$I$2:$I$1001,$Z37))</f>
        <v/>
      </c>
      <c r="J37" s="43" t="str">
        <f t="array" ref="J37">IF($Z37="","",INDEX('Dữ liệu gộp'!$J$2:$J$1001,$Z37))</f>
        <v/>
      </c>
      <c r="K37" s="43" t="str">
        <f t="array" ref="K37">IF($Z37="","",INDEX('Dữ liệu gộp'!$K$2:$K$1001,$Z37))</f>
        <v/>
      </c>
      <c r="Z37" s="52" t="str">
        <f>IF($C$4="","",IFERROR(MATCH(28,'Dữ liệu gộp'!$L$2:$L$1001,0),""))</f>
        <v/>
      </c>
    </row>
    <row r="38" ht="15.75" customHeight="1">
      <c r="A38" s="43" t="str">
        <f>IF(Z38="","",29)</f>
        <v/>
      </c>
      <c r="B38" s="46" t="str">
        <f t="array" ref="B38">IF($Z38="","",INDEX('Dữ liệu gộp'!$A$2:$A$1001,$Z38))</f>
        <v/>
      </c>
      <c r="C38" s="46" t="str">
        <f t="array" ref="C38">IF($Z38="","",INDEX('Dữ liệu gộp'!$B$2:$B$1001,$Z38))</f>
        <v/>
      </c>
      <c r="D38" s="43" t="str">
        <f t="array" ref="D38">IF($Z38="","",INDEX('Dữ liệu gộp'!$C$2:$C$1001,$Z38))</f>
        <v/>
      </c>
      <c r="E38" s="47" t="str">
        <f t="array" ref="E38">IF($Z38="","",INDEX('Dữ liệu gộp'!$D$2:$D$1001,$Z38))</f>
        <v/>
      </c>
      <c r="F38" s="46" t="str">
        <f t="array" ref="F38">IF($Z38="","",INDEX('Dữ liệu gộp'!$E$2:$E$1001,$Z38))</f>
        <v/>
      </c>
      <c r="G38" s="46" t="str">
        <f t="array" ref="G38">IF($Z38="","",INDEX('Dữ liệu gộp'!$F$2:$F$1001,$Z38))</f>
        <v/>
      </c>
      <c r="H38" s="46" t="str">
        <f t="array" ref="H38">IF($Z38="","",INDEX('Dữ liệu gộp'!$H$2:$H$1001,$Z38))</f>
        <v/>
      </c>
      <c r="I38" s="43" t="str">
        <f t="array" ref="I38">IF($Z38="","",INDEX('Dữ liệu gộp'!$I$2:$I$1001,$Z38))</f>
        <v/>
      </c>
      <c r="J38" s="43" t="str">
        <f t="array" ref="J38">IF($Z38="","",INDEX('Dữ liệu gộp'!$J$2:$J$1001,$Z38))</f>
        <v/>
      </c>
      <c r="K38" s="43" t="str">
        <f t="array" ref="K38">IF($Z38="","",INDEX('Dữ liệu gộp'!$K$2:$K$1001,$Z38))</f>
        <v/>
      </c>
      <c r="Z38" s="52" t="str">
        <f>IF($C$4="","",IFERROR(MATCH(29,'Dữ liệu gộp'!$L$2:$L$1001,0),""))</f>
        <v/>
      </c>
    </row>
    <row r="39" ht="15.75" customHeight="1">
      <c r="A39" s="43" t="str">
        <f>IF(Z39="","",30)</f>
        <v/>
      </c>
      <c r="B39" s="46" t="str">
        <f t="array" ref="B39">IF($Z39="","",INDEX('Dữ liệu gộp'!$A$2:$A$1001,$Z39))</f>
        <v/>
      </c>
      <c r="C39" s="46" t="str">
        <f t="array" ref="C39">IF($Z39="","",INDEX('Dữ liệu gộp'!$B$2:$B$1001,$Z39))</f>
        <v/>
      </c>
      <c r="D39" s="43" t="str">
        <f t="array" ref="D39">IF($Z39="","",INDEX('Dữ liệu gộp'!$C$2:$C$1001,$Z39))</f>
        <v/>
      </c>
      <c r="E39" s="47" t="str">
        <f t="array" ref="E39">IF($Z39="","",INDEX('Dữ liệu gộp'!$D$2:$D$1001,$Z39))</f>
        <v/>
      </c>
      <c r="F39" s="46" t="str">
        <f t="array" ref="F39">IF($Z39="","",INDEX('Dữ liệu gộp'!$E$2:$E$1001,$Z39))</f>
        <v/>
      </c>
      <c r="G39" s="46" t="str">
        <f t="array" ref="G39">IF($Z39="","",INDEX('Dữ liệu gộp'!$F$2:$F$1001,$Z39))</f>
        <v/>
      </c>
      <c r="H39" s="46" t="str">
        <f t="array" ref="H39">IF($Z39="","",INDEX('Dữ liệu gộp'!$H$2:$H$1001,$Z39))</f>
        <v/>
      </c>
      <c r="I39" s="43" t="str">
        <f t="array" ref="I39">IF($Z39="","",INDEX('Dữ liệu gộp'!$I$2:$I$1001,$Z39))</f>
        <v/>
      </c>
      <c r="J39" s="43" t="str">
        <f t="array" ref="J39">IF($Z39="","",INDEX('Dữ liệu gộp'!$J$2:$J$1001,$Z39))</f>
        <v/>
      </c>
      <c r="K39" s="43" t="str">
        <f t="array" ref="K39">IF($Z39="","",INDEX('Dữ liệu gộp'!$K$2:$K$1001,$Z39))</f>
        <v/>
      </c>
      <c r="Z39" s="52" t="str">
        <f>IF($C$4="","",IFERROR(MATCH(30,'Dữ liệu gộp'!$L$2:$L$1001,0),""))</f>
        <v/>
      </c>
    </row>
    <row r="40" ht="15.75" customHeight="1">
      <c r="A40" s="43" t="str">
        <f>IF(Z40="","",31)</f>
        <v/>
      </c>
      <c r="B40" s="46" t="str">
        <f t="array" ref="B40">IF($Z40="","",INDEX('Dữ liệu gộp'!$A$2:$A$1001,$Z40))</f>
        <v/>
      </c>
      <c r="C40" s="46" t="str">
        <f t="array" ref="C40">IF($Z40="","",INDEX('Dữ liệu gộp'!$B$2:$B$1001,$Z40))</f>
        <v/>
      </c>
      <c r="D40" s="43" t="str">
        <f t="array" ref="D40">IF($Z40="","",INDEX('Dữ liệu gộp'!$C$2:$C$1001,$Z40))</f>
        <v/>
      </c>
      <c r="E40" s="47" t="str">
        <f t="array" ref="E40">IF($Z40="","",INDEX('Dữ liệu gộp'!$D$2:$D$1001,$Z40))</f>
        <v/>
      </c>
      <c r="F40" s="46" t="str">
        <f t="array" ref="F40">IF($Z40="","",INDEX('Dữ liệu gộp'!$E$2:$E$1001,$Z40))</f>
        <v/>
      </c>
      <c r="G40" s="46" t="str">
        <f t="array" ref="G40">IF($Z40="","",INDEX('Dữ liệu gộp'!$F$2:$F$1001,$Z40))</f>
        <v/>
      </c>
      <c r="H40" s="46" t="str">
        <f t="array" ref="H40">IF($Z40="","",INDEX('Dữ liệu gộp'!$H$2:$H$1001,$Z40))</f>
        <v/>
      </c>
      <c r="I40" s="43" t="str">
        <f t="array" ref="I40">IF($Z40="","",INDEX('Dữ liệu gộp'!$I$2:$I$1001,$Z40))</f>
        <v/>
      </c>
      <c r="J40" s="43" t="str">
        <f t="array" ref="J40">IF($Z40="","",INDEX('Dữ liệu gộp'!$J$2:$J$1001,$Z40))</f>
        <v/>
      </c>
      <c r="K40" s="43" t="str">
        <f t="array" ref="K40">IF($Z40="","",INDEX('Dữ liệu gộp'!$K$2:$K$1001,$Z40))</f>
        <v/>
      </c>
      <c r="Z40" s="52" t="str">
        <f>IF($C$4="","",IFERROR(MATCH(31,'Dữ liệu gộp'!$L$2:$L$1001,0),""))</f>
        <v/>
      </c>
    </row>
    <row r="41" ht="15.75" customHeight="1">
      <c r="A41" s="43" t="str">
        <f>IF(Z41="","",32)</f>
        <v/>
      </c>
      <c r="B41" s="46" t="str">
        <f t="array" ref="B41">IF($Z41="","",INDEX('Dữ liệu gộp'!$A$2:$A$1001,$Z41))</f>
        <v/>
      </c>
      <c r="C41" s="46" t="str">
        <f t="array" ref="C41">IF($Z41="","",INDEX('Dữ liệu gộp'!$B$2:$B$1001,$Z41))</f>
        <v/>
      </c>
      <c r="D41" s="43" t="str">
        <f t="array" ref="D41">IF($Z41="","",INDEX('Dữ liệu gộp'!$C$2:$C$1001,$Z41))</f>
        <v/>
      </c>
      <c r="E41" s="47" t="str">
        <f t="array" ref="E41">IF($Z41="","",INDEX('Dữ liệu gộp'!$D$2:$D$1001,$Z41))</f>
        <v/>
      </c>
      <c r="F41" s="46" t="str">
        <f t="array" ref="F41">IF($Z41="","",INDEX('Dữ liệu gộp'!$E$2:$E$1001,$Z41))</f>
        <v/>
      </c>
      <c r="G41" s="46" t="str">
        <f t="array" ref="G41">IF($Z41="","",INDEX('Dữ liệu gộp'!$F$2:$F$1001,$Z41))</f>
        <v/>
      </c>
      <c r="H41" s="46" t="str">
        <f t="array" ref="H41">IF($Z41="","",INDEX('Dữ liệu gộp'!$H$2:$H$1001,$Z41))</f>
        <v/>
      </c>
      <c r="I41" s="43" t="str">
        <f t="array" ref="I41">IF($Z41="","",INDEX('Dữ liệu gộp'!$I$2:$I$1001,$Z41))</f>
        <v/>
      </c>
      <c r="J41" s="43" t="str">
        <f t="array" ref="J41">IF($Z41="","",INDEX('Dữ liệu gộp'!$J$2:$J$1001,$Z41))</f>
        <v/>
      </c>
      <c r="K41" s="43" t="str">
        <f t="array" ref="K41">IF($Z41="","",INDEX('Dữ liệu gộp'!$K$2:$K$1001,$Z41))</f>
        <v/>
      </c>
      <c r="Z41" s="52" t="str">
        <f>IF($C$4="","",IFERROR(MATCH(32,'Dữ liệu gộp'!$L$2:$L$1001,0),""))</f>
        <v/>
      </c>
    </row>
    <row r="42" ht="15.75" customHeight="1">
      <c r="A42" s="43" t="str">
        <f>IF(Z42="","",33)</f>
        <v/>
      </c>
      <c r="B42" s="46" t="str">
        <f t="array" ref="B42">IF($Z42="","",INDEX('Dữ liệu gộp'!$A$2:$A$1001,$Z42))</f>
        <v/>
      </c>
      <c r="C42" s="46" t="str">
        <f t="array" ref="C42">IF($Z42="","",INDEX('Dữ liệu gộp'!$B$2:$B$1001,$Z42))</f>
        <v/>
      </c>
      <c r="D42" s="43" t="str">
        <f t="array" ref="D42">IF($Z42="","",INDEX('Dữ liệu gộp'!$C$2:$C$1001,$Z42))</f>
        <v/>
      </c>
      <c r="E42" s="47" t="str">
        <f t="array" ref="E42">IF($Z42="","",INDEX('Dữ liệu gộp'!$D$2:$D$1001,$Z42))</f>
        <v/>
      </c>
      <c r="F42" s="46" t="str">
        <f t="array" ref="F42">IF($Z42="","",INDEX('Dữ liệu gộp'!$E$2:$E$1001,$Z42))</f>
        <v/>
      </c>
      <c r="G42" s="46" t="str">
        <f t="array" ref="G42">IF($Z42="","",INDEX('Dữ liệu gộp'!$F$2:$F$1001,$Z42))</f>
        <v/>
      </c>
      <c r="H42" s="46" t="str">
        <f t="array" ref="H42">IF($Z42="","",INDEX('Dữ liệu gộp'!$H$2:$H$1001,$Z42))</f>
        <v/>
      </c>
      <c r="I42" s="43" t="str">
        <f t="array" ref="I42">IF($Z42="","",INDEX('Dữ liệu gộp'!$I$2:$I$1001,$Z42))</f>
        <v/>
      </c>
      <c r="J42" s="43" t="str">
        <f t="array" ref="J42">IF($Z42="","",INDEX('Dữ liệu gộp'!$J$2:$J$1001,$Z42))</f>
        <v/>
      </c>
      <c r="K42" s="43" t="str">
        <f t="array" ref="K42">IF($Z42="","",INDEX('Dữ liệu gộp'!$K$2:$K$1001,$Z42))</f>
        <v/>
      </c>
      <c r="Z42" s="52" t="str">
        <f>IF($C$4="","",IFERROR(MATCH(33,'Dữ liệu gộp'!$L$2:$L$1001,0),""))</f>
        <v/>
      </c>
    </row>
    <row r="43" ht="15.75" customHeight="1">
      <c r="A43" s="43" t="str">
        <f>IF(Z43="","",34)</f>
        <v/>
      </c>
      <c r="B43" s="46" t="str">
        <f t="array" ref="B43">IF($Z43="","",INDEX('Dữ liệu gộp'!$A$2:$A$1001,$Z43))</f>
        <v/>
      </c>
      <c r="C43" s="46" t="str">
        <f t="array" ref="C43">IF($Z43="","",INDEX('Dữ liệu gộp'!$B$2:$B$1001,$Z43))</f>
        <v/>
      </c>
      <c r="D43" s="43" t="str">
        <f t="array" ref="D43">IF($Z43="","",INDEX('Dữ liệu gộp'!$C$2:$C$1001,$Z43))</f>
        <v/>
      </c>
      <c r="E43" s="47" t="str">
        <f t="array" ref="E43">IF($Z43="","",INDEX('Dữ liệu gộp'!$D$2:$D$1001,$Z43))</f>
        <v/>
      </c>
      <c r="F43" s="46" t="str">
        <f t="array" ref="F43">IF($Z43="","",INDEX('Dữ liệu gộp'!$E$2:$E$1001,$Z43))</f>
        <v/>
      </c>
      <c r="G43" s="46" t="str">
        <f t="array" ref="G43">IF($Z43="","",INDEX('Dữ liệu gộp'!$F$2:$F$1001,$Z43))</f>
        <v/>
      </c>
      <c r="H43" s="46" t="str">
        <f t="array" ref="H43">IF($Z43="","",INDEX('Dữ liệu gộp'!$H$2:$H$1001,$Z43))</f>
        <v/>
      </c>
      <c r="I43" s="43" t="str">
        <f t="array" ref="I43">IF($Z43="","",INDEX('Dữ liệu gộp'!$I$2:$I$1001,$Z43))</f>
        <v/>
      </c>
      <c r="J43" s="43" t="str">
        <f t="array" ref="J43">IF($Z43="","",INDEX('Dữ liệu gộp'!$J$2:$J$1001,$Z43))</f>
        <v/>
      </c>
      <c r="K43" s="43" t="str">
        <f t="array" ref="K43">IF($Z43="","",INDEX('Dữ liệu gộp'!$K$2:$K$1001,$Z43))</f>
        <v/>
      </c>
      <c r="Z43" s="52" t="str">
        <f>IF($C$4="","",IFERROR(MATCH(34,'Dữ liệu gộp'!$L$2:$L$1001,0),""))</f>
        <v/>
      </c>
    </row>
    <row r="44" ht="15.75" customHeight="1">
      <c r="A44" s="43" t="str">
        <f>IF(Z44="","",35)</f>
        <v/>
      </c>
      <c r="B44" s="46" t="str">
        <f t="array" ref="B44">IF($Z44="","",INDEX('Dữ liệu gộp'!$A$2:$A$1001,$Z44))</f>
        <v/>
      </c>
      <c r="C44" s="46" t="str">
        <f t="array" ref="C44">IF($Z44="","",INDEX('Dữ liệu gộp'!$B$2:$B$1001,$Z44))</f>
        <v/>
      </c>
      <c r="D44" s="43" t="str">
        <f t="array" ref="D44">IF($Z44="","",INDEX('Dữ liệu gộp'!$C$2:$C$1001,$Z44))</f>
        <v/>
      </c>
      <c r="E44" s="47" t="str">
        <f t="array" ref="E44">IF($Z44="","",INDEX('Dữ liệu gộp'!$D$2:$D$1001,$Z44))</f>
        <v/>
      </c>
      <c r="F44" s="46" t="str">
        <f t="array" ref="F44">IF($Z44="","",INDEX('Dữ liệu gộp'!$E$2:$E$1001,$Z44))</f>
        <v/>
      </c>
      <c r="G44" s="46" t="str">
        <f t="array" ref="G44">IF($Z44="","",INDEX('Dữ liệu gộp'!$F$2:$F$1001,$Z44))</f>
        <v/>
      </c>
      <c r="H44" s="46" t="str">
        <f t="array" ref="H44">IF($Z44="","",INDEX('Dữ liệu gộp'!$H$2:$H$1001,$Z44))</f>
        <v/>
      </c>
      <c r="I44" s="43" t="str">
        <f t="array" ref="I44">IF($Z44="","",INDEX('Dữ liệu gộp'!$I$2:$I$1001,$Z44))</f>
        <v/>
      </c>
      <c r="J44" s="43" t="str">
        <f t="array" ref="J44">IF($Z44="","",INDEX('Dữ liệu gộp'!$J$2:$J$1001,$Z44))</f>
        <v/>
      </c>
      <c r="K44" s="43" t="str">
        <f t="array" ref="K44">IF($Z44="","",INDEX('Dữ liệu gộp'!$K$2:$K$1001,$Z44))</f>
        <v/>
      </c>
      <c r="Z44" s="52" t="str">
        <f>IF($C$4="","",IFERROR(MATCH(35,'Dữ liệu gộp'!$L$2:$L$1001,0),""))</f>
        <v/>
      </c>
    </row>
    <row r="45" ht="15.75" customHeight="1">
      <c r="A45" s="43" t="str">
        <f>IF(Z45="","",36)</f>
        <v/>
      </c>
      <c r="B45" s="46" t="str">
        <f t="array" ref="B45">IF($Z45="","",INDEX('Dữ liệu gộp'!$A$2:$A$1001,$Z45))</f>
        <v/>
      </c>
      <c r="C45" s="46" t="str">
        <f t="array" ref="C45">IF($Z45="","",INDEX('Dữ liệu gộp'!$B$2:$B$1001,$Z45))</f>
        <v/>
      </c>
      <c r="D45" s="43" t="str">
        <f t="array" ref="D45">IF($Z45="","",INDEX('Dữ liệu gộp'!$C$2:$C$1001,$Z45))</f>
        <v/>
      </c>
      <c r="E45" s="47" t="str">
        <f t="array" ref="E45">IF($Z45="","",INDEX('Dữ liệu gộp'!$D$2:$D$1001,$Z45))</f>
        <v/>
      </c>
      <c r="F45" s="46" t="str">
        <f t="array" ref="F45">IF($Z45="","",INDEX('Dữ liệu gộp'!$E$2:$E$1001,$Z45))</f>
        <v/>
      </c>
      <c r="G45" s="46" t="str">
        <f t="array" ref="G45">IF($Z45="","",INDEX('Dữ liệu gộp'!$F$2:$F$1001,$Z45))</f>
        <v/>
      </c>
      <c r="H45" s="46" t="str">
        <f t="array" ref="H45">IF($Z45="","",INDEX('Dữ liệu gộp'!$H$2:$H$1001,$Z45))</f>
        <v/>
      </c>
      <c r="I45" s="43" t="str">
        <f t="array" ref="I45">IF($Z45="","",INDEX('Dữ liệu gộp'!$I$2:$I$1001,$Z45))</f>
        <v/>
      </c>
      <c r="J45" s="43" t="str">
        <f t="array" ref="J45">IF($Z45="","",INDEX('Dữ liệu gộp'!$J$2:$J$1001,$Z45))</f>
        <v/>
      </c>
      <c r="K45" s="43" t="str">
        <f t="array" ref="K45">IF($Z45="","",INDEX('Dữ liệu gộp'!$K$2:$K$1001,$Z45))</f>
        <v/>
      </c>
      <c r="Z45" s="52" t="str">
        <f>IF($C$4="","",IFERROR(MATCH(36,'Dữ liệu gộp'!$L$2:$L$1001,0),""))</f>
        <v/>
      </c>
    </row>
    <row r="46" ht="15.75" customHeight="1">
      <c r="A46" s="43" t="str">
        <f>IF(Z46="","",37)</f>
        <v/>
      </c>
      <c r="B46" s="46" t="str">
        <f t="array" ref="B46">IF($Z46="","",INDEX('Dữ liệu gộp'!$A$2:$A$1001,$Z46))</f>
        <v/>
      </c>
      <c r="C46" s="46" t="str">
        <f t="array" ref="C46">IF($Z46="","",INDEX('Dữ liệu gộp'!$B$2:$B$1001,$Z46))</f>
        <v/>
      </c>
      <c r="D46" s="43" t="str">
        <f t="array" ref="D46">IF($Z46="","",INDEX('Dữ liệu gộp'!$C$2:$C$1001,$Z46))</f>
        <v/>
      </c>
      <c r="E46" s="47" t="str">
        <f t="array" ref="E46">IF($Z46="","",INDEX('Dữ liệu gộp'!$D$2:$D$1001,$Z46))</f>
        <v/>
      </c>
      <c r="F46" s="46" t="str">
        <f t="array" ref="F46">IF($Z46="","",INDEX('Dữ liệu gộp'!$E$2:$E$1001,$Z46))</f>
        <v/>
      </c>
      <c r="G46" s="46" t="str">
        <f t="array" ref="G46">IF($Z46="","",INDEX('Dữ liệu gộp'!$F$2:$F$1001,$Z46))</f>
        <v/>
      </c>
      <c r="H46" s="46" t="str">
        <f t="array" ref="H46">IF($Z46="","",INDEX('Dữ liệu gộp'!$H$2:$H$1001,$Z46))</f>
        <v/>
      </c>
      <c r="I46" s="43" t="str">
        <f t="array" ref="I46">IF($Z46="","",INDEX('Dữ liệu gộp'!$I$2:$I$1001,$Z46))</f>
        <v/>
      </c>
      <c r="J46" s="43" t="str">
        <f t="array" ref="J46">IF($Z46="","",INDEX('Dữ liệu gộp'!$J$2:$J$1001,$Z46))</f>
        <v/>
      </c>
      <c r="K46" s="43" t="str">
        <f t="array" ref="K46">IF($Z46="","",INDEX('Dữ liệu gộp'!$K$2:$K$1001,$Z46))</f>
        <v/>
      </c>
      <c r="Z46" s="52" t="str">
        <f>IF($C$4="","",IFERROR(MATCH(37,'Dữ liệu gộp'!$L$2:$L$1001,0),""))</f>
        <v/>
      </c>
    </row>
    <row r="47" ht="15.75" customHeight="1">
      <c r="A47" s="43" t="str">
        <f>IF(Z47="","",38)</f>
        <v/>
      </c>
      <c r="B47" s="46" t="str">
        <f t="array" ref="B47">IF($Z47="","",INDEX('Dữ liệu gộp'!$A$2:$A$1001,$Z47))</f>
        <v/>
      </c>
      <c r="C47" s="46" t="str">
        <f t="array" ref="C47">IF($Z47="","",INDEX('Dữ liệu gộp'!$B$2:$B$1001,$Z47))</f>
        <v/>
      </c>
      <c r="D47" s="43" t="str">
        <f t="array" ref="D47">IF($Z47="","",INDEX('Dữ liệu gộp'!$C$2:$C$1001,$Z47))</f>
        <v/>
      </c>
      <c r="E47" s="47" t="str">
        <f t="array" ref="E47">IF($Z47="","",INDEX('Dữ liệu gộp'!$D$2:$D$1001,$Z47))</f>
        <v/>
      </c>
      <c r="F47" s="46" t="str">
        <f t="array" ref="F47">IF($Z47="","",INDEX('Dữ liệu gộp'!$E$2:$E$1001,$Z47))</f>
        <v/>
      </c>
      <c r="G47" s="46" t="str">
        <f t="array" ref="G47">IF($Z47="","",INDEX('Dữ liệu gộp'!$F$2:$F$1001,$Z47))</f>
        <v/>
      </c>
      <c r="H47" s="46" t="str">
        <f t="array" ref="H47">IF($Z47="","",INDEX('Dữ liệu gộp'!$H$2:$H$1001,$Z47))</f>
        <v/>
      </c>
      <c r="I47" s="43" t="str">
        <f t="array" ref="I47">IF($Z47="","",INDEX('Dữ liệu gộp'!$I$2:$I$1001,$Z47))</f>
        <v/>
      </c>
      <c r="J47" s="43" t="str">
        <f t="array" ref="J47">IF($Z47="","",INDEX('Dữ liệu gộp'!$J$2:$J$1001,$Z47))</f>
        <v/>
      </c>
      <c r="K47" s="43" t="str">
        <f t="array" ref="K47">IF($Z47="","",INDEX('Dữ liệu gộp'!$K$2:$K$1001,$Z47))</f>
        <v/>
      </c>
      <c r="Z47" s="52" t="str">
        <f>IF($C$4="","",IFERROR(MATCH(38,'Dữ liệu gộp'!$L$2:$L$1001,0),""))</f>
        <v/>
      </c>
    </row>
    <row r="48" ht="15.75" customHeight="1">
      <c r="A48" s="43" t="str">
        <f>IF(Z48="","",39)</f>
        <v/>
      </c>
      <c r="B48" s="46" t="str">
        <f t="array" ref="B48">IF($Z48="","",INDEX('Dữ liệu gộp'!$A$2:$A$1001,$Z48))</f>
        <v/>
      </c>
      <c r="C48" s="46" t="str">
        <f t="array" ref="C48">IF($Z48="","",INDEX('Dữ liệu gộp'!$B$2:$B$1001,$Z48))</f>
        <v/>
      </c>
      <c r="D48" s="43" t="str">
        <f t="array" ref="D48">IF($Z48="","",INDEX('Dữ liệu gộp'!$C$2:$C$1001,$Z48))</f>
        <v/>
      </c>
      <c r="E48" s="47" t="str">
        <f t="array" ref="E48">IF($Z48="","",INDEX('Dữ liệu gộp'!$D$2:$D$1001,$Z48))</f>
        <v/>
      </c>
      <c r="F48" s="46" t="str">
        <f t="array" ref="F48">IF($Z48="","",INDEX('Dữ liệu gộp'!$E$2:$E$1001,$Z48))</f>
        <v/>
      </c>
      <c r="G48" s="46" t="str">
        <f t="array" ref="G48">IF($Z48="","",INDEX('Dữ liệu gộp'!$F$2:$F$1001,$Z48))</f>
        <v/>
      </c>
      <c r="H48" s="46" t="str">
        <f t="array" ref="H48">IF($Z48="","",INDEX('Dữ liệu gộp'!$H$2:$H$1001,$Z48))</f>
        <v/>
      </c>
      <c r="I48" s="43" t="str">
        <f t="array" ref="I48">IF($Z48="","",INDEX('Dữ liệu gộp'!$I$2:$I$1001,$Z48))</f>
        <v/>
      </c>
      <c r="J48" s="43" t="str">
        <f t="array" ref="J48">IF($Z48="","",INDEX('Dữ liệu gộp'!$J$2:$J$1001,$Z48))</f>
        <v/>
      </c>
      <c r="K48" s="43" t="str">
        <f t="array" ref="K48">IF($Z48="","",INDEX('Dữ liệu gộp'!$K$2:$K$1001,$Z48))</f>
        <v/>
      </c>
      <c r="Z48" s="52" t="str">
        <f>IF($C$4="","",IFERROR(MATCH(39,'Dữ liệu gộp'!$L$2:$L$1001,0),""))</f>
        <v/>
      </c>
    </row>
    <row r="49" ht="15.75" customHeight="1">
      <c r="A49" s="43" t="str">
        <f>IF(Z49="","",40)</f>
        <v/>
      </c>
      <c r="B49" s="46" t="str">
        <f t="array" ref="B49">IF($Z49="","",INDEX('Dữ liệu gộp'!$A$2:$A$1001,$Z49))</f>
        <v/>
      </c>
      <c r="C49" s="46" t="str">
        <f t="array" ref="C49">IF($Z49="","",INDEX('Dữ liệu gộp'!$B$2:$B$1001,$Z49))</f>
        <v/>
      </c>
      <c r="D49" s="43" t="str">
        <f t="array" ref="D49">IF($Z49="","",INDEX('Dữ liệu gộp'!$C$2:$C$1001,$Z49))</f>
        <v/>
      </c>
      <c r="E49" s="47" t="str">
        <f t="array" ref="E49">IF($Z49="","",INDEX('Dữ liệu gộp'!$D$2:$D$1001,$Z49))</f>
        <v/>
      </c>
      <c r="F49" s="46" t="str">
        <f t="array" ref="F49">IF($Z49="","",INDEX('Dữ liệu gộp'!$E$2:$E$1001,$Z49))</f>
        <v/>
      </c>
      <c r="G49" s="46" t="str">
        <f t="array" ref="G49">IF($Z49="","",INDEX('Dữ liệu gộp'!$F$2:$F$1001,$Z49))</f>
        <v/>
      </c>
      <c r="H49" s="46" t="str">
        <f t="array" ref="H49">IF($Z49="","",INDEX('Dữ liệu gộp'!$H$2:$H$1001,$Z49))</f>
        <v/>
      </c>
      <c r="I49" s="43" t="str">
        <f t="array" ref="I49">IF($Z49="","",INDEX('Dữ liệu gộp'!$I$2:$I$1001,$Z49))</f>
        <v/>
      </c>
      <c r="J49" s="43" t="str">
        <f t="array" ref="J49">IF($Z49="","",INDEX('Dữ liệu gộp'!$J$2:$J$1001,$Z49))</f>
        <v/>
      </c>
      <c r="K49" s="43" t="str">
        <f t="array" ref="K49">IF($Z49="","",INDEX('Dữ liệu gộp'!$K$2:$K$1001,$Z49))</f>
        <v/>
      </c>
      <c r="Z49" s="52" t="str">
        <f>IF($C$4="","",IFERROR(MATCH(40,'Dữ liệu gộp'!$L$2:$L$1001,0),""))</f>
        <v/>
      </c>
    </row>
    <row r="50" ht="15.75" customHeight="1">
      <c r="A50" s="43" t="str">
        <f>IF(Z50="","",41)</f>
        <v/>
      </c>
      <c r="B50" s="46" t="str">
        <f t="array" ref="B50">IF($Z50="","",INDEX('Dữ liệu gộp'!$A$2:$A$1001,$Z50))</f>
        <v/>
      </c>
      <c r="C50" s="46" t="str">
        <f t="array" ref="C50">IF($Z50="","",INDEX('Dữ liệu gộp'!$B$2:$B$1001,$Z50))</f>
        <v/>
      </c>
      <c r="D50" s="43" t="str">
        <f t="array" ref="D50">IF($Z50="","",INDEX('Dữ liệu gộp'!$C$2:$C$1001,$Z50))</f>
        <v/>
      </c>
      <c r="E50" s="47" t="str">
        <f t="array" ref="E50">IF($Z50="","",INDEX('Dữ liệu gộp'!$D$2:$D$1001,$Z50))</f>
        <v/>
      </c>
      <c r="F50" s="46" t="str">
        <f t="array" ref="F50">IF($Z50="","",INDEX('Dữ liệu gộp'!$E$2:$E$1001,$Z50))</f>
        <v/>
      </c>
      <c r="G50" s="46" t="str">
        <f t="array" ref="G50">IF($Z50="","",INDEX('Dữ liệu gộp'!$F$2:$F$1001,$Z50))</f>
        <v/>
      </c>
      <c r="H50" s="46" t="str">
        <f t="array" ref="H50">IF($Z50="","",INDEX('Dữ liệu gộp'!$H$2:$H$1001,$Z50))</f>
        <v/>
      </c>
      <c r="I50" s="43" t="str">
        <f t="array" ref="I50">IF($Z50="","",INDEX('Dữ liệu gộp'!$I$2:$I$1001,$Z50))</f>
        <v/>
      </c>
      <c r="J50" s="43" t="str">
        <f t="array" ref="J50">IF($Z50="","",INDEX('Dữ liệu gộp'!$J$2:$J$1001,$Z50))</f>
        <v/>
      </c>
      <c r="K50" s="43" t="str">
        <f t="array" ref="K50">IF($Z50="","",INDEX('Dữ liệu gộp'!$K$2:$K$1001,$Z50))</f>
        <v/>
      </c>
      <c r="Z50" s="52" t="str">
        <f>IF($C$4="","",IFERROR(MATCH(41,'Dữ liệu gộp'!$L$2:$L$1001,0),""))</f>
        <v/>
      </c>
    </row>
    <row r="51" ht="15.75" customHeight="1">
      <c r="A51" s="43" t="str">
        <f>IF(Z51="","",42)</f>
        <v/>
      </c>
      <c r="B51" s="46" t="str">
        <f t="array" ref="B51">IF($Z51="","",INDEX('Dữ liệu gộp'!$A$2:$A$1001,$Z51))</f>
        <v/>
      </c>
      <c r="C51" s="46" t="str">
        <f t="array" ref="C51">IF($Z51="","",INDEX('Dữ liệu gộp'!$B$2:$B$1001,$Z51))</f>
        <v/>
      </c>
      <c r="D51" s="43" t="str">
        <f t="array" ref="D51">IF($Z51="","",INDEX('Dữ liệu gộp'!$C$2:$C$1001,$Z51))</f>
        <v/>
      </c>
      <c r="E51" s="47" t="str">
        <f t="array" ref="E51">IF($Z51="","",INDEX('Dữ liệu gộp'!$D$2:$D$1001,$Z51))</f>
        <v/>
      </c>
      <c r="F51" s="46" t="str">
        <f t="array" ref="F51">IF($Z51="","",INDEX('Dữ liệu gộp'!$E$2:$E$1001,$Z51))</f>
        <v/>
      </c>
      <c r="G51" s="46" t="str">
        <f t="array" ref="G51">IF($Z51="","",INDEX('Dữ liệu gộp'!$F$2:$F$1001,$Z51))</f>
        <v/>
      </c>
      <c r="H51" s="46" t="str">
        <f t="array" ref="H51">IF($Z51="","",INDEX('Dữ liệu gộp'!$H$2:$H$1001,$Z51))</f>
        <v/>
      </c>
      <c r="I51" s="43" t="str">
        <f t="array" ref="I51">IF($Z51="","",INDEX('Dữ liệu gộp'!$I$2:$I$1001,$Z51))</f>
        <v/>
      </c>
      <c r="J51" s="43" t="str">
        <f t="array" ref="J51">IF($Z51="","",INDEX('Dữ liệu gộp'!$J$2:$J$1001,$Z51))</f>
        <v/>
      </c>
      <c r="K51" s="43" t="str">
        <f t="array" ref="K51">IF($Z51="","",INDEX('Dữ liệu gộp'!$K$2:$K$1001,$Z51))</f>
        <v/>
      </c>
      <c r="Z51" s="52" t="str">
        <f>IF($C$4="","",IFERROR(MATCH(42,'Dữ liệu gộp'!$L$2:$L$1001,0),""))</f>
        <v/>
      </c>
    </row>
    <row r="52" ht="15.75" customHeight="1">
      <c r="A52" s="43" t="str">
        <f>IF(Z52="","",43)</f>
        <v/>
      </c>
      <c r="B52" s="46" t="str">
        <f t="array" ref="B52">IF($Z52="","",INDEX('Dữ liệu gộp'!$A$2:$A$1001,$Z52))</f>
        <v/>
      </c>
      <c r="C52" s="46" t="str">
        <f t="array" ref="C52">IF($Z52="","",INDEX('Dữ liệu gộp'!$B$2:$B$1001,$Z52))</f>
        <v/>
      </c>
      <c r="D52" s="43" t="str">
        <f t="array" ref="D52">IF($Z52="","",INDEX('Dữ liệu gộp'!$C$2:$C$1001,$Z52))</f>
        <v/>
      </c>
      <c r="E52" s="47" t="str">
        <f t="array" ref="E52">IF($Z52="","",INDEX('Dữ liệu gộp'!$D$2:$D$1001,$Z52))</f>
        <v/>
      </c>
      <c r="F52" s="46" t="str">
        <f t="array" ref="F52">IF($Z52="","",INDEX('Dữ liệu gộp'!$E$2:$E$1001,$Z52))</f>
        <v/>
      </c>
      <c r="G52" s="46" t="str">
        <f t="array" ref="G52">IF($Z52="","",INDEX('Dữ liệu gộp'!$F$2:$F$1001,$Z52))</f>
        <v/>
      </c>
      <c r="H52" s="46" t="str">
        <f t="array" ref="H52">IF($Z52="","",INDEX('Dữ liệu gộp'!$H$2:$H$1001,$Z52))</f>
        <v/>
      </c>
      <c r="I52" s="43" t="str">
        <f t="array" ref="I52">IF($Z52="","",INDEX('Dữ liệu gộp'!$I$2:$I$1001,$Z52))</f>
        <v/>
      </c>
      <c r="J52" s="43" t="str">
        <f t="array" ref="J52">IF($Z52="","",INDEX('Dữ liệu gộp'!$J$2:$J$1001,$Z52))</f>
        <v/>
      </c>
      <c r="K52" s="43" t="str">
        <f t="array" ref="K52">IF($Z52="","",INDEX('Dữ liệu gộp'!$K$2:$K$1001,$Z52))</f>
        <v/>
      </c>
      <c r="Z52" s="52" t="str">
        <f>IF($C$4="","",IFERROR(MATCH(43,'Dữ liệu gộp'!$L$2:$L$1001,0),""))</f>
        <v/>
      </c>
    </row>
    <row r="53" ht="15.75" customHeight="1">
      <c r="A53" s="43" t="str">
        <f>IF(Z53="","",44)</f>
        <v/>
      </c>
      <c r="B53" s="46" t="str">
        <f t="array" ref="B53">IF($Z53="","",INDEX('Dữ liệu gộp'!$A$2:$A$1001,$Z53))</f>
        <v/>
      </c>
      <c r="C53" s="46" t="str">
        <f t="array" ref="C53">IF($Z53="","",INDEX('Dữ liệu gộp'!$B$2:$B$1001,$Z53))</f>
        <v/>
      </c>
      <c r="D53" s="43" t="str">
        <f t="array" ref="D53">IF($Z53="","",INDEX('Dữ liệu gộp'!$C$2:$C$1001,$Z53))</f>
        <v/>
      </c>
      <c r="E53" s="47" t="str">
        <f t="array" ref="E53">IF($Z53="","",INDEX('Dữ liệu gộp'!$D$2:$D$1001,$Z53))</f>
        <v/>
      </c>
      <c r="F53" s="46" t="str">
        <f t="array" ref="F53">IF($Z53="","",INDEX('Dữ liệu gộp'!$E$2:$E$1001,$Z53))</f>
        <v/>
      </c>
      <c r="G53" s="46" t="str">
        <f t="array" ref="G53">IF($Z53="","",INDEX('Dữ liệu gộp'!$F$2:$F$1001,$Z53))</f>
        <v/>
      </c>
      <c r="H53" s="46" t="str">
        <f t="array" ref="H53">IF($Z53="","",INDEX('Dữ liệu gộp'!$H$2:$H$1001,$Z53))</f>
        <v/>
      </c>
      <c r="I53" s="43" t="str">
        <f t="array" ref="I53">IF($Z53="","",INDEX('Dữ liệu gộp'!$I$2:$I$1001,$Z53))</f>
        <v/>
      </c>
      <c r="J53" s="43" t="str">
        <f t="array" ref="J53">IF($Z53="","",INDEX('Dữ liệu gộp'!$J$2:$J$1001,$Z53))</f>
        <v/>
      </c>
      <c r="K53" s="43" t="str">
        <f t="array" ref="K53">IF($Z53="","",INDEX('Dữ liệu gộp'!$K$2:$K$1001,$Z53))</f>
        <v/>
      </c>
      <c r="Z53" s="52" t="str">
        <f>IF($C$4="","",IFERROR(MATCH(44,'Dữ liệu gộp'!$L$2:$L$1001,0),""))</f>
        <v/>
      </c>
    </row>
    <row r="54" ht="15.75" customHeight="1">
      <c r="A54" s="43" t="str">
        <f>IF(Z54="","",45)</f>
        <v/>
      </c>
      <c r="B54" s="46" t="str">
        <f t="array" ref="B54">IF($Z54="","",INDEX('Dữ liệu gộp'!$A$2:$A$1001,$Z54))</f>
        <v/>
      </c>
      <c r="C54" s="46" t="str">
        <f t="array" ref="C54">IF($Z54="","",INDEX('Dữ liệu gộp'!$B$2:$B$1001,$Z54))</f>
        <v/>
      </c>
      <c r="D54" s="43" t="str">
        <f t="array" ref="D54">IF($Z54="","",INDEX('Dữ liệu gộp'!$C$2:$C$1001,$Z54))</f>
        <v/>
      </c>
      <c r="E54" s="47" t="str">
        <f t="array" ref="E54">IF($Z54="","",INDEX('Dữ liệu gộp'!$D$2:$D$1001,$Z54))</f>
        <v/>
      </c>
      <c r="F54" s="46" t="str">
        <f t="array" ref="F54">IF($Z54="","",INDEX('Dữ liệu gộp'!$E$2:$E$1001,$Z54))</f>
        <v/>
      </c>
      <c r="G54" s="46" t="str">
        <f t="array" ref="G54">IF($Z54="","",INDEX('Dữ liệu gộp'!$F$2:$F$1001,$Z54))</f>
        <v/>
      </c>
      <c r="H54" s="46" t="str">
        <f t="array" ref="H54">IF($Z54="","",INDEX('Dữ liệu gộp'!$H$2:$H$1001,$Z54))</f>
        <v/>
      </c>
      <c r="I54" s="43" t="str">
        <f t="array" ref="I54">IF($Z54="","",INDEX('Dữ liệu gộp'!$I$2:$I$1001,$Z54))</f>
        <v/>
      </c>
      <c r="J54" s="43" t="str">
        <f t="array" ref="J54">IF($Z54="","",INDEX('Dữ liệu gộp'!$J$2:$J$1001,$Z54))</f>
        <v/>
      </c>
      <c r="K54" s="43" t="str">
        <f t="array" ref="K54">IF($Z54="","",INDEX('Dữ liệu gộp'!$K$2:$K$1001,$Z54))</f>
        <v/>
      </c>
      <c r="Z54" s="52" t="str">
        <f>IF($C$4="","",IFERROR(MATCH(45,'Dữ liệu gộp'!$L$2:$L$1001,0),""))</f>
        <v/>
      </c>
    </row>
    <row r="55" ht="15.75" customHeight="1">
      <c r="A55" s="43" t="str">
        <f>IF(Z55="","",46)</f>
        <v/>
      </c>
      <c r="B55" s="46" t="str">
        <f t="array" ref="B55">IF($Z55="","",INDEX('Dữ liệu gộp'!$A$2:$A$1001,$Z55))</f>
        <v/>
      </c>
      <c r="C55" s="46" t="str">
        <f t="array" ref="C55">IF($Z55="","",INDEX('Dữ liệu gộp'!$B$2:$B$1001,$Z55))</f>
        <v/>
      </c>
      <c r="D55" s="43" t="str">
        <f t="array" ref="D55">IF($Z55="","",INDEX('Dữ liệu gộp'!$C$2:$C$1001,$Z55))</f>
        <v/>
      </c>
      <c r="E55" s="47" t="str">
        <f t="array" ref="E55">IF($Z55="","",INDEX('Dữ liệu gộp'!$D$2:$D$1001,$Z55))</f>
        <v/>
      </c>
      <c r="F55" s="46" t="str">
        <f t="array" ref="F55">IF($Z55="","",INDEX('Dữ liệu gộp'!$E$2:$E$1001,$Z55))</f>
        <v/>
      </c>
      <c r="G55" s="46" t="str">
        <f t="array" ref="G55">IF($Z55="","",INDEX('Dữ liệu gộp'!$F$2:$F$1001,$Z55))</f>
        <v/>
      </c>
      <c r="H55" s="46" t="str">
        <f t="array" ref="H55">IF($Z55="","",INDEX('Dữ liệu gộp'!$H$2:$H$1001,$Z55))</f>
        <v/>
      </c>
      <c r="I55" s="43" t="str">
        <f t="array" ref="I55">IF($Z55="","",INDEX('Dữ liệu gộp'!$I$2:$I$1001,$Z55))</f>
        <v/>
      </c>
      <c r="J55" s="43" t="str">
        <f t="array" ref="J55">IF($Z55="","",INDEX('Dữ liệu gộp'!$J$2:$J$1001,$Z55))</f>
        <v/>
      </c>
      <c r="K55" s="43" t="str">
        <f t="array" ref="K55">IF($Z55="","",INDEX('Dữ liệu gộp'!$K$2:$K$1001,$Z55))</f>
        <v/>
      </c>
      <c r="Z55" s="52" t="str">
        <f>IF($C$4="","",IFERROR(MATCH(46,'Dữ liệu gộp'!$L$2:$L$1001,0),""))</f>
        <v/>
      </c>
    </row>
    <row r="56" ht="15.75" customHeight="1">
      <c r="A56" s="43" t="str">
        <f>IF(Z56="","",47)</f>
        <v/>
      </c>
      <c r="B56" s="46" t="str">
        <f t="array" ref="B56">IF($Z56="","",INDEX('Dữ liệu gộp'!$A$2:$A$1001,$Z56))</f>
        <v/>
      </c>
      <c r="C56" s="46" t="str">
        <f t="array" ref="C56">IF($Z56="","",INDEX('Dữ liệu gộp'!$B$2:$B$1001,$Z56))</f>
        <v/>
      </c>
      <c r="D56" s="43" t="str">
        <f t="array" ref="D56">IF($Z56="","",INDEX('Dữ liệu gộp'!$C$2:$C$1001,$Z56))</f>
        <v/>
      </c>
      <c r="E56" s="47" t="str">
        <f t="array" ref="E56">IF($Z56="","",INDEX('Dữ liệu gộp'!$D$2:$D$1001,$Z56))</f>
        <v/>
      </c>
      <c r="F56" s="46" t="str">
        <f t="array" ref="F56">IF($Z56="","",INDEX('Dữ liệu gộp'!$E$2:$E$1001,$Z56))</f>
        <v/>
      </c>
      <c r="G56" s="46" t="str">
        <f t="array" ref="G56">IF($Z56="","",INDEX('Dữ liệu gộp'!$F$2:$F$1001,$Z56))</f>
        <v/>
      </c>
      <c r="H56" s="46" t="str">
        <f t="array" ref="H56">IF($Z56="","",INDEX('Dữ liệu gộp'!$H$2:$H$1001,$Z56))</f>
        <v/>
      </c>
      <c r="I56" s="43" t="str">
        <f t="array" ref="I56">IF($Z56="","",INDEX('Dữ liệu gộp'!$I$2:$I$1001,$Z56))</f>
        <v/>
      </c>
      <c r="J56" s="43" t="str">
        <f t="array" ref="J56">IF($Z56="","",INDEX('Dữ liệu gộp'!$J$2:$J$1001,$Z56))</f>
        <v/>
      </c>
      <c r="K56" s="43" t="str">
        <f t="array" ref="K56">IF($Z56="","",INDEX('Dữ liệu gộp'!$K$2:$K$1001,$Z56))</f>
        <v/>
      </c>
      <c r="Z56" s="52" t="str">
        <f>IF($C$4="","",IFERROR(MATCH(47,'Dữ liệu gộp'!$L$2:$L$1001,0),""))</f>
        <v/>
      </c>
    </row>
    <row r="57" ht="15.75" customHeight="1">
      <c r="A57" s="43" t="str">
        <f>IF(Z57="","",48)</f>
        <v/>
      </c>
      <c r="B57" s="46" t="str">
        <f t="array" ref="B57">IF($Z57="","",INDEX('Dữ liệu gộp'!$A$2:$A$1001,$Z57))</f>
        <v/>
      </c>
      <c r="C57" s="46" t="str">
        <f t="array" ref="C57">IF($Z57="","",INDEX('Dữ liệu gộp'!$B$2:$B$1001,$Z57))</f>
        <v/>
      </c>
      <c r="D57" s="43" t="str">
        <f t="array" ref="D57">IF($Z57="","",INDEX('Dữ liệu gộp'!$C$2:$C$1001,$Z57))</f>
        <v/>
      </c>
      <c r="E57" s="47" t="str">
        <f t="array" ref="E57">IF($Z57="","",INDEX('Dữ liệu gộp'!$D$2:$D$1001,$Z57))</f>
        <v/>
      </c>
      <c r="F57" s="46" t="str">
        <f t="array" ref="F57">IF($Z57="","",INDEX('Dữ liệu gộp'!$E$2:$E$1001,$Z57))</f>
        <v/>
      </c>
      <c r="G57" s="46" t="str">
        <f t="array" ref="G57">IF($Z57="","",INDEX('Dữ liệu gộp'!$F$2:$F$1001,$Z57))</f>
        <v/>
      </c>
      <c r="H57" s="46" t="str">
        <f t="array" ref="H57">IF($Z57="","",INDEX('Dữ liệu gộp'!$H$2:$H$1001,$Z57))</f>
        <v/>
      </c>
      <c r="I57" s="43" t="str">
        <f t="array" ref="I57">IF($Z57="","",INDEX('Dữ liệu gộp'!$I$2:$I$1001,$Z57))</f>
        <v/>
      </c>
      <c r="J57" s="43" t="str">
        <f t="array" ref="J57">IF($Z57="","",INDEX('Dữ liệu gộp'!$J$2:$J$1001,$Z57))</f>
        <v/>
      </c>
      <c r="K57" s="43" t="str">
        <f t="array" ref="K57">IF($Z57="","",INDEX('Dữ liệu gộp'!$K$2:$K$1001,$Z57))</f>
        <v/>
      </c>
      <c r="Z57" s="52" t="str">
        <f>IF($C$4="","",IFERROR(MATCH(48,'Dữ liệu gộp'!$L$2:$L$1001,0),""))</f>
        <v/>
      </c>
    </row>
    <row r="58" ht="15.75" customHeight="1">
      <c r="A58" s="43" t="str">
        <f>IF(Z58="","",49)</f>
        <v/>
      </c>
      <c r="B58" s="46" t="str">
        <f t="array" ref="B58">IF($Z58="","",INDEX('Dữ liệu gộp'!$A$2:$A$1001,$Z58))</f>
        <v/>
      </c>
      <c r="C58" s="46" t="str">
        <f t="array" ref="C58">IF($Z58="","",INDEX('Dữ liệu gộp'!$B$2:$B$1001,$Z58))</f>
        <v/>
      </c>
      <c r="D58" s="43" t="str">
        <f t="array" ref="D58">IF($Z58="","",INDEX('Dữ liệu gộp'!$C$2:$C$1001,$Z58))</f>
        <v/>
      </c>
      <c r="E58" s="47" t="str">
        <f t="array" ref="E58">IF($Z58="","",INDEX('Dữ liệu gộp'!$D$2:$D$1001,$Z58))</f>
        <v/>
      </c>
      <c r="F58" s="46" t="str">
        <f t="array" ref="F58">IF($Z58="","",INDEX('Dữ liệu gộp'!$E$2:$E$1001,$Z58))</f>
        <v/>
      </c>
      <c r="G58" s="46" t="str">
        <f t="array" ref="G58">IF($Z58="","",INDEX('Dữ liệu gộp'!$F$2:$F$1001,$Z58))</f>
        <v/>
      </c>
      <c r="H58" s="46" t="str">
        <f t="array" ref="H58">IF($Z58="","",INDEX('Dữ liệu gộp'!$H$2:$H$1001,$Z58))</f>
        <v/>
      </c>
      <c r="I58" s="43" t="str">
        <f t="array" ref="I58">IF($Z58="","",INDEX('Dữ liệu gộp'!$I$2:$I$1001,$Z58))</f>
        <v/>
      </c>
      <c r="J58" s="43" t="str">
        <f t="array" ref="J58">IF($Z58="","",INDEX('Dữ liệu gộp'!$J$2:$J$1001,$Z58))</f>
        <v/>
      </c>
      <c r="K58" s="43" t="str">
        <f t="array" ref="K58">IF($Z58="","",INDEX('Dữ liệu gộp'!$K$2:$K$1001,$Z58))</f>
        <v/>
      </c>
      <c r="Z58" s="52" t="str">
        <f>IF($C$4="","",IFERROR(MATCH(49,'Dữ liệu gộp'!$L$2:$L$1001,0),""))</f>
        <v/>
      </c>
    </row>
    <row r="59" ht="15.75" customHeight="1">
      <c r="A59" s="43" t="str">
        <f>IF(Z59="","",50)</f>
        <v/>
      </c>
      <c r="B59" s="46" t="str">
        <f t="array" ref="B59">IF($Z59="","",INDEX('Dữ liệu gộp'!$A$2:$A$1001,$Z59))</f>
        <v/>
      </c>
      <c r="C59" s="46" t="str">
        <f t="array" ref="C59">IF($Z59="","",INDEX('Dữ liệu gộp'!$B$2:$B$1001,$Z59))</f>
        <v/>
      </c>
      <c r="D59" s="43" t="str">
        <f t="array" ref="D59">IF($Z59="","",INDEX('Dữ liệu gộp'!$C$2:$C$1001,$Z59))</f>
        <v/>
      </c>
      <c r="E59" s="47" t="str">
        <f t="array" ref="E59">IF($Z59="","",INDEX('Dữ liệu gộp'!$D$2:$D$1001,$Z59))</f>
        <v/>
      </c>
      <c r="F59" s="46" t="str">
        <f t="array" ref="F59">IF($Z59="","",INDEX('Dữ liệu gộp'!$E$2:$E$1001,$Z59))</f>
        <v/>
      </c>
      <c r="G59" s="46" t="str">
        <f t="array" ref="G59">IF($Z59="","",INDEX('Dữ liệu gộp'!$F$2:$F$1001,$Z59))</f>
        <v/>
      </c>
      <c r="H59" s="46" t="str">
        <f t="array" ref="H59">IF($Z59="","",INDEX('Dữ liệu gộp'!$H$2:$H$1001,$Z59))</f>
        <v/>
      </c>
      <c r="I59" s="43" t="str">
        <f t="array" ref="I59">IF($Z59="","",INDEX('Dữ liệu gộp'!$I$2:$I$1001,$Z59))</f>
        <v/>
      </c>
      <c r="J59" s="43" t="str">
        <f t="array" ref="J59">IF($Z59="","",INDEX('Dữ liệu gộp'!$J$2:$J$1001,$Z59))</f>
        <v/>
      </c>
      <c r="K59" s="43" t="str">
        <f t="array" ref="K59">IF($Z59="","",INDEX('Dữ liệu gộp'!$K$2:$K$1001,$Z59))</f>
        <v/>
      </c>
      <c r="Z59" s="52" t="str">
        <f>IF($C$4="","",IFERROR(MATCH(50,'Dữ liệu gộp'!$L$2:$L$1001,0),""))</f>
        <v/>
      </c>
    </row>
    <row r="60" ht="15.75" customHeight="1">
      <c r="A60" s="43" t="str">
        <f>IF(Z60="","",51)</f>
        <v/>
      </c>
      <c r="B60" s="46" t="str">
        <f t="array" ref="B60">IF($Z60="","",INDEX('Dữ liệu gộp'!$A$2:$A$1001,$Z60))</f>
        <v/>
      </c>
      <c r="C60" s="46" t="str">
        <f t="array" ref="C60">IF($Z60="","",INDEX('Dữ liệu gộp'!$B$2:$B$1001,$Z60))</f>
        <v/>
      </c>
      <c r="D60" s="43" t="str">
        <f t="array" ref="D60">IF($Z60="","",INDEX('Dữ liệu gộp'!$C$2:$C$1001,$Z60))</f>
        <v/>
      </c>
      <c r="E60" s="47" t="str">
        <f t="array" ref="E60">IF($Z60="","",INDEX('Dữ liệu gộp'!$D$2:$D$1001,$Z60))</f>
        <v/>
      </c>
      <c r="F60" s="46" t="str">
        <f t="array" ref="F60">IF($Z60="","",INDEX('Dữ liệu gộp'!$E$2:$E$1001,$Z60))</f>
        <v/>
      </c>
      <c r="G60" s="46" t="str">
        <f t="array" ref="G60">IF($Z60="","",INDEX('Dữ liệu gộp'!$F$2:$F$1001,$Z60))</f>
        <v/>
      </c>
      <c r="H60" s="46" t="str">
        <f t="array" ref="H60">IF($Z60="","",INDEX('Dữ liệu gộp'!$H$2:$H$1001,$Z60))</f>
        <v/>
      </c>
      <c r="I60" s="43" t="str">
        <f t="array" ref="I60">IF($Z60="","",INDEX('Dữ liệu gộp'!$I$2:$I$1001,$Z60))</f>
        <v/>
      </c>
      <c r="J60" s="43" t="str">
        <f t="array" ref="J60">IF($Z60="","",INDEX('Dữ liệu gộp'!$J$2:$J$1001,$Z60))</f>
        <v/>
      </c>
      <c r="K60" s="43" t="str">
        <f t="array" ref="K60">IF($Z60="","",INDEX('Dữ liệu gộp'!$K$2:$K$1001,$Z60))</f>
        <v/>
      </c>
      <c r="Z60" s="52" t="str">
        <f>IF($C$4="","",IFERROR(MATCH(51,'Dữ liệu gộp'!$L$2:$L$1001,0),""))</f>
        <v/>
      </c>
    </row>
    <row r="61" ht="15.75" customHeight="1">
      <c r="A61" s="43" t="str">
        <f>IF(Z61="","",52)</f>
        <v/>
      </c>
      <c r="B61" s="46" t="str">
        <f t="array" ref="B61">IF($Z61="","",INDEX('Dữ liệu gộp'!$A$2:$A$1001,$Z61))</f>
        <v/>
      </c>
      <c r="C61" s="46" t="str">
        <f t="array" ref="C61">IF($Z61="","",INDEX('Dữ liệu gộp'!$B$2:$B$1001,$Z61))</f>
        <v/>
      </c>
      <c r="D61" s="43" t="str">
        <f t="array" ref="D61">IF($Z61="","",INDEX('Dữ liệu gộp'!$C$2:$C$1001,$Z61))</f>
        <v/>
      </c>
      <c r="E61" s="47" t="str">
        <f t="array" ref="E61">IF($Z61="","",INDEX('Dữ liệu gộp'!$D$2:$D$1001,$Z61))</f>
        <v/>
      </c>
      <c r="F61" s="46" t="str">
        <f t="array" ref="F61">IF($Z61="","",INDEX('Dữ liệu gộp'!$E$2:$E$1001,$Z61))</f>
        <v/>
      </c>
      <c r="G61" s="46" t="str">
        <f t="array" ref="G61">IF($Z61="","",INDEX('Dữ liệu gộp'!$F$2:$F$1001,$Z61))</f>
        <v/>
      </c>
      <c r="H61" s="46" t="str">
        <f t="array" ref="H61">IF($Z61="","",INDEX('Dữ liệu gộp'!$H$2:$H$1001,$Z61))</f>
        <v/>
      </c>
      <c r="I61" s="43" t="str">
        <f t="array" ref="I61">IF($Z61="","",INDEX('Dữ liệu gộp'!$I$2:$I$1001,$Z61))</f>
        <v/>
      </c>
      <c r="J61" s="43" t="str">
        <f t="array" ref="J61">IF($Z61="","",INDEX('Dữ liệu gộp'!$J$2:$J$1001,$Z61))</f>
        <v/>
      </c>
      <c r="K61" s="43" t="str">
        <f t="array" ref="K61">IF($Z61="","",INDEX('Dữ liệu gộp'!$K$2:$K$1001,$Z61))</f>
        <v/>
      </c>
      <c r="Z61" s="52" t="str">
        <f>IF($C$4="","",IFERROR(MATCH(52,'Dữ liệu gộp'!$L$2:$L$1001,0),""))</f>
        <v/>
      </c>
    </row>
    <row r="62" ht="15.75" customHeight="1">
      <c r="A62" s="43" t="str">
        <f>IF(Z62="","",53)</f>
        <v/>
      </c>
      <c r="B62" s="46" t="str">
        <f t="array" ref="B62">IF($Z62="","",INDEX('Dữ liệu gộp'!$A$2:$A$1001,$Z62))</f>
        <v/>
      </c>
      <c r="C62" s="46" t="str">
        <f t="array" ref="C62">IF($Z62="","",INDEX('Dữ liệu gộp'!$B$2:$B$1001,$Z62))</f>
        <v/>
      </c>
      <c r="D62" s="43" t="str">
        <f t="array" ref="D62">IF($Z62="","",INDEX('Dữ liệu gộp'!$C$2:$C$1001,$Z62))</f>
        <v/>
      </c>
      <c r="E62" s="47" t="str">
        <f t="array" ref="E62">IF($Z62="","",INDEX('Dữ liệu gộp'!$D$2:$D$1001,$Z62))</f>
        <v/>
      </c>
      <c r="F62" s="46" t="str">
        <f t="array" ref="F62">IF($Z62="","",INDEX('Dữ liệu gộp'!$E$2:$E$1001,$Z62))</f>
        <v/>
      </c>
      <c r="G62" s="46" t="str">
        <f t="array" ref="G62">IF($Z62="","",INDEX('Dữ liệu gộp'!$F$2:$F$1001,$Z62))</f>
        <v/>
      </c>
      <c r="H62" s="46" t="str">
        <f t="array" ref="H62">IF($Z62="","",INDEX('Dữ liệu gộp'!$H$2:$H$1001,$Z62))</f>
        <v/>
      </c>
      <c r="I62" s="43" t="str">
        <f t="array" ref="I62">IF($Z62="","",INDEX('Dữ liệu gộp'!$I$2:$I$1001,$Z62))</f>
        <v/>
      </c>
      <c r="J62" s="43" t="str">
        <f t="array" ref="J62">IF($Z62="","",INDEX('Dữ liệu gộp'!$J$2:$J$1001,$Z62))</f>
        <v/>
      </c>
      <c r="K62" s="43" t="str">
        <f t="array" ref="K62">IF($Z62="","",INDEX('Dữ liệu gộp'!$K$2:$K$1001,$Z62))</f>
        <v/>
      </c>
      <c r="Z62" s="52" t="str">
        <f>IF($C$4="","",IFERROR(MATCH(53,'Dữ liệu gộp'!$L$2:$L$1001,0),""))</f>
        <v/>
      </c>
    </row>
    <row r="63" ht="15.75" customHeight="1">
      <c r="A63" s="43" t="str">
        <f>IF(Z63="","",54)</f>
        <v/>
      </c>
      <c r="B63" s="46" t="str">
        <f t="array" ref="B63">IF($Z63="","",INDEX('Dữ liệu gộp'!$A$2:$A$1001,$Z63))</f>
        <v/>
      </c>
      <c r="C63" s="46" t="str">
        <f t="array" ref="C63">IF($Z63="","",INDEX('Dữ liệu gộp'!$B$2:$B$1001,$Z63))</f>
        <v/>
      </c>
      <c r="D63" s="43" t="str">
        <f t="array" ref="D63">IF($Z63="","",INDEX('Dữ liệu gộp'!$C$2:$C$1001,$Z63))</f>
        <v/>
      </c>
      <c r="E63" s="47" t="str">
        <f t="array" ref="E63">IF($Z63="","",INDEX('Dữ liệu gộp'!$D$2:$D$1001,$Z63))</f>
        <v/>
      </c>
      <c r="F63" s="46" t="str">
        <f t="array" ref="F63">IF($Z63="","",INDEX('Dữ liệu gộp'!$E$2:$E$1001,$Z63))</f>
        <v/>
      </c>
      <c r="G63" s="46" t="str">
        <f t="array" ref="G63">IF($Z63="","",INDEX('Dữ liệu gộp'!$F$2:$F$1001,$Z63))</f>
        <v/>
      </c>
      <c r="H63" s="46" t="str">
        <f t="array" ref="H63">IF($Z63="","",INDEX('Dữ liệu gộp'!$H$2:$H$1001,$Z63))</f>
        <v/>
      </c>
      <c r="I63" s="43" t="str">
        <f t="array" ref="I63">IF($Z63="","",INDEX('Dữ liệu gộp'!$I$2:$I$1001,$Z63))</f>
        <v/>
      </c>
      <c r="J63" s="43" t="str">
        <f t="array" ref="J63">IF($Z63="","",INDEX('Dữ liệu gộp'!$J$2:$J$1001,$Z63))</f>
        <v/>
      </c>
      <c r="K63" s="43" t="str">
        <f t="array" ref="K63">IF($Z63="","",INDEX('Dữ liệu gộp'!$K$2:$K$1001,$Z63))</f>
        <v/>
      </c>
      <c r="Z63" s="52" t="str">
        <f>IF($C$4="","",IFERROR(MATCH(54,'Dữ liệu gộp'!$L$2:$L$1001,0),""))</f>
        <v/>
      </c>
    </row>
    <row r="64" ht="15.75" customHeight="1">
      <c r="A64" s="43" t="str">
        <f>IF(Z64="","",55)</f>
        <v/>
      </c>
      <c r="B64" s="46" t="str">
        <f t="array" ref="B64">IF($Z64="","",INDEX('Dữ liệu gộp'!$A$2:$A$1001,$Z64))</f>
        <v/>
      </c>
      <c r="C64" s="46" t="str">
        <f t="array" ref="C64">IF($Z64="","",INDEX('Dữ liệu gộp'!$B$2:$B$1001,$Z64))</f>
        <v/>
      </c>
      <c r="D64" s="43" t="str">
        <f t="array" ref="D64">IF($Z64="","",INDEX('Dữ liệu gộp'!$C$2:$C$1001,$Z64))</f>
        <v/>
      </c>
      <c r="E64" s="47" t="str">
        <f t="array" ref="E64">IF($Z64="","",INDEX('Dữ liệu gộp'!$D$2:$D$1001,$Z64))</f>
        <v/>
      </c>
      <c r="F64" s="46" t="str">
        <f t="array" ref="F64">IF($Z64="","",INDEX('Dữ liệu gộp'!$E$2:$E$1001,$Z64))</f>
        <v/>
      </c>
      <c r="G64" s="46" t="str">
        <f t="array" ref="G64">IF($Z64="","",INDEX('Dữ liệu gộp'!$F$2:$F$1001,$Z64))</f>
        <v/>
      </c>
      <c r="H64" s="46" t="str">
        <f t="array" ref="H64">IF($Z64="","",INDEX('Dữ liệu gộp'!$H$2:$H$1001,$Z64))</f>
        <v/>
      </c>
      <c r="I64" s="43" t="str">
        <f t="array" ref="I64">IF($Z64="","",INDEX('Dữ liệu gộp'!$I$2:$I$1001,$Z64))</f>
        <v/>
      </c>
      <c r="J64" s="43" t="str">
        <f t="array" ref="J64">IF($Z64="","",INDEX('Dữ liệu gộp'!$J$2:$J$1001,$Z64))</f>
        <v/>
      </c>
      <c r="K64" s="43" t="str">
        <f t="array" ref="K64">IF($Z64="","",INDEX('Dữ liệu gộp'!$K$2:$K$1001,$Z64))</f>
        <v/>
      </c>
      <c r="Z64" s="52" t="str">
        <f>IF($C$4="","",IFERROR(MATCH(55,'Dữ liệu gộp'!$L$2:$L$1001,0),""))</f>
        <v/>
      </c>
    </row>
    <row r="65" ht="15.75" customHeight="1">
      <c r="A65" s="43" t="str">
        <f>IF(Z65="","",56)</f>
        <v/>
      </c>
      <c r="B65" s="46" t="str">
        <f t="array" ref="B65">IF($Z65="","",INDEX('Dữ liệu gộp'!$A$2:$A$1001,$Z65))</f>
        <v/>
      </c>
      <c r="C65" s="46" t="str">
        <f t="array" ref="C65">IF($Z65="","",INDEX('Dữ liệu gộp'!$B$2:$B$1001,$Z65))</f>
        <v/>
      </c>
      <c r="D65" s="43" t="str">
        <f t="array" ref="D65">IF($Z65="","",INDEX('Dữ liệu gộp'!$C$2:$C$1001,$Z65))</f>
        <v/>
      </c>
      <c r="E65" s="47" t="str">
        <f t="array" ref="E65">IF($Z65="","",INDEX('Dữ liệu gộp'!$D$2:$D$1001,$Z65))</f>
        <v/>
      </c>
      <c r="F65" s="46" t="str">
        <f t="array" ref="F65">IF($Z65="","",INDEX('Dữ liệu gộp'!$E$2:$E$1001,$Z65))</f>
        <v/>
      </c>
      <c r="G65" s="46" t="str">
        <f t="array" ref="G65">IF($Z65="","",INDEX('Dữ liệu gộp'!$F$2:$F$1001,$Z65))</f>
        <v/>
      </c>
      <c r="H65" s="46" t="str">
        <f t="array" ref="H65">IF($Z65="","",INDEX('Dữ liệu gộp'!$H$2:$H$1001,$Z65))</f>
        <v/>
      </c>
      <c r="I65" s="43" t="str">
        <f t="array" ref="I65">IF($Z65="","",INDEX('Dữ liệu gộp'!$I$2:$I$1001,$Z65))</f>
        <v/>
      </c>
      <c r="J65" s="43" t="str">
        <f t="array" ref="J65">IF($Z65="","",INDEX('Dữ liệu gộp'!$J$2:$J$1001,$Z65))</f>
        <v/>
      </c>
      <c r="K65" s="43" t="str">
        <f t="array" ref="K65">IF($Z65="","",INDEX('Dữ liệu gộp'!$K$2:$K$1001,$Z65))</f>
        <v/>
      </c>
      <c r="Z65" s="52" t="str">
        <f>IF($C$4="","",IFERROR(MATCH(56,'Dữ liệu gộp'!$L$2:$L$1001,0),""))</f>
        <v/>
      </c>
    </row>
    <row r="66" ht="15.75" customHeight="1">
      <c r="A66" s="43" t="str">
        <f>IF(Z66="","",57)</f>
        <v/>
      </c>
      <c r="B66" s="46" t="str">
        <f t="array" ref="B66">IF($Z66="","",INDEX('Dữ liệu gộp'!$A$2:$A$1001,$Z66))</f>
        <v/>
      </c>
      <c r="C66" s="46" t="str">
        <f t="array" ref="C66">IF($Z66="","",INDEX('Dữ liệu gộp'!$B$2:$B$1001,$Z66))</f>
        <v/>
      </c>
      <c r="D66" s="43" t="str">
        <f t="array" ref="D66">IF($Z66="","",INDEX('Dữ liệu gộp'!$C$2:$C$1001,$Z66))</f>
        <v/>
      </c>
      <c r="E66" s="47" t="str">
        <f t="array" ref="E66">IF($Z66="","",INDEX('Dữ liệu gộp'!$D$2:$D$1001,$Z66))</f>
        <v/>
      </c>
      <c r="F66" s="46" t="str">
        <f t="array" ref="F66">IF($Z66="","",INDEX('Dữ liệu gộp'!$E$2:$E$1001,$Z66))</f>
        <v/>
      </c>
      <c r="G66" s="46" t="str">
        <f t="array" ref="G66">IF($Z66="","",INDEX('Dữ liệu gộp'!$F$2:$F$1001,$Z66))</f>
        <v/>
      </c>
      <c r="H66" s="46" t="str">
        <f t="array" ref="H66">IF($Z66="","",INDEX('Dữ liệu gộp'!$H$2:$H$1001,$Z66))</f>
        <v/>
      </c>
      <c r="I66" s="43" t="str">
        <f t="array" ref="I66">IF($Z66="","",INDEX('Dữ liệu gộp'!$I$2:$I$1001,$Z66))</f>
        <v/>
      </c>
      <c r="J66" s="43" t="str">
        <f t="array" ref="J66">IF($Z66="","",INDEX('Dữ liệu gộp'!$J$2:$J$1001,$Z66))</f>
        <v/>
      </c>
      <c r="K66" s="43" t="str">
        <f t="array" ref="K66">IF($Z66="","",INDEX('Dữ liệu gộp'!$K$2:$K$1001,$Z66))</f>
        <v/>
      </c>
      <c r="Z66" s="52" t="str">
        <f>IF($C$4="","",IFERROR(MATCH(57,'Dữ liệu gộp'!$L$2:$L$1001,0),""))</f>
        <v/>
      </c>
    </row>
    <row r="67" ht="15.75" customHeight="1">
      <c r="A67" s="43" t="str">
        <f>IF(Z67="","",58)</f>
        <v/>
      </c>
      <c r="B67" s="46" t="str">
        <f t="array" ref="B67">IF($Z67="","",INDEX('Dữ liệu gộp'!$A$2:$A$1001,$Z67))</f>
        <v/>
      </c>
      <c r="C67" s="46" t="str">
        <f t="array" ref="C67">IF($Z67="","",INDEX('Dữ liệu gộp'!$B$2:$B$1001,$Z67))</f>
        <v/>
      </c>
      <c r="D67" s="43" t="str">
        <f t="array" ref="D67">IF($Z67="","",INDEX('Dữ liệu gộp'!$C$2:$C$1001,$Z67))</f>
        <v/>
      </c>
      <c r="E67" s="47" t="str">
        <f t="array" ref="E67">IF($Z67="","",INDEX('Dữ liệu gộp'!$D$2:$D$1001,$Z67))</f>
        <v/>
      </c>
      <c r="F67" s="46" t="str">
        <f t="array" ref="F67">IF($Z67="","",INDEX('Dữ liệu gộp'!$E$2:$E$1001,$Z67))</f>
        <v/>
      </c>
      <c r="G67" s="46" t="str">
        <f t="array" ref="G67">IF($Z67="","",INDEX('Dữ liệu gộp'!$F$2:$F$1001,$Z67))</f>
        <v/>
      </c>
      <c r="H67" s="46" t="str">
        <f t="array" ref="H67">IF($Z67="","",INDEX('Dữ liệu gộp'!$H$2:$H$1001,$Z67))</f>
        <v/>
      </c>
      <c r="I67" s="43" t="str">
        <f t="array" ref="I67">IF($Z67="","",INDEX('Dữ liệu gộp'!$I$2:$I$1001,$Z67))</f>
        <v/>
      </c>
      <c r="J67" s="43" t="str">
        <f t="array" ref="J67">IF($Z67="","",INDEX('Dữ liệu gộp'!$J$2:$J$1001,$Z67))</f>
        <v/>
      </c>
      <c r="K67" s="43" t="str">
        <f t="array" ref="K67">IF($Z67="","",INDEX('Dữ liệu gộp'!$K$2:$K$1001,$Z67))</f>
        <v/>
      </c>
      <c r="Z67" s="52" t="str">
        <f>IF($C$4="","",IFERROR(MATCH(58,'Dữ liệu gộp'!$L$2:$L$1001,0),""))</f>
        <v/>
      </c>
    </row>
    <row r="68" ht="15.75" customHeight="1">
      <c r="A68" s="43" t="str">
        <f>IF(Z68="","",59)</f>
        <v/>
      </c>
      <c r="B68" s="46" t="str">
        <f t="array" ref="B68">IF($Z68="","",INDEX('Dữ liệu gộp'!$A$2:$A$1001,$Z68))</f>
        <v/>
      </c>
      <c r="C68" s="46" t="str">
        <f t="array" ref="C68">IF($Z68="","",INDEX('Dữ liệu gộp'!$B$2:$B$1001,$Z68))</f>
        <v/>
      </c>
      <c r="D68" s="43" t="str">
        <f t="array" ref="D68">IF($Z68="","",INDEX('Dữ liệu gộp'!$C$2:$C$1001,$Z68))</f>
        <v/>
      </c>
      <c r="E68" s="47" t="str">
        <f t="array" ref="E68">IF($Z68="","",INDEX('Dữ liệu gộp'!$D$2:$D$1001,$Z68))</f>
        <v/>
      </c>
      <c r="F68" s="46" t="str">
        <f t="array" ref="F68">IF($Z68="","",INDEX('Dữ liệu gộp'!$E$2:$E$1001,$Z68))</f>
        <v/>
      </c>
      <c r="G68" s="46" t="str">
        <f t="array" ref="G68">IF($Z68="","",INDEX('Dữ liệu gộp'!$F$2:$F$1001,$Z68))</f>
        <v/>
      </c>
      <c r="H68" s="46" t="str">
        <f t="array" ref="H68">IF($Z68="","",INDEX('Dữ liệu gộp'!$H$2:$H$1001,$Z68))</f>
        <v/>
      </c>
      <c r="I68" s="43" t="str">
        <f t="array" ref="I68">IF($Z68="","",INDEX('Dữ liệu gộp'!$I$2:$I$1001,$Z68))</f>
        <v/>
      </c>
      <c r="J68" s="43" t="str">
        <f t="array" ref="J68">IF($Z68="","",INDEX('Dữ liệu gộp'!$J$2:$J$1001,$Z68))</f>
        <v/>
      </c>
      <c r="K68" s="43" t="str">
        <f t="array" ref="K68">IF($Z68="","",INDEX('Dữ liệu gộp'!$K$2:$K$1001,$Z68))</f>
        <v/>
      </c>
      <c r="Z68" s="52" t="str">
        <f>IF($C$4="","",IFERROR(MATCH(59,'Dữ liệu gộp'!$L$2:$L$1001,0),""))</f>
        <v/>
      </c>
    </row>
    <row r="69" ht="15.75" customHeight="1">
      <c r="A69" s="43" t="str">
        <f>IF(Z69="","",60)</f>
        <v/>
      </c>
      <c r="B69" s="46" t="str">
        <f t="array" ref="B69">IF($Z69="","",INDEX('Dữ liệu gộp'!$A$2:$A$1001,$Z69))</f>
        <v/>
      </c>
      <c r="C69" s="46" t="str">
        <f t="array" ref="C69">IF($Z69="","",INDEX('Dữ liệu gộp'!$B$2:$B$1001,$Z69))</f>
        <v/>
      </c>
      <c r="D69" s="43" t="str">
        <f t="array" ref="D69">IF($Z69="","",INDEX('Dữ liệu gộp'!$C$2:$C$1001,$Z69))</f>
        <v/>
      </c>
      <c r="E69" s="47" t="str">
        <f t="array" ref="E69">IF($Z69="","",INDEX('Dữ liệu gộp'!$D$2:$D$1001,$Z69))</f>
        <v/>
      </c>
      <c r="F69" s="46" t="str">
        <f t="array" ref="F69">IF($Z69="","",INDEX('Dữ liệu gộp'!$E$2:$E$1001,$Z69))</f>
        <v/>
      </c>
      <c r="G69" s="46" t="str">
        <f t="array" ref="G69">IF($Z69="","",INDEX('Dữ liệu gộp'!$F$2:$F$1001,$Z69))</f>
        <v/>
      </c>
      <c r="H69" s="46" t="str">
        <f t="array" ref="H69">IF($Z69="","",INDEX('Dữ liệu gộp'!$H$2:$H$1001,$Z69))</f>
        <v/>
      </c>
      <c r="I69" s="43" t="str">
        <f t="array" ref="I69">IF($Z69="","",INDEX('Dữ liệu gộp'!$I$2:$I$1001,$Z69))</f>
        <v/>
      </c>
      <c r="J69" s="43" t="str">
        <f t="array" ref="J69">IF($Z69="","",INDEX('Dữ liệu gộp'!$J$2:$J$1001,$Z69))</f>
        <v/>
      </c>
      <c r="K69" s="43" t="str">
        <f t="array" ref="K69">IF($Z69="","",INDEX('Dữ liệu gộp'!$K$2:$K$1001,$Z69))</f>
        <v/>
      </c>
      <c r="Z69" s="52" t="str">
        <f>IF($C$4="","",IFERROR(MATCH(60,'Dữ liệu gộp'!$L$2:$L$1001,0),""))</f>
        <v/>
      </c>
    </row>
    <row r="70" ht="15.75" customHeight="1">
      <c r="A70" s="43" t="str">
        <f>IF(Z70="","",61)</f>
        <v/>
      </c>
      <c r="B70" s="46" t="str">
        <f t="array" ref="B70">IF($Z70="","",INDEX('Dữ liệu gộp'!$A$2:$A$1001,$Z70))</f>
        <v/>
      </c>
      <c r="C70" s="46" t="str">
        <f t="array" ref="C70">IF($Z70="","",INDEX('Dữ liệu gộp'!$B$2:$B$1001,$Z70))</f>
        <v/>
      </c>
      <c r="D70" s="43" t="str">
        <f t="array" ref="D70">IF($Z70="","",INDEX('Dữ liệu gộp'!$C$2:$C$1001,$Z70))</f>
        <v/>
      </c>
      <c r="E70" s="47" t="str">
        <f t="array" ref="E70">IF($Z70="","",INDEX('Dữ liệu gộp'!$D$2:$D$1001,$Z70))</f>
        <v/>
      </c>
      <c r="F70" s="46" t="str">
        <f t="array" ref="F70">IF($Z70="","",INDEX('Dữ liệu gộp'!$E$2:$E$1001,$Z70))</f>
        <v/>
      </c>
      <c r="G70" s="46" t="str">
        <f t="array" ref="G70">IF($Z70="","",INDEX('Dữ liệu gộp'!$F$2:$F$1001,$Z70))</f>
        <v/>
      </c>
      <c r="H70" s="46" t="str">
        <f t="array" ref="H70">IF($Z70="","",INDEX('Dữ liệu gộp'!$H$2:$H$1001,$Z70))</f>
        <v/>
      </c>
      <c r="I70" s="43" t="str">
        <f t="array" ref="I70">IF($Z70="","",INDEX('Dữ liệu gộp'!$I$2:$I$1001,$Z70))</f>
        <v/>
      </c>
      <c r="J70" s="43" t="str">
        <f t="array" ref="J70">IF($Z70="","",INDEX('Dữ liệu gộp'!$J$2:$J$1001,$Z70))</f>
        <v/>
      </c>
      <c r="K70" s="43" t="str">
        <f t="array" ref="K70">IF($Z70="","",INDEX('Dữ liệu gộp'!$K$2:$K$1001,$Z70))</f>
        <v/>
      </c>
      <c r="Z70" s="52" t="str">
        <f>IF($C$4="","",IFERROR(MATCH(61,'Dữ liệu gộp'!$L$2:$L$1001,0),""))</f>
        <v/>
      </c>
    </row>
    <row r="71" ht="15.75" customHeight="1">
      <c r="A71" s="43" t="str">
        <f>IF(Z71="","",62)</f>
        <v/>
      </c>
      <c r="B71" s="46" t="str">
        <f t="array" ref="B71">IF($Z71="","",INDEX('Dữ liệu gộp'!$A$2:$A$1001,$Z71))</f>
        <v/>
      </c>
      <c r="C71" s="46" t="str">
        <f t="array" ref="C71">IF($Z71="","",INDEX('Dữ liệu gộp'!$B$2:$B$1001,$Z71))</f>
        <v/>
      </c>
      <c r="D71" s="43" t="str">
        <f t="array" ref="D71">IF($Z71="","",INDEX('Dữ liệu gộp'!$C$2:$C$1001,$Z71))</f>
        <v/>
      </c>
      <c r="E71" s="47" t="str">
        <f t="array" ref="E71">IF($Z71="","",INDEX('Dữ liệu gộp'!$D$2:$D$1001,$Z71))</f>
        <v/>
      </c>
      <c r="F71" s="46" t="str">
        <f t="array" ref="F71">IF($Z71="","",INDEX('Dữ liệu gộp'!$E$2:$E$1001,$Z71))</f>
        <v/>
      </c>
      <c r="G71" s="46" t="str">
        <f t="array" ref="G71">IF($Z71="","",INDEX('Dữ liệu gộp'!$F$2:$F$1001,$Z71))</f>
        <v/>
      </c>
      <c r="H71" s="46" t="str">
        <f t="array" ref="H71">IF($Z71="","",INDEX('Dữ liệu gộp'!$H$2:$H$1001,$Z71))</f>
        <v/>
      </c>
      <c r="I71" s="43" t="str">
        <f t="array" ref="I71">IF($Z71="","",INDEX('Dữ liệu gộp'!$I$2:$I$1001,$Z71))</f>
        <v/>
      </c>
      <c r="J71" s="43" t="str">
        <f t="array" ref="J71">IF($Z71="","",INDEX('Dữ liệu gộp'!$J$2:$J$1001,$Z71))</f>
        <v/>
      </c>
      <c r="K71" s="43" t="str">
        <f t="array" ref="K71">IF($Z71="","",INDEX('Dữ liệu gộp'!$K$2:$K$1001,$Z71))</f>
        <v/>
      </c>
      <c r="Z71" s="52" t="str">
        <f>IF($C$4="","",IFERROR(MATCH(62,'Dữ liệu gộp'!$L$2:$L$1001,0),""))</f>
        <v/>
      </c>
    </row>
    <row r="72" ht="15.75" customHeight="1">
      <c r="A72" s="43" t="str">
        <f>IF(Z72="","",63)</f>
        <v/>
      </c>
      <c r="B72" s="46" t="str">
        <f t="array" ref="B72">IF($Z72="","",INDEX('Dữ liệu gộp'!$A$2:$A$1001,$Z72))</f>
        <v/>
      </c>
      <c r="C72" s="46" t="str">
        <f t="array" ref="C72">IF($Z72="","",INDEX('Dữ liệu gộp'!$B$2:$B$1001,$Z72))</f>
        <v/>
      </c>
      <c r="D72" s="43" t="str">
        <f t="array" ref="D72">IF($Z72="","",INDEX('Dữ liệu gộp'!$C$2:$C$1001,$Z72))</f>
        <v/>
      </c>
      <c r="E72" s="47" t="str">
        <f t="array" ref="E72">IF($Z72="","",INDEX('Dữ liệu gộp'!$D$2:$D$1001,$Z72))</f>
        <v/>
      </c>
      <c r="F72" s="46" t="str">
        <f t="array" ref="F72">IF($Z72="","",INDEX('Dữ liệu gộp'!$E$2:$E$1001,$Z72))</f>
        <v/>
      </c>
      <c r="G72" s="46" t="str">
        <f t="array" ref="G72">IF($Z72="","",INDEX('Dữ liệu gộp'!$F$2:$F$1001,$Z72))</f>
        <v/>
      </c>
      <c r="H72" s="46" t="str">
        <f t="array" ref="H72">IF($Z72="","",INDEX('Dữ liệu gộp'!$H$2:$H$1001,$Z72))</f>
        <v/>
      </c>
      <c r="I72" s="43" t="str">
        <f t="array" ref="I72">IF($Z72="","",INDEX('Dữ liệu gộp'!$I$2:$I$1001,$Z72))</f>
        <v/>
      </c>
      <c r="J72" s="43" t="str">
        <f t="array" ref="J72">IF($Z72="","",INDEX('Dữ liệu gộp'!$J$2:$J$1001,$Z72))</f>
        <v/>
      </c>
      <c r="K72" s="43" t="str">
        <f t="array" ref="K72">IF($Z72="","",INDEX('Dữ liệu gộp'!$K$2:$K$1001,$Z72))</f>
        <v/>
      </c>
      <c r="Z72" s="52" t="str">
        <f>IF($C$4="","",IFERROR(MATCH(63,'Dữ liệu gộp'!$L$2:$L$1001,0),""))</f>
        <v/>
      </c>
    </row>
    <row r="73" ht="15.75" customHeight="1">
      <c r="A73" s="43" t="str">
        <f>IF(Z73="","",64)</f>
        <v/>
      </c>
      <c r="B73" s="46" t="str">
        <f t="array" ref="B73">IF($Z73="","",INDEX('Dữ liệu gộp'!$A$2:$A$1001,$Z73))</f>
        <v/>
      </c>
      <c r="C73" s="46" t="str">
        <f t="array" ref="C73">IF($Z73="","",INDEX('Dữ liệu gộp'!$B$2:$B$1001,$Z73))</f>
        <v/>
      </c>
      <c r="D73" s="43" t="str">
        <f t="array" ref="D73">IF($Z73="","",INDEX('Dữ liệu gộp'!$C$2:$C$1001,$Z73))</f>
        <v/>
      </c>
      <c r="E73" s="47" t="str">
        <f t="array" ref="E73">IF($Z73="","",INDEX('Dữ liệu gộp'!$D$2:$D$1001,$Z73))</f>
        <v/>
      </c>
      <c r="F73" s="46" t="str">
        <f t="array" ref="F73">IF($Z73="","",INDEX('Dữ liệu gộp'!$E$2:$E$1001,$Z73))</f>
        <v/>
      </c>
      <c r="G73" s="46" t="str">
        <f t="array" ref="G73">IF($Z73="","",INDEX('Dữ liệu gộp'!$F$2:$F$1001,$Z73))</f>
        <v/>
      </c>
      <c r="H73" s="46" t="str">
        <f t="array" ref="H73">IF($Z73="","",INDEX('Dữ liệu gộp'!$H$2:$H$1001,$Z73))</f>
        <v/>
      </c>
      <c r="I73" s="43" t="str">
        <f t="array" ref="I73">IF($Z73="","",INDEX('Dữ liệu gộp'!$I$2:$I$1001,$Z73))</f>
        <v/>
      </c>
      <c r="J73" s="43" t="str">
        <f t="array" ref="J73">IF($Z73="","",INDEX('Dữ liệu gộp'!$J$2:$J$1001,$Z73))</f>
        <v/>
      </c>
      <c r="K73" s="43" t="str">
        <f t="array" ref="K73">IF($Z73="","",INDEX('Dữ liệu gộp'!$K$2:$K$1001,$Z73))</f>
        <v/>
      </c>
      <c r="Z73" s="52" t="str">
        <f>IF($C$4="","",IFERROR(MATCH(64,'Dữ liệu gộp'!$L$2:$L$1001,0),""))</f>
        <v/>
      </c>
    </row>
    <row r="74" ht="15.75" customHeight="1">
      <c r="A74" s="43" t="str">
        <f>IF(Z74="","",65)</f>
        <v/>
      </c>
      <c r="B74" s="46" t="str">
        <f t="array" ref="B74">IF($Z74="","",INDEX('Dữ liệu gộp'!$A$2:$A$1001,$Z74))</f>
        <v/>
      </c>
      <c r="C74" s="46" t="str">
        <f t="array" ref="C74">IF($Z74="","",INDEX('Dữ liệu gộp'!$B$2:$B$1001,$Z74))</f>
        <v/>
      </c>
      <c r="D74" s="43" t="str">
        <f t="array" ref="D74">IF($Z74="","",INDEX('Dữ liệu gộp'!$C$2:$C$1001,$Z74))</f>
        <v/>
      </c>
      <c r="E74" s="47" t="str">
        <f t="array" ref="E74">IF($Z74="","",INDEX('Dữ liệu gộp'!$D$2:$D$1001,$Z74))</f>
        <v/>
      </c>
      <c r="F74" s="46" t="str">
        <f t="array" ref="F74">IF($Z74="","",INDEX('Dữ liệu gộp'!$E$2:$E$1001,$Z74))</f>
        <v/>
      </c>
      <c r="G74" s="46" t="str">
        <f t="array" ref="G74">IF($Z74="","",INDEX('Dữ liệu gộp'!$F$2:$F$1001,$Z74))</f>
        <v/>
      </c>
      <c r="H74" s="46" t="str">
        <f t="array" ref="H74">IF($Z74="","",INDEX('Dữ liệu gộp'!$H$2:$H$1001,$Z74))</f>
        <v/>
      </c>
      <c r="I74" s="43" t="str">
        <f t="array" ref="I74">IF($Z74="","",INDEX('Dữ liệu gộp'!$I$2:$I$1001,$Z74))</f>
        <v/>
      </c>
      <c r="J74" s="43" t="str">
        <f t="array" ref="J74">IF($Z74="","",INDEX('Dữ liệu gộp'!$J$2:$J$1001,$Z74))</f>
        <v/>
      </c>
      <c r="K74" s="43" t="str">
        <f t="array" ref="K74">IF($Z74="","",INDEX('Dữ liệu gộp'!$K$2:$K$1001,$Z74))</f>
        <v/>
      </c>
      <c r="Z74" s="52" t="str">
        <f>IF($C$4="","",IFERROR(MATCH(65,'Dữ liệu gộp'!$L$2:$L$1001,0),""))</f>
        <v/>
      </c>
    </row>
    <row r="75" ht="15.75" customHeight="1">
      <c r="A75" s="43" t="str">
        <f>IF(Z75="","",66)</f>
        <v/>
      </c>
      <c r="B75" s="46" t="str">
        <f t="array" ref="B75">IF($Z75="","",INDEX('Dữ liệu gộp'!$A$2:$A$1001,$Z75))</f>
        <v/>
      </c>
      <c r="C75" s="46" t="str">
        <f t="array" ref="C75">IF($Z75="","",INDEX('Dữ liệu gộp'!$B$2:$B$1001,$Z75))</f>
        <v/>
      </c>
      <c r="D75" s="43" t="str">
        <f t="array" ref="D75">IF($Z75="","",INDEX('Dữ liệu gộp'!$C$2:$C$1001,$Z75))</f>
        <v/>
      </c>
      <c r="E75" s="47" t="str">
        <f t="array" ref="E75">IF($Z75="","",INDEX('Dữ liệu gộp'!$D$2:$D$1001,$Z75))</f>
        <v/>
      </c>
      <c r="F75" s="46" t="str">
        <f t="array" ref="F75">IF($Z75="","",INDEX('Dữ liệu gộp'!$E$2:$E$1001,$Z75))</f>
        <v/>
      </c>
      <c r="G75" s="46" t="str">
        <f t="array" ref="G75">IF($Z75="","",INDEX('Dữ liệu gộp'!$F$2:$F$1001,$Z75))</f>
        <v/>
      </c>
      <c r="H75" s="46" t="str">
        <f t="array" ref="H75">IF($Z75="","",INDEX('Dữ liệu gộp'!$H$2:$H$1001,$Z75))</f>
        <v/>
      </c>
      <c r="I75" s="43" t="str">
        <f t="array" ref="I75">IF($Z75="","",INDEX('Dữ liệu gộp'!$I$2:$I$1001,$Z75))</f>
        <v/>
      </c>
      <c r="J75" s="43" t="str">
        <f t="array" ref="J75">IF($Z75="","",INDEX('Dữ liệu gộp'!$J$2:$J$1001,$Z75))</f>
        <v/>
      </c>
      <c r="K75" s="43" t="str">
        <f t="array" ref="K75">IF($Z75="","",INDEX('Dữ liệu gộp'!$K$2:$K$1001,$Z75))</f>
        <v/>
      </c>
      <c r="Z75" s="52" t="str">
        <f>IF($C$4="","",IFERROR(MATCH(66,'Dữ liệu gộp'!$L$2:$L$1001,0),""))</f>
        <v/>
      </c>
    </row>
    <row r="76" ht="15.75" customHeight="1">
      <c r="A76" s="43" t="str">
        <f>IF(Z76="","",67)</f>
        <v/>
      </c>
      <c r="B76" s="46" t="str">
        <f t="array" ref="B76">IF($Z76="","",INDEX('Dữ liệu gộp'!$A$2:$A$1001,$Z76))</f>
        <v/>
      </c>
      <c r="C76" s="46" t="str">
        <f t="array" ref="C76">IF($Z76="","",INDEX('Dữ liệu gộp'!$B$2:$B$1001,$Z76))</f>
        <v/>
      </c>
      <c r="D76" s="43" t="str">
        <f t="array" ref="D76">IF($Z76="","",INDEX('Dữ liệu gộp'!$C$2:$C$1001,$Z76))</f>
        <v/>
      </c>
      <c r="E76" s="47" t="str">
        <f t="array" ref="E76">IF($Z76="","",INDEX('Dữ liệu gộp'!$D$2:$D$1001,$Z76))</f>
        <v/>
      </c>
      <c r="F76" s="46" t="str">
        <f t="array" ref="F76">IF($Z76="","",INDEX('Dữ liệu gộp'!$E$2:$E$1001,$Z76))</f>
        <v/>
      </c>
      <c r="G76" s="46" t="str">
        <f t="array" ref="G76">IF($Z76="","",INDEX('Dữ liệu gộp'!$F$2:$F$1001,$Z76))</f>
        <v/>
      </c>
      <c r="H76" s="46" t="str">
        <f t="array" ref="H76">IF($Z76="","",INDEX('Dữ liệu gộp'!$H$2:$H$1001,$Z76))</f>
        <v/>
      </c>
      <c r="I76" s="43" t="str">
        <f t="array" ref="I76">IF($Z76="","",INDEX('Dữ liệu gộp'!$I$2:$I$1001,$Z76))</f>
        <v/>
      </c>
      <c r="J76" s="43" t="str">
        <f t="array" ref="J76">IF($Z76="","",INDEX('Dữ liệu gộp'!$J$2:$J$1001,$Z76))</f>
        <v/>
      </c>
      <c r="K76" s="43" t="str">
        <f t="array" ref="K76">IF($Z76="","",INDEX('Dữ liệu gộp'!$K$2:$K$1001,$Z76))</f>
        <v/>
      </c>
      <c r="Z76" s="52" t="str">
        <f>IF($C$4="","",IFERROR(MATCH(67,'Dữ liệu gộp'!$L$2:$L$1001,0),""))</f>
        <v/>
      </c>
    </row>
    <row r="77" ht="15.75" customHeight="1">
      <c r="A77" s="43" t="str">
        <f>IF(Z77="","",68)</f>
        <v/>
      </c>
      <c r="B77" s="46" t="str">
        <f t="array" ref="B77">IF($Z77="","",INDEX('Dữ liệu gộp'!$A$2:$A$1001,$Z77))</f>
        <v/>
      </c>
      <c r="C77" s="46" t="str">
        <f t="array" ref="C77">IF($Z77="","",INDEX('Dữ liệu gộp'!$B$2:$B$1001,$Z77))</f>
        <v/>
      </c>
      <c r="D77" s="43" t="str">
        <f t="array" ref="D77">IF($Z77="","",INDEX('Dữ liệu gộp'!$C$2:$C$1001,$Z77))</f>
        <v/>
      </c>
      <c r="E77" s="47" t="str">
        <f t="array" ref="E77">IF($Z77="","",INDEX('Dữ liệu gộp'!$D$2:$D$1001,$Z77))</f>
        <v/>
      </c>
      <c r="F77" s="46" t="str">
        <f t="array" ref="F77">IF($Z77="","",INDEX('Dữ liệu gộp'!$E$2:$E$1001,$Z77))</f>
        <v/>
      </c>
      <c r="G77" s="46" t="str">
        <f t="array" ref="G77">IF($Z77="","",INDEX('Dữ liệu gộp'!$F$2:$F$1001,$Z77))</f>
        <v/>
      </c>
      <c r="H77" s="46" t="str">
        <f t="array" ref="H77">IF($Z77="","",INDEX('Dữ liệu gộp'!$H$2:$H$1001,$Z77))</f>
        <v/>
      </c>
      <c r="I77" s="43" t="str">
        <f t="array" ref="I77">IF($Z77="","",INDEX('Dữ liệu gộp'!$I$2:$I$1001,$Z77))</f>
        <v/>
      </c>
      <c r="J77" s="43" t="str">
        <f t="array" ref="J77">IF($Z77="","",INDEX('Dữ liệu gộp'!$J$2:$J$1001,$Z77))</f>
        <v/>
      </c>
      <c r="K77" s="43" t="str">
        <f t="array" ref="K77">IF($Z77="","",INDEX('Dữ liệu gộp'!$K$2:$K$1001,$Z77))</f>
        <v/>
      </c>
      <c r="Z77" s="52" t="str">
        <f>IF($C$4="","",IFERROR(MATCH(68,'Dữ liệu gộp'!$L$2:$L$1001,0),""))</f>
        <v/>
      </c>
    </row>
    <row r="78" ht="15.75" customHeight="1">
      <c r="A78" s="43" t="str">
        <f>IF(Z78="","",69)</f>
        <v/>
      </c>
      <c r="B78" s="46" t="str">
        <f t="array" ref="B78">IF($Z78="","",INDEX('Dữ liệu gộp'!$A$2:$A$1001,$Z78))</f>
        <v/>
      </c>
      <c r="C78" s="46" t="str">
        <f t="array" ref="C78">IF($Z78="","",INDEX('Dữ liệu gộp'!$B$2:$B$1001,$Z78))</f>
        <v/>
      </c>
      <c r="D78" s="43" t="str">
        <f t="array" ref="D78">IF($Z78="","",INDEX('Dữ liệu gộp'!$C$2:$C$1001,$Z78))</f>
        <v/>
      </c>
      <c r="E78" s="47" t="str">
        <f t="array" ref="E78">IF($Z78="","",INDEX('Dữ liệu gộp'!$D$2:$D$1001,$Z78))</f>
        <v/>
      </c>
      <c r="F78" s="46" t="str">
        <f t="array" ref="F78">IF($Z78="","",INDEX('Dữ liệu gộp'!$E$2:$E$1001,$Z78))</f>
        <v/>
      </c>
      <c r="G78" s="46" t="str">
        <f t="array" ref="G78">IF($Z78="","",INDEX('Dữ liệu gộp'!$F$2:$F$1001,$Z78))</f>
        <v/>
      </c>
      <c r="H78" s="46" t="str">
        <f t="array" ref="H78">IF($Z78="","",INDEX('Dữ liệu gộp'!$H$2:$H$1001,$Z78))</f>
        <v/>
      </c>
      <c r="I78" s="43" t="str">
        <f t="array" ref="I78">IF($Z78="","",INDEX('Dữ liệu gộp'!$I$2:$I$1001,$Z78))</f>
        <v/>
      </c>
      <c r="J78" s="43" t="str">
        <f t="array" ref="J78">IF($Z78="","",INDEX('Dữ liệu gộp'!$J$2:$J$1001,$Z78))</f>
        <v/>
      </c>
      <c r="K78" s="43" t="str">
        <f t="array" ref="K78">IF($Z78="","",INDEX('Dữ liệu gộp'!$K$2:$K$1001,$Z78))</f>
        <v/>
      </c>
      <c r="Z78" s="52" t="str">
        <f>IF($C$4="","",IFERROR(MATCH(69,'Dữ liệu gộp'!$L$2:$L$1001,0),""))</f>
        <v/>
      </c>
    </row>
    <row r="79" ht="15.75" customHeight="1">
      <c r="A79" s="43" t="str">
        <f>IF(Z79="","",70)</f>
        <v/>
      </c>
      <c r="B79" s="46" t="str">
        <f t="array" ref="B79">IF($Z79="","",INDEX('Dữ liệu gộp'!$A$2:$A$1001,$Z79))</f>
        <v/>
      </c>
      <c r="C79" s="46" t="str">
        <f t="array" ref="C79">IF($Z79="","",INDEX('Dữ liệu gộp'!$B$2:$B$1001,$Z79))</f>
        <v/>
      </c>
      <c r="D79" s="43" t="str">
        <f t="array" ref="D79">IF($Z79="","",INDEX('Dữ liệu gộp'!$C$2:$C$1001,$Z79))</f>
        <v/>
      </c>
      <c r="E79" s="47" t="str">
        <f t="array" ref="E79">IF($Z79="","",INDEX('Dữ liệu gộp'!$D$2:$D$1001,$Z79))</f>
        <v/>
      </c>
      <c r="F79" s="46" t="str">
        <f t="array" ref="F79">IF($Z79="","",INDEX('Dữ liệu gộp'!$E$2:$E$1001,$Z79))</f>
        <v/>
      </c>
      <c r="G79" s="46" t="str">
        <f t="array" ref="G79">IF($Z79="","",INDEX('Dữ liệu gộp'!$F$2:$F$1001,$Z79))</f>
        <v/>
      </c>
      <c r="H79" s="46" t="str">
        <f t="array" ref="H79">IF($Z79="","",INDEX('Dữ liệu gộp'!$H$2:$H$1001,$Z79))</f>
        <v/>
      </c>
      <c r="I79" s="43" t="str">
        <f t="array" ref="I79">IF($Z79="","",INDEX('Dữ liệu gộp'!$I$2:$I$1001,$Z79))</f>
        <v/>
      </c>
      <c r="J79" s="43" t="str">
        <f t="array" ref="J79">IF($Z79="","",INDEX('Dữ liệu gộp'!$J$2:$J$1001,$Z79))</f>
        <v/>
      </c>
      <c r="K79" s="43" t="str">
        <f t="array" ref="K79">IF($Z79="","",INDEX('Dữ liệu gộp'!$K$2:$K$1001,$Z79))</f>
        <v/>
      </c>
      <c r="Z79" s="52" t="str">
        <f>IF($C$4="","",IFERROR(MATCH(70,'Dữ liệu gộp'!$L$2:$L$1001,0),""))</f>
        <v/>
      </c>
    </row>
    <row r="80" ht="15.75" customHeight="1">
      <c r="A80" s="43" t="str">
        <f>IF(Z80="","",71)</f>
        <v/>
      </c>
      <c r="B80" s="46" t="str">
        <f t="array" ref="B80">IF($Z80="","",INDEX('Dữ liệu gộp'!$A$2:$A$1001,$Z80))</f>
        <v/>
      </c>
      <c r="C80" s="46" t="str">
        <f t="array" ref="C80">IF($Z80="","",INDEX('Dữ liệu gộp'!$B$2:$B$1001,$Z80))</f>
        <v/>
      </c>
      <c r="D80" s="43" t="str">
        <f t="array" ref="D80">IF($Z80="","",INDEX('Dữ liệu gộp'!$C$2:$C$1001,$Z80))</f>
        <v/>
      </c>
      <c r="E80" s="47" t="str">
        <f t="array" ref="E80">IF($Z80="","",INDEX('Dữ liệu gộp'!$D$2:$D$1001,$Z80))</f>
        <v/>
      </c>
      <c r="F80" s="46" t="str">
        <f t="array" ref="F80">IF($Z80="","",INDEX('Dữ liệu gộp'!$E$2:$E$1001,$Z80))</f>
        <v/>
      </c>
      <c r="G80" s="46" t="str">
        <f t="array" ref="G80">IF($Z80="","",INDEX('Dữ liệu gộp'!$F$2:$F$1001,$Z80))</f>
        <v/>
      </c>
      <c r="H80" s="46" t="str">
        <f t="array" ref="H80">IF($Z80="","",INDEX('Dữ liệu gộp'!$H$2:$H$1001,$Z80))</f>
        <v/>
      </c>
      <c r="I80" s="43" t="str">
        <f t="array" ref="I80">IF($Z80="","",INDEX('Dữ liệu gộp'!$I$2:$I$1001,$Z80))</f>
        <v/>
      </c>
      <c r="J80" s="43" t="str">
        <f t="array" ref="J80">IF($Z80="","",INDEX('Dữ liệu gộp'!$J$2:$J$1001,$Z80))</f>
        <v/>
      </c>
      <c r="K80" s="43" t="str">
        <f t="array" ref="K80">IF($Z80="","",INDEX('Dữ liệu gộp'!$K$2:$K$1001,$Z80))</f>
        <v/>
      </c>
      <c r="Z80" s="52" t="str">
        <f>IF($C$4="","",IFERROR(MATCH(71,'Dữ liệu gộp'!$L$2:$L$1001,0),""))</f>
        <v/>
      </c>
    </row>
    <row r="81" ht="15.75" customHeight="1">
      <c r="A81" s="43" t="str">
        <f>IF(Z81="","",72)</f>
        <v/>
      </c>
      <c r="B81" s="46" t="str">
        <f t="array" ref="B81">IF($Z81="","",INDEX('Dữ liệu gộp'!$A$2:$A$1001,$Z81))</f>
        <v/>
      </c>
      <c r="C81" s="46" t="str">
        <f t="array" ref="C81">IF($Z81="","",INDEX('Dữ liệu gộp'!$B$2:$B$1001,$Z81))</f>
        <v/>
      </c>
      <c r="D81" s="43" t="str">
        <f t="array" ref="D81">IF($Z81="","",INDEX('Dữ liệu gộp'!$C$2:$C$1001,$Z81))</f>
        <v/>
      </c>
      <c r="E81" s="47" t="str">
        <f t="array" ref="E81">IF($Z81="","",INDEX('Dữ liệu gộp'!$D$2:$D$1001,$Z81))</f>
        <v/>
      </c>
      <c r="F81" s="46" t="str">
        <f t="array" ref="F81">IF($Z81="","",INDEX('Dữ liệu gộp'!$E$2:$E$1001,$Z81))</f>
        <v/>
      </c>
      <c r="G81" s="46" t="str">
        <f t="array" ref="G81">IF($Z81="","",INDEX('Dữ liệu gộp'!$F$2:$F$1001,$Z81))</f>
        <v/>
      </c>
      <c r="H81" s="46" t="str">
        <f t="array" ref="H81">IF($Z81="","",INDEX('Dữ liệu gộp'!$H$2:$H$1001,$Z81))</f>
        <v/>
      </c>
      <c r="I81" s="43" t="str">
        <f t="array" ref="I81">IF($Z81="","",INDEX('Dữ liệu gộp'!$I$2:$I$1001,$Z81))</f>
        <v/>
      </c>
      <c r="J81" s="43" t="str">
        <f t="array" ref="J81">IF($Z81="","",INDEX('Dữ liệu gộp'!$J$2:$J$1001,$Z81))</f>
        <v/>
      </c>
      <c r="K81" s="43" t="str">
        <f t="array" ref="K81">IF($Z81="","",INDEX('Dữ liệu gộp'!$K$2:$K$1001,$Z81))</f>
        <v/>
      </c>
      <c r="Z81" s="52" t="str">
        <f>IF($C$4="","",IFERROR(MATCH(72,'Dữ liệu gộp'!$L$2:$L$1001,0),""))</f>
        <v/>
      </c>
    </row>
    <row r="82" ht="15.75" customHeight="1">
      <c r="A82" s="43" t="str">
        <f>IF(Z82="","",73)</f>
        <v/>
      </c>
      <c r="B82" s="46" t="str">
        <f t="array" ref="B82">IF($Z82="","",INDEX('Dữ liệu gộp'!$A$2:$A$1001,$Z82))</f>
        <v/>
      </c>
      <c r="C82" s="46" t="str">
        <f t="array" ref="C82">IF($Z82="","",INDEX('Dữ liệu gộp'!$B$2:$B$1001,$Z82))</f>
        <v/>
      </c>
      <c r="D82" s="43" t="str">
        <f t="array" ref="D82">IF($Z82="","",INDEX('Dữ liệu gộp'!$C$2:$C$1001,$Z82))</f>
        <v/>
      </c>
      <c r="E82" s="47" t="str">
        <f t="array" ref="E82">IF($Z82="","",INDEX('Dữ liệu gộp'!$D$2:$D$1001,$Z82))</f>
        <v/>
      </c>
      <c r="F82" s="46" t="str">
        <f t="array" ref="F82">IF($Z82="","",INDEX('Dữ liệu gộp'!$E$2:$E$1001,$Z82))</f>
        <v/>
      </c>
      <c r="G82" s="46" t="str">
        <f t="array" ref="G82">IF($Z82="","",INDEX('Dữ liệu gộp'!$F$2:$F$1001,$Z82))</f>
        <v/>
      </c>
      <c r="H82" s="46" t="str">
        <f t="array" ref="H82">IF($Z82="","",INDEX('Dữ liệu gộp'!$H$2:$H$1001,$Z82))</f>
        <v/>
      </c>
      <c r="I82" s="43" t="str">
        <f t="array" ref="I82">IF($Z82="","",INDEX('Dữ liệu gộp'!$I$2:$I$1001,$Z82))</f>
        <v/>
      </c>
      <c r="J82" s="43" t="str">
        <f t="array" ref="J82">IF($Z82="","",INDEX('Dữ liệu gộp'!$J$2:$J$1001,$Z82))</f>
        <v/>
      </c>
      <c r="K82" s="43" t="str">
        <f t="array" ref="K82">IF($Z82="","",INDEX('Dữ liệu gộp'!$K$2:$K$1001,$Z82))</f>
        <v/>
      </c>
      <c r="Z82" s="52" t="str">
        <f>IF($C$4="","",IFERROR(MATCH(73,'Dữ liệu gộp'!$L$2:$L$1001,0),""))</f>
        <v/>
      </c>
    </row>
    <row r="83" ht="15.75" customHeight="1">
      <c r="A83" s="43" t="str">
        <f>IF(Z83="","",74)</f>
        <v/>
      </c>
      <c r="B83" s="46" t="str">
        <f t="array" ref="B83">IF($Z83="","",INDEX('Dữ liệu gộp'!$A$2:$A$1001,$Z83))</f>
        <v/>
      </c>
      <c r="C83" s="46" t="str">
        <f t="array" ref="C83">IF($Z83="","",INDEX('Dữ liệu gộp'!$B$2:$B$1001,$Z83))</f>
        <v/>
      </c>
      <c r="D83" s="43" t="str">
        <f t="array" ref="D83">IF($Z83="","",INDEX('Dữ liệu gộp'!$C$2:$C$1001,$Z83))</f>
        <v/>
      </c>
      <c r="E83" s="47" t="str">
        <f t="array" ref="E83">IF($Z83="","",INDEX('Dữ liệu gộp'!$D$2:$D$1001,$Z83))</f>
        <v/>
      </c>
      <c r="F83" s="46" t="str">
        <f t="array" ref="F83">IF($Z83="","",INDEX('Dữ liệu gộp'!$E$2:$E$1001,$Z83))</f>
        <v/>
      </c>
      <c r="G83" s="46" t="str">
        <f t="array" ref="G83">IF($Z83="","",INDEX('Dữ liệu gộp'!$F$2:$F$1001,$Z83))</f>
        <v/>
      </c>
      <c r="H83" s="46" t="str">
        <f t="array" ref="H83">IF($Z83="","",INDEX('Dữ liệu gộp'!$H$2:$H$1001,$Z83))</f>
        <v/>
      </c>
      <c r="I83" s="43" t="str">
        <f t="array" ref="I83">IF($Z83="","",INDEX('Dữ liệu gộp'!$I$2:$I$1001,$Z83))</f>
        <v/>
      </c>
      <c r="J83" s="43" t="str">
        <f t="array" ref="J83">IF($Z83="","",INDEX('Dữ liệu gộp'!$J$2:$J$1001,$Z83))</f>
        <v/>
      </c>
      <c r="K83" s="43" t="str">
        <f t="array" ref="K83">IF($Z83="","",INDEX('Dữ liệu gộp'!$K$2:$K$1001,$Z83))</f>
        <v/>
      </c>
      <c r="Z83" s="52" t="str">
        <f>IF($C$4="","",IFERROR(MATCH(74,'Dữ liệu gộp'!$L$2:$L$1001,0),""))</f>
        <v/>
      </c>
    </row>
    <row r="84" ht="15.75" customHeight="1">
      <c r="A84" s="43" t="str">
        <f>IF(Z84="","",75)</f>
        <v/>
      </c>
      <c r="B84" s="46" t="str">
        <f t="array" ref="B84">IF($Z84="","",INDEX('Dữ liệu gộp'!$A$2:$A$1001,$Z84))</f>
        <v/>
      </c>
      <c r="C84" s="46" t="str">
        <f t="array" ref="C84">IF($Z84="","",INDEX('Dữ liệu gộp'!$B$2:$B$1001,$Z84))</f>
        <v/>
      </c>
      <c r="D84" s="43" t="str">
        <f t="array" ref="D84">IF($Z84="","",INDEX('Dữ liệu gộp'!$C$2:$C$1001,$Z84))</f>
        <v/>
      </c>
      <c r="E84" s="47" t="str">
        <f t="array" ref="E84">IF($Z84="","",INDEX('Dữ liệu gộp'!$D$2:$D$1001,$Z84))</f>
        <v/>
      </c>
      <c r="F84" s="46" t="str">
        <f t="array" ref="F84">IF($Z84="","",INDEX('Dữ liệu gộp'!$E$2:$E$1001,$Z84))</f>
        <v/>
      </c>
      <c r="G84" s="46" t="str">
        <f t="array" ref="G84">IF($Z84="","",INDEX('Dữ liệu gộp'!$F$2:$F$1001,$Z84))</f>
        <v/>
      </c>
      <c r="H84" s="46" t="str">
        <f t="array" ref="H84">IF($Z84="","",INDEX('Dữ liệu gộp'!$H$2:$H$1001,$Z84))</f>
        <v/>
      </c>
      <c r="I84" s="43" t="str">
        <f t="array" ref="I84">IF($Z84="","",INDEX('Dữ liệu gộp'!$I$2:$I$1001,$Z84))</f>
        <v/>
      </c>
      <c r="J84" s="43" t="str">
        <f t="array" ref="J84">IF($Z84="","",INDEX('Dữ liệu gộp'!$J$2:$J$1001,$Z84))</f>
        <v/>
      </c>
      <c r="K84" s="43" t="str">
        <f t="array" ref="K84">IF($Z84="","",INDEX('Dữ liệu gộp'!$K$2:$K$1001,$Z84))</f>
        <v/>
      </c>
      <c r="Z84" s="52" t="str">
        <f>IF($C$4="","",IFERROR(MATCH(75,'Dữ liệu gộp'!$L$2:$L$1001,0),""))</f>
        <v/>
      </c>
    </row>
    <row r="85" ht="15.75" customHeight="1">
      <c r="A85" s="43" t="str">
        <f>IF(Z85="","",76)</f>
        <v/>
      </c>
      <c r="B85" s="46" t="str">
        <f t="array" ref="B85">IF($Z85="","",INDEX('Dữ liệu gộp'!$A$2:$A$1001,$Z85))</f>
        <v/>
      </c>
      <c r="C85" s="46" t="str">
        <f t="array" ref="C85">IF($Z85="","",INDEX('Dữ liệu gộp'!$B$2:$B$1001,$Z85))</f>
        <v/>
      </c>
      <c r="D85" s="43" t="str">
        <f t="array" ref="D85">IF($Z85="","",INDEX('Dữ liệu gộp'!$C$2:$C$1001,$Z85))</f>
        <v/>
      </c>
      <c r="E85" s="47" t="str">
        <f t="array" ref="E85">IF($Z85="","",INDEX('Dữ liệu gộp'!$D$2:$D$1001,$Z85))</f>
        <v/>
      </c>
      <c r="F85" s="46" t="str">
        <f t="array" ref="F85">IF($Z85="","",INDEX('Dữ liệu gộp'!$E$2:$E$1001,$Z85))</f>
        <v/>
      </c>
      <c r="G85" s="46" t="str">
        <f t="array" ref="G85">IF($Z85="","",INDEX('Dữ liệu gộp'!$F$2:$F$1001,$Z85))</f>
        <v/>
      </c>
      <c r="H85" s="46" t="str">
        <f t="array" ref="H85">IF($Z85="","",INDEX('Dữ liệu gộp'!$H$2:$H$1001,$Z85))</f>
        <v/>
      </c>
      <c r="I85" s="43" t="str">
        <f t="array" ref="I85">IF($Z85="","",INDEX('Dữ liệu gộp'!$I$2:$I$1001,$Z85))</f>
        <v/>
      </c>
      <c r="J85" s="43" t="str">
        <f t="array" ref="J85">IF($Z85="","",INDEX('Dữ liệu gộp'!$J$2:$J$1001,$Z85))</f>
        <v/>
      </c>
      <c r="K85" s="43" t="str">
        <f t="array" ref="K85">IF($Z85="","",INDEX('Dữ liệu gộp'!$K$2:$K$1001,$Z85))</f>
        <v/>
      </c>
      <c r="Z85" s="52" t="str">
        <f>IF($C$4="","",IFERROR(MATCH(76,'Dữ liệu gộp'!$L$2:$L$1001,0),""))</f>
        <v/>
      </c>
    </row>
    <row r="86" ht="15.75" customHeight="1">
      <c r="A86" s="43" t="str">
        <f>IF(Z86="","",77)</f>
        <v/>
      </c>
      <c r="B86" s="46" t="str">
        <f t="array" ref="B86">IF($Z86="","",INDEX('Dữ liệu gộp'!$A$2:$A$1001,$Z86))</f>
        <v/>
      </c>
      <c r="C86" s="46" t="str">
        <f t="array" ref="C86">IF($Z86="","",INDEX('Dữ liệu gộp'!$B$2:$B$1001,$Z86))</f>
        <v/>
      </c>
      <c r="D86" s="43" t="str">
        <f t="array" ref="D86">IF($Z86="","",INDEX('Dữ liệu gộp'!$C$2:$C$1001,$Z86))</f>
        <v/>
      </c>
      <c r="E86" s="47" t="str">
        <f t="array" ref="E86">IF($Z86="","",INDEX('Dữ liệu gộp'!$D$2:$D$1001,$Z86))</f>
        <v/>
      </c>
      <c r="F86" s="46" t="str">
        <f t="array" ref="F86">IF($Z86="","",INDEX('Dữ liệu gộp'!$E$2:$E$1001,$Z86))</f>
        <v/>
      </c>
      <c r="G86" s="46" t="str">
        <f t="array" ref="G86">IF($Z86="","",INDEX('Dữ liệu gộp'!$F$2:$F$1001,$Z86))</f>
        <v/>
      </c>
      <c r="H86" s="46" t="str">
        <f t="array" ref="H86">IF($Z86="","",INDEX('Dữ liệu gộp'!$H$2:$H$1001,$Z86))</f>
        <v/>
      </c>
      <c r="I86" s="43" t="str">
        <f t="array" ref="I86">IF($Z86="","",INDEX('Dữ liệu gộp'!$I$2:$I$1001,$Z86))</f>
        <v/>
      </c>
      <c r="J86" s="43" t="str">
        <f t="array" ref="J86">IF($Z86="","",INDEX('Dữ liệu gộp'!$J$2:$J$1001,$Z86))</f>
        <v/>
      </c>
      <c r="K86" s="43" t="str">
        <f t="array" ref="K86">IF($Z86="","",INDEX('Dữ liệu gộp'!$K$2:$K$1001,$Z86))</f>
        <v/>
      </c>
      <c r="Z86" s="52" t="str">
        <f>IF($C$4="","",IFERROR(MATCH(77,'Dữ liệu gộp'!$L$2:$L$1001,0),""))</f>
        <v/>
      </c>
    </row>
    <row r="87" ht="15.75" customHeight="1">
      <c r="A87" s="43" t="str">
        <f>IF(Z87="","",78)</f>
        <v/>
      </c>
      <c r="B87" s="46" t="str">
        <f t="array" ref="B87">IF($Z87="","",INDEX('Dữ liệu gộp'!$A$2:$A$1001,$Z87))</f>
        <v/>
      </c>
      <c r="C87" s="46" t="str">
        <f t="array" ref="C87">IF($Z87="","",INDEX('Dữ liệu gộp'!$B$2:$B$1001,$Z87))</f>
        <v/>
      </c>
      <c r="D87" s="43" t="str">
        <f t="array" ref="D87">IF($Z87="","",INDEX('Dữ liệu gộp'!$C$2:$C$1001,$Z87))</f>
        <v/>
      </c>
      <c r="E87" s="47" t="str">
        <f t="array" ref="E87">IF($Z87="","",INDEX('Dữ liệu gộp'!$D$2:$D$1001,$Z87))</f>
        <v/>
      </c>
      <c r="F87" s="46" t="str">
        <f t="array" ref="F87">IF($Z87="","",INDEX('Dữ liệu gộp'!$E$2:$E$1001,$Z87))</f>
        <v/>
      </c>
      <c r="G87" s="46" t="str">
        <f t="array" ref="G87">IF($Z87="","",INDEX('Dữ liệu gộp'!$F$2:$F$1001,$Z87))</f>
        <v/>
      </c>
      <c r="H87" s="46" t="str">
        <f t="array" ref="H87">IF($Z87="","",INDEX('Dữ liệu gộp'!$H$2:$H$1001,$Z87))</f>
        <v/>
      </c>
      <c r="I87" s="43" t="str">
        <f t="array" ref="I87">IF($Z87="","",INDEX('Dữ liệu gộp'!$I$2:$I$1001,$Z87))</f>
        <v/>
      </c>
      <c r="J87" s="43" t="str">
        <f t="array" ref="J87">IF($Z87="","",INDEX('Dữ liệu gộp'!$J$2:$J$1001,$Z87))</f>
        <v/>
      </c>
      <c r="K87" s="43" t="str">
        <f t="array" ref="K87">IF($Z87="","",INDEX('Dữ liệu gộp'!$K$2:$K$1001,$Z87))</f>
        <v/>
      </c>
      <c r="Z87" s="52" t="str">
        <f>IF($C$4="","",IFERROR(MATCH(78,'Dữ liệu gộp'!$L$2:$L$1001,0),""))</f>
        <v/>
      </c>
    </row>
    <row r="88" ht="15.75" customHeight="1">
      <c r="A88" s="43" t="str">
        <f>IF(Z88="","",79)</f>
        <v/>
      </c>
      <c r="B88" s="46" t="str">
        <f t="array" ref="B88">IF($Z88="","",INDEX('Dữ liệu gộp'!$A$2:$A$1001,$Z88))</f>
        <v/>
      </c>
      <c r="C88" s="46" t="str">
        <f t="array" ref="C88">IF($Z88="","",INDEX('Dữ liệu gộp'!$B$2:$B$1001,$Z88))</f>
        <v/>
      </c>
      <c r="D88" s="43" t="str">
        <f t="array" ref="D88">IF($Z88="","",INDEX('Dữ liệu gộp'!$C$2:$C$1001,$Z88))</f>
        <v/>
      </c>
      <c r="E88" s="47" t="str">
        <f t="array" ref="E88">IF($Z88="","",INDEX('Dữ liệu gộp'!$D$2:$D$1001,$Z88))</f>
        <v/>
      </c>
      <c r="F88" s="46" t="str">
        <f t="array" ref="F88">IF($Z88="","",INDEX('Dữ liệu gộp'!$E$2:$E$1001,$Z88))</f>
        <v/>
      </c>
      <c r="G88" s="46" t="str">
        <f t="array" ref="G88">IF($Z88="","",INDEX('Dữ liệu gộp'!$F$2:$F$1001,$Z88))</f>
        <v/>
      </c>
      <c r="H88" s="46" t="str">
        <f t="array" ref="H88">IF($Z88="","",INDEX('Dữ liệu gộp'!$H$2:$H$1001,$Z88))</f>
        <v/>
      </c>
      <c r="I88" s="43" t="str">
        <f t="array" ref="I88">IF($Z88="","",INDEX('Dữ liệu gộp'!$I$2:$I$1001,$Z88))</f>
        <v/>
      </c>
      <c r="J88" s="43" t="str">
        <f t="array" ref="J88">IF($Z88="","",INDEX('Dữ liệu gộp'!$J$2:$J$1001,$Z88))</f>
        <v/>
      </c>
      <c r="K88" s="43" t="str">
        <f t="array" ref="K88">IF($Z88="","",INDEX('Dữ liệu gộp'!$K$2:$K$1001,$Z88))</f>
        <v/>
      </c>
      <c r="Z88" s="52" t="str">
        <f>IF($C$4="","",IFERROR(MATCH(79,'Dữ liệu gộp'!$L$2:$L$1001,0),""))</f>
        <v/>
      </c>
    </row>
    <row r="89" ht="15.75" customHeight="1">
      <c r="A89" s="43" t="str">
        <f>IF(Z89="","",80)</f>
        <v/>
      </c>
      <c r="B89" s="46" t="str">
        <f t="array" ref="B89">IF($Z89="","",INDEX('Dữ liệu gộp'!$A$2:$A$1001,$Z89))</f>
        <v/>
      </c>
      <c r="C89" s="46" t="str">
        <f t="array" ref="C89">IF($Z89="","",INDEX('Dữ liệu gộp'!$B$2:$B$1001,$Z89))</f>
        <v/>
      </c>
      <c r="D89" s="43" t="str">
        <f t="array" ref="D89">IF($Z89="","",INDEX('Dữ liệu gộp'!$C$2:$C$1001,$Z89))</f>
        <v/>
      </c>
      <c r="E89" s="47" t="str">
        <f t="array" ref="E89">IF($Z89="","",INDEX('Dữ liệu gộp'!$D$2:$D$1001,$Z89))</f>
        <v/>
      </c>
      <c r="F89" s="46" t="str">
        <f t="array" ref="F89">IF($Z89="","",INDEX('Dữ liệu gộp'!$E$2:$E$1001,$Z89))</f>
        <v/>
      </c>
      <c r="G89" s="46" t="str">
        <f t="array" ref="G89">IF($Z89="","",INDEX('Dữ liệu gộp'!$F$2:$F$1001,$Z89))</f>
        <v/>
      </c>
      <c r="H89" s="46" t="str">
        <f t="array" ref="H89">IF($Z89="","",INDEX('Dữ liệu gộp'!$H$2:$H$1001,$Z89))</f>
        <v/>
      </c>
      <c r="I89" s="43" t="str">
        <f t="array" ref="I89">IF($Z89="","",INDEX('Dữ liệu gộp'!$I$2:$I$1001,$Z89))</f>
        <v/>
      </c>
      <c r="J89" s="43" t="str">
        <f t="array" ref="J89">IF($Z89="","",INDEX('Dữ liệu gộp'!$J$2:$J$1001,$Z89))</f>
        <v/>
      </c>
      <c r="K89" s="43" t="str">
        <f t="array" ref="K89">IF($Z89="","",INDEX('Dữ liệu gộp'!$K$2:$K$1001,$Z89))</f>
        <v/>
      </c>
      <c r="Z89" s="52" t="str">
        <f>IF($C$4="","",IFERROR(MATCH(80,'Dữ liệu gộp'!$L$2:$L$1001,0),""))</f>
        <v/>
      </c>
    </row>
    <row r="90" ht="15.75" customHeight="1">
      <c r="A90" s="43" t="str">
        <f>IF(Z90="","",81)</f>
        <v/>
      </c>
      <c r="B90" s="46" t="str">
        <f t="array" ref="B90">IF($Z90="","",INDEX('Dữ liệu gộp'!$A$2:$A$1001,$Z90))</f>
        <v/>
      </c>
      <c r="C90" s="46" t="str">
        <f t="array" ref="C90">IF($Z90="","",INDEX('Dữ liệu gộp'!$B$2:$B$1001,$Z90))</f>
        <v/>
      </c>
      <c r="D90" s="43" t="str">
        <f t="array" ref="D90">IF($Z90="","",INDEX('Dữ liệu gộp'!$C$2:$C$1001,$Z90))</f>
        <v/>
      </c>
      <c r="E90" s="47" t="str">
        <f t="array" ref="E90">IF($Z90="","",INDEX('Dữ liệu gộp'!$D$2:$D$1001,$Z90))</f>
        <v/>
      </c>
      <c r="F90" s="46" t="str">
        <f t="array" ref="F90">IF($Z90="","",INDEX('Dữ liệu gộp'!$E$2:$E$1001,$Z90))</f>
        <v/>
      </c>
      <c r="G90" s="46" t="str">
        <f t="array" ref="G90">IF($Z90="","",INDEX('Dữ liệu gộp'!$F$2:$F$1001,$Z90))</f>
        <v/>
      </c>
      <c r="H90" s="46" t="str">
        <f t="array" ref="H90">IF($Z90="","",INDEX('Dữ liệu gộp'!$H$2:$H$1001,$Z90))</f>
        <v/>
      </c>
      <c r="I90" s="43" t="str">
        <f t="array" ref="I90">IF($Z90="","",INDEX('Dữ liệu gộp'!$I$2:$I$1001,$Z90))</f>
        <v/>
      </c>
      <c r="J90" s="43" t="str">
        <f t="array" ref="J90">IF($Z90="","",INDEX('Dữ liệu gộp'!$J$2:$J$1001,$Z90))</f>
        <v/>
      </c>
      <c r="K90" s="43" t="str">
        <f t="array" ref="K90">IF($Z90="","",INDEX('Dữ liệu gộp'!$K$2:$K$1001,$Z90))</f>
        <v/>
      </c>
      <c r="Z90" s="52" t="str">
        <f>IF($C$4="","",IFERROR(MATCH(81,'Dữ liệu gộp'!$L$2:$L$1001,0),""))</f>
        <v/>
      </c>
    </row>
    <row r="91" ht="15.75" customHeight="1">
      <c r="A91" s="43" t="str">
        <f>IF(Z91="","",82)</f>
        <v/>
      </c>
      <c r="B91" s="46" t="str">
        <f t="array" ref="B91">IF($Z91="","",INDEX('Dữ liệu gộp'!$A$2:$A$1001,$Z91))</f>
        <v/>
      </c>
      <c r="C91" s="46" t="str">
        <f t="array" ref="C91">IF($Z91="","",INDEX('Dữ liệu gộp'!$B$2:$B$1001,$Z91))</f>
        <v/>
      </c>
      <c r="D91" s="43" t="str">
        <f t="array" ref="D91">IF($Z91="","",INDEX('Dữ liệu gộp'!$C$2:$C$1001,$Z91))</f>
        <v/>
      </c>
      <c r="E91" s="47" t="str">
        <f t="array" ref="E91">IF($Z91="","",INDEX('Dữ liệu gộp'!$D$2:$D$1001,$Z91))</f>
        <v/>
      </c>
      <c r="F91" s="46" t="str">
        <f t="array" ref="F91">IF($Z91="","",INDEX('Dữ liệu gộp'!$E$2:$E$1001,$Z91))</f>
        <v/>
      </c>
      <c r="G91" s="46" t="str">
        <f t="array" ref="G91">IF($Z91="","",INDEX('Dữ liệu gộp'!$F$2:$F$1001,$Z91))</f>
        <v/>
      </c>
      <c r="H91" s="46" t="str">
        <f t="array" ref="H91">IF($Z91="","",INDEX('Dữ liệu gộp'!$H$2:$H$1001,$Z91))</f>
        <v/>
      </c>
      <c r="I91" s="43" t="str">
        <f t="array" ref="I91">IF($Z91="","",INDEX('Dữ liệu gộp'!$I$2:$I$1001,$Z91))</f>
        <v/>
      </c>
      <c r="J91" s="43" t="str">
        <f t="array" ref="J91">IF($Z91="","",INDEX('Dữ liệu gộp'!$J$2:$J$1001,$Z91))</f>
        <v/>
      </c>
      <c r="K91" s="43" t="str">
        <f t="array" ref="K91">IF($Z91="","",INDEX('Dữ liệu gộp'!$K$2:$K$1001,$Z91))</f>
        <v/>
      </c>
      <c r="Z91" s="52" t="str">
        <f>IF($C$4="","",IFERROR(MATCH(82,'Dữ liệu gộp'!$L$2:$L$1001,0),""))</f>
        <v/>
      </c>
    </row>
    <row r="92" ht="15.75" customHeight="1">
      <c r="A92" s="43" t="str">
        <f>IF(Z92="","",83)</f>
        <v/>
      </c>
      <c r="B92" s="46" t="str">
        <f t="array" ref="B92">IF($Z92="","",INDEX('Dữ liệu gộp'!$A$2:$A$1001,$Z92))</f>
        <v/>
      </c>
      <c r="C92" s="46" t="str">
        <f t="array" ref="C92">IF($Z92="","",INDEX('Dữ liệu gộp'!$B$2:$B$1001,$Z92))</f>
        <v/>
      </c>
      <c r="D92" s="43" t="str">
        <f t="array" ref="D92">IF($Z92="","",INDEX('Dữ liệu gộp'!$C$2:$C$1001,$Z92))</f>
        <v/>
      </c>
      <c r="E92" s="47" t="str">
        <f t="array" ref="E92">IF($Z92="","",INDEX('Dữ liệu gộp'!$D$2:$D$1001,$Z92))</f>
        <v/>
      </c>
      <c r="F92" s="46" t="str">
        <f t="array" ref="F92">IF($Z92="","",INDEX('Dữ liệu gộp'!$E$2:$E$1001,$Z92))</f>
        <v/>
      </c>
      <c r="G92" s="46" t="str">
        <f t="array" ref="G92">IF($Z92="","",INDEX('Dữ liệu gộp'!$F$2:$F$1001,$Z92))</f>
        <v/>
      </c>
      <c r="H92" s="46" t="str">
        <f t="array" ref="H92">IF($Z92="","",INDEX('Dữ liệu gộp'!$H$2:$H$1001,$Z92))</f>
        <v/>
      </c>
      <c r="I92" s="43" t="str">
        <f t="array" ref="I92">IF($Z92="","",INDEX('Dữ liệu gộp'!$I$2:$I$1001,$Z92))</f>
        <v/>
      </c>
      <c r="J92" s="43" t="str">
        <f t="array" ref="J92">IF($Z92="","",INDEX('Dữ liệu gộp'!$J$2:$J$1001,$Z92))</f>
        <v/>
      </c>
      <c r="K92" s="43" t="str">
        <f t="array" ref="K92">IF($Z92="","",INDEX('Dữ liệu gộp'!$K$2:$K$1001,$Z92))</f>
        <v/>
      </c>
      <c r="Z92" s="52" t="str">
        <f>IF($C$4="","",IFERROR(MATCH(83,'Dữ liệu gộp'!$L$2:$L$1001,0),""))</f>
        <v/>
      </c>
    </row>
    <row r="93" ht="15.75" customHeight="1">
      <c r="A93" s="43" t="str">
        <f>IF(Z93="","",84)</f>
        <v/>
      </c>
      <c r="B93" s="46" t="str">
        <f t="array" ref="B93">IF($Z93="","",INDEX('Dữ liệu gộp'!$A$2:$A$1001,$Z93))</f>
        <v/>
      </c>
      <c r="C93" s="46" t="str">
        <f t="array" ref="C93">IF($Z93="","",INDEX('Dữ liệu gộp'!$B$2:$B$1001,$Z93))</f>
        <v/>
      </c>
      <c r="D93" s="43" t="str">
        <f t="array" ref="D93">IF($Z93="","",INDEX('Dữ liệu gộp'!$C$2:$C$1001,$Z93))</f>
        <v/>
      </c>
      <c r="E93" s="47" t="str">
        <f t="array" ref="E93">IF($Z93="","",INDEX('Dữ liệu gộp'!$D$2:$D$1001,$Z93))</f>
        <v/>
      </c>
      <c r="F93" s="46" t="str">
        <f t="array" ref="F93">IF($Z93="","",INDEX('Dữ liệu gộp'!$E$2:$E$1001,$Z93))</f>
        <v/>
      </c>
      <c r="G93" s="46" t="str">
        <f t="array" ref="G93">IF($Z93="","",INDEX('Dữ liệu gộp'!$F$2:$F$1001,$Z93))</f>
        <v/>
      </c>
      <c r="H93" s="46" t="str">
        <f t="array" ref="H93">IF($Z93="","",INDEX('Dữ liệu gộp'!$H$2:$H$1001,$Z93))</f>
        <v/>
      </c>
      <c r="I93" s="43" t="str">
        <f t="array" ref="I93">IF($Z93="","",INDEX('Dữ liệu gộp'!$I$2:$I$1001,$Z93))</f>
        <v/>
      </c>
      <c r="J93" s="43" t="str">
        <f t="array" ref="J93">IF($Z93="","",INDEX('Dữ liệu gộp'!$J$2:$J$1001,$Z93))</f>
        <v/>
      </c>
      <c r="K93" s="43" t="str">
        <f t="array" ref="K93">IF($Z93="","",INDEX('Dữ liệu gộp'!$K$2:$K$1001,$Z93))</f>
        <v/>
      </c>
      <c r="Z93" s="52" t="str">
        <f>IF($C$4="","",IFERROR(MATCH(84,'Dữ liệu gộp'!$L$2:$L$1001,0),""))</f>
        <v/>
      </c>
    </row>
    <row r="94" ht="15.75" customHeight="1">
      <c r="A94" s="43" t="str">
        <f>IF(Z94="","",85)</f>
        <v/>
      </c>
      <c r="B94" s="46" t="str">
        <f t="array" ref="B94">IF($Z94="","",INDEX('Dữ liệu gộp'!$A$2:$A$1001,$Z94))</f>
        <v/>
      </c>
      <c r="C94" s="46" t="str">
        <f t="array" ref="C94">IF($Z94="","",INDEX('Dữ liệu gộp'!$B$2:$B$1001,$Z94))</f>
        <v/>
      </c>
      <c r="D94" s="43" t="str">
        <f t="array" ref="D94">IF($Z94="","",INDEX('Dữ liệu gộp'!$C$2:$C$1001,$Z94))</f>
        <v/>
      </c>
      <c r="E94" s="47" t="str">
        <f t="array" ref="E94">IF($Z94="","",INDEX('Dữ liệu gộp'!$D$2:$D$1001,$Z94))</f>
        <v/>
      </c>
      <c r="F94" s="46" t="str">
        <f t="array" ref="F94">IF($Z94="","",INDEX('Dữ liệu gộp'!$E$2:$E$1001,$Z94))</f>
        <v/>
      </c>
      <c r="G94" s="46" t="str">
        <f t="array" ref="G94">IF($Z94="","",INDEX('Dữ liệu gộp'!$F$2:$F$1001,$Z94))</f>
        <v/>
      </c>
      <c r="H94" s="46" t="str">
        <f t="array" ref="H94">IF($Z94="","",INDEX('Dữ liệu gộp'!$H$2:$H$1001,$Z94))</f>
        <v/>
      </c>
      <c r="I94" s="43" t="str">
        <f t="array" ref="I94">IF($Z94="","",INDEX('Dữ liệu gộp'!$I$2:$I$1001,$Z94))</f>
        <v/>
      </c>
      <c r="J94" s="43" t="str">
        <f t="array" ref="J94">IF($Z94="","",INDEX('Dữ liệu gộp'!$J$2:$J$1001,$Z94))</f>
        <v/>
      </c>
      <c r="K94" s="43" t="str">
        <f t="array" ref="K94">IF($Z94="","",INDEX('Dữ liệu gộp'!$K$2:$K$1001,$Z94))</f>
        <v/>
      </c>
      <c r="Z94" s="52" t="str">
        <f>IF($C$4="","",IFERROR(MATCH(85,'Dữ liệu gộp'!$L$2:$L$1001,0),""))</f>
        <v/>
      </c>
    </row>
    <row r="95" ht="15.75" customHeight="1">
      <c r="A95" s="43" t="str">
        <f>IF(Z95="","",86)</f>
        <v/>
      </c>
      <c r="B95" s="46" t="str">
        <f t="array" ref="B95">IF($Z95="","",INDEX('Dữ liệu gộp'!$A$2:$A$1001,$Z95))</f>
        <v/>
      </c>
      <c r="C95" s="46" t="str">
        <f t="array" ref="C95">IF($Z95="","",INDEX('Dữ liệu gộp'!$B$2:$B$1001,$Z95))</f>
        <v/>
      </c>
      <c r="D95" s="43" t="str">
        <f t="array" ref="D95">IF($Z95="","",INDEX('Dữ liệu gộp'!$C$2:$C$1001,$Z95))</f>
        <v/>
      </c>
      <c r="E95" s="47" t="str">
        <f t="array" ref="E95">IF($Z95="","",INDEX('Dữ liệu gộp'!$D$2:$D$1001,$Z95))</f>
        <v/>
      </c>
      <c r="F95" s="46" t="str">
        <f t="array" ref="F95">IF($Z95="","",INDEX('Dữ liệu gộp'!$E$2:$E$1001,$Z95))</f>
        <v/>
      </c>
      <c r="G95" s="46" t="str">
        <f t="array" ref="G95">IF($Z95="","",INDEX('Dữ liệu gộp'!$F$2:$F$1001,$Z95))</f>
        <v/>
      </c>
      <c r="H95" s="46" t="str">
        <f t="array" ref="H95">IF($Z95="","",INDEX('Dữ liệu gộp'!$H$2:$H$1001,$Z95))</f>
        <v/>
      </c>
      <c r="I95" s="43" t="str">
        <f t="array" ref="I95">IF($Z95="","",INDEX('Dữ liệu gộp'!$I$2:$I$1001,$Z95))</f>
        <v/>
      </c>
      <c r="J95" s="43" t="str">
        <f t="array" ref="J95">IF($Z95="","",INDEX('Dữ liệu gộp'!$J$2:$J$1001,$Z95))</f>
        <v/>
      </c>
      <c r="K95" s="43" t="str">
        <f t="array" ref="K95">IF($Z95="","",INDEX('Dữ liệu gộp'!$K$2:$K$1001,$Z95))</f>
        <v/>
      </c>
      <c r="Z95" s="52" t="str">
        <f>IF($C$4="","",IFERROR(MATCH(86,'Dữ liệu gộp'!$L$2:$L$1001,0),""))</f>
        <v/>
      </c>
    </row>
    <row r="96" ht="15.75" customHeight="1">
      <c r="A96" s="43" t="str">
        <f>IF(Z96="","",87)</f>
        <v/>
      </c>
      <c r="B96" s="46" t="str">
        <f t="array" ref="B96">IF($Z96="","",INDEX('Dữ liệu gộp'!$A$2:$A$1001,$Z96))</f>
        <v/>
      </c>
      <c r="C96" s="46" t="str">
        <f t="array" ref="C96">IF($Z96="","",INDEX('Dữ liệu gộp'!$B$2:$B$1001,$Z96))</f>
        <v/>
      </c>
      <c r="D96" s="43" t="str">
        <f t="array" ref="D96">IF($Z96="","",INDEX('Dữ liệu gộp'!$C$2:$C$1001,$Z96))</f>
        <v/>
      </c>
      <c r="E96" s="47" t="str">
        <f t="array" ref="E96">IF($Z96="","",INDEX('Dữ liệu gộp'!$D$2:$D$1001,$Z96))</f>
        <v/>
      </c>
      <c r="F96" s="46" t="str">
        <f t="array" ref="F96">IF($Z96="","",INDEX('Dữ liệu gộp'!$E$2:$E$1001,$Z96))</f>
        <v/>
      </c>
      <c r="G96" s="46" t="str">
        <f t="array" ref="G96">IF($Z96="","",INDEX('Dữ liệu gộp'!$F$2:$F$1001,$Z96))</f>
        <v/>
      </c>
      <c r="H96" s="46" t="str">
        <f t="array" ref="H96">IF($Z96="","",INDEX('Dữ liệu gộp'!$H$2:$H$1001,$Z96))</f>
        <v/>
      </c>
      <c r="I96" s="43" t="str">
        <f t="array" ref="I96">IF($Z96="","",INDEX('Dữ liệu gộp'!$I$2:$I$1001,$Z96))</f>
        <v/>
      </c>
      <c r="J96" s="43" t="str">
        <f t="array" ref="J96">IF($Z96="","",INDEX('Dữ liệu gộp'!$J$2:$J$1001,$Z96))</f>
        <v/>
      </c>
      <c r="K96" s="43" t="str">
        <f t="array" ref="K96">IF($Z96="","",INDEX('Dữ liệu gộp'!$K$2:$K$1001,$Z96))</f>
        <v/>
      </c>
      <c r="Z96" s="52" t="str">
        <f>IF($C$4="","",IFERROR(MATCH(87,'Dữ liệu gộp'!$L$2:$L$1001,0),""))</f>
        <v/>
      </c>
    </row>
    <row r="97" ht="15.75" customHeight="1">
      <c r="A97" s="43" t="str">
        <f>IF(Z97="","",88)</f>
        <v/>
      </c>
      <c r="B97" s="46" t="str">
        <f t="array" ref="B97">IF($Z97="","",INDEX('Dữ liệu gộp'!$A$2:$A$1001,$Z97))</f>
        <v/>
      </c>
      <c r="C97" s="46" t="str">
        <f t="array" ref="C97">IF($Z97="","",INDEX('Dữ liệu gộp'!$B$2:$B$1001,$Z97))</f>
        <v/>
      </c>
      <c r="D97" s="43" t="str">
        <f t="array" ref="D97">IF($Z97="","",INDEX('Dữ liệu gộp'!$C$2:$C$1001,$Z97))</f>
        <v/>
      </c>
      <c r="E97" s="47" t="str">
        <f t="array" ref="E97">IF($Z97="","",INDEX('Dữ liệu gộp'!$D$2:$D$1001,$Z97))</f>
        <v/>
      </c>
      <c r="F97" s="46" t="str">
        <f t="array" ref="F97">IF($Z97="","",INDEX('Dữ liệu gộp'!$E$2:$E$1001,$Z97))</f>
        <v/>
      </c>
      <c r="G97" s="46" t="str">
        <f t="array" ref="G97">IF($Z97="","",INDEX('Dữ liệu gộp'!$F$2:$F$1001,$Z97))</f>
        <v/>
      </c>
      <c r="H97" s="46" t="str">
        <f t="array" ref="H97">IF($Z97="","",INDEX('Dữ liệu gộp'!$H$2:$H$1001,$Z97))</f>
        <v/>
      </c>
      <c r="I97" s="43" t="str">
        <f t="array" ref="I97">IF($Z97="","",INDEX('Dữ liệu gộp'!$I$2:$I$1001,$Z97))</f>
        <v/>
      </c>
      <c r="J97" s="43" t="str">
        <f t="array" ref="J97">IF($Z97="","",INDEX('Dữ liệu gộp'!$J$2:$J$1001,$Z97))</f>
        <v/>
      </c>
      <c r="K97" s="43" t="str">
        <f t="array" ref="K97">IF($Z97="","",INDEX('Dữ liệu gộp'!$K$2:$K$1001,$Z97))</f>
        <v/>
      </c>
      <c r="Z97" s="52" t="str">
        <f>IF($C$4="","",IFERROR(MATCH(88,'Dữ liệu gộp'!$L$2:$L$1001,0),""))</f>
        <v/>
      </c>
    </row>
    <row r="98" ht="15.75" customHeight="1">
      <c r="A98" s="43" t="str">
        <f>IF(Z98="","",89)</f>
        <v/>
      </c>
      <c r="B98" s="46" t="str">
        <f t="array" ref="B98">IF($Z98="","",INDEX('Dữ liệu gộp'!$A$2:$A$1001,$Z98))</f>
        <v/>
      </c>
      <c r="C98" s="46" t="str">
        <f t="array" ref="C98">IF($Z98="","",INDEX('Dữ liệu gộp'!$B$2:$B$1001,$Z98))</f>
        <v/>
      </c>
      <c r="D98" s="43" t="str">
        <f t="array" ref="D98">IF($Z98="","",INDEX('Dữ liệu gộp'!$C$2:$C$1001,$Z98))</f>
        <v/>
      </c>
      <c r="E98" s="47" t="str">
        <f t="array" ref="E98">IF($Z98="","",INDEX('Dữ liệu gộp'!$D$2:$D$1001,$Z98))</f>
        <v/>
      </c>
      <c r="F98" s="46" t="str">
        <f t="array" ref="F98">IF($Z98="","",INDEX('Dữ liệu gộp'!$E$2:$E$1001,$Z98))</f>
        <v/>
      </c>
      <c r="G98" s="46" t="str">
        <f t="array" ref="G98">IF($Z98="","",INDEX('Dữ liệu gộp'!$F$2:$F$1001,$Z98))</f>
        <v/>
      </c>
      <c r="H98" s="46" t="str">
        <f t="array" ref="H98">IF($Z98="","",INDEX('Dữ liệu gộp'!$H$2:$H$1001,$Z98))</f>
        <v/>
      </c>
      <c r="I98" s="43" t="str">
        <f t="array" ref="I98">IF($Z98="","",INDEX('Dữ liệu gộp'!$I$2:$I$1001,$Z98))</f>
        <v/>
      </c>
      <c r="J98" s="43" t="str">
        <f t="array" ref="J98">IF($Z98="","",INDEX('Dữ liệu gộp'!$J$2:$J$1001,$Z98))</f>
        <v/>
      </c>
      <c r="K98" s="43" t="str">
        <f t="array" ref="K98">IF($Z98="","",INDEX('Dữ liệu gộp'!$K$2:$K$1001,$Z98))</f>
        <v/>
      </c>
      <c r="Z98" s="52" t="str">
        <f>IF($C$4="","",IFERROR(MATCH(89,'Dữ liệu gộp'!$L$2:$L$1001,0),""))</f>
        <v/>
      </c>
    </row>
    <row r="99" ht="15.75" customHeight="1">
      <c r="A99" s="43" t="str">
        <f>IF(Z99="","",90)</f>
        <v/>
      </c>
      <c r="B99" s="46" t="str">
        <f t="array" ref="B99">IF($Z99="","",INDEX('Dữ liệu gộp'!$A$2:$A$1001,$Z99))</f>
        <v/>
      </c>
      <c r="C99" s="46" t="str">
        <f t="array" ref="C99">IF($Z99="","",INDEX('Dữ liệu gộp'!$B$2:$B$1001,$Z99))</f>
        <v/>
      </c>
      <c r="D99" s="43" t="str">
        <f t="array" ref="D99">IF($Z99="","",INDEX('Dữ liệu gộp'!$C$2:$C$1001,$Z99))</f>
        <v/>
      </c>
      <c r="E99" s="47" t="str">
        <f t="array" ref="E99">IF($Z99="","",INDEX('Dữ liệu gộp'!$D$2:$D$1001,$Z99))</f>
        <v/>
      </c>
      <c r="F99" s="46" t="str">
        <f t="array" ref="F99">IF($Z99="","",INDEX('Dữ liệu gộp'!$E$2:$E$1001,$Z99))</f>
        <v/>
      </c>
      <c r="G99" s="46" t="str">
        <f t="array" ref="G99">IF($Z99="","",INDEX('Dữ liệu gộp'!$F$2:$F$1001,$Z99))</f>
        <v/>
      </c>
      <c r="H99" s="46" t="str">
        <f t="array" ref="H99">IF($Z99="","",INDEX('Dữ liệu gộp'!$H$2:$H$1001,$Z99))</f>
        <v/>
      </c>
      <c r="I99" s="43" t="str">
        <f t="array" ref="I99">IF($Z99="","",INDEX('Dữ liệu gộp'!$I$2:$I$1001,$Z99))</f>
        <v/>
      </c>
      <c r="J99" s="43" t="str">
        <f t="array" ref="J99">IF($Z99="","",INDEX('Dữ liệu gộp'!$J$2:$J$1001,$Z99))</f>
        <v/>
      </c>
      <c r="K99" s="43" t="str">
        <f t="array" ref="K99">IF($Z99="","",INDEX('Dữ liệu gộp'!$K$2:$K$1001,$Z99))</f>
        <v/>
      </c>
      <c r="Z99" s="52" t="str">
        <f>IF($C$4="","",IFERROR(MATCH(90,'Dữ liệu gộp'!$L$2:$L$1001,0),""))</f>
        <v/>
      </c>
    </row>
    <row r="100" ht="15.75" customHeight="1">
      <c r="A100" s="43" t="str">
        <f>IF(Z100="","",91)</f>
        <v/>
      </c>
      <c r="B100" s="46" t="str">
        <f t="array" ref="B100">IF($Z100="","",INDEX('Dữ liệu gộp'!$A$2:$A$1001,$Z100))</f>
        <v/>
      </c>
      <c r="C100" s="46" t="str">
        <f t="array" ref="C100">IF($Z100="","",INDEX('Dữ liệu gộp'!$B$2:$B$1001,$Z100))</f>
        <v/>
      </c>
      <c r="D100" s="43" t="str">
        <f t="array" ref="D100">IF($Z100="","",INDEX('Dữ liệu gộp'!$C$2:$C$1001,$Z100))</f>
        <v/>
      </c>
      <c r="E100" s="47" t="str">
        <f t="array" ref="E100">IF($Z100="","",INDEX('Dữ liệu gộp'!$D$2:$D$1001,$Z100))</f>
        <v/>
      </c>
      <c r="F100" s="46" t="str">
        <f t="array" ref="F100">IF($Z100="","",INDEX('Dữ liệu gộp'!$E$2:$E$1001,$Z100))</f>
        <v/>
      </c>
      <c r="G100" s="46" t="str">
        <f t="array" ref="G100">IF($Z100="","",INDEX('Dữ liệu gộp'!$F$2:$F$1001,$Z100))</f>
        <v/>
      </c>
      <c r="H100" s="46" t="str">
        <f t="array" ref="H100">IF($Z100="","",INDEX('Dữ liệu gộp'!$H$2:$H$1001,$Z100))</f>
        <v/>
      </c>
      <c r="I100" s="43" t="str">
        <f t="array" ref="I100">IF($Z100="","",INDEX('Dữ liệu gộp'!$I$2:$I$1001,$Z100))</f>
        <v/>
      </c>
      <c r="J100" s="43" t="str">
        <f t="array" ref="J100">IF($Z100="","",INDEX('Dữ liệu gộp'!$J$2:$J$1001,$Z100))</f>
        <v/>
      </c>
      <c r="K100" s="43" t="str">
        <f t="array" ref="K100">IF($Z100="","",INDEX('Dữ liệu gộp'!$K$2:$K$1001,$Z100))</f>
        <v/>
      </c>
      <c r="Z100" s="52" t="str">
        <f>IF($C$4="","",IFERROR(MATCH(91,'Dữ liệu gộp'!$L$2:$L$1001,0),""))</f>
        <v/>
      </c>
    </row>
    <row r="101" ht="15.75" customHeight="1">
      <c r="A101" s="43" t="str">
        <f>IF(Z101="","",92)</f>
        <v/>
      </c>
      <c r="B101" s="46" t="str">
        <f t="array" ref="B101">IF($Z101="","",INDEX('Dữ liệu gộp'!$A$2:$A$1001,$Z101))</f>
        <v/>
      </c>
      <c r="C101" s="46" t="str">
        <f t="array" ref="C101">IF($Z101="","",INDEX('Dữ liệu gộp'!$B$2:$B$1001,$Z101))</f>
        <v/>
      </c>
      <c r="D101" s="43" t="str">
        <f t="array" ref="D101">IF($Z101="","",INDEX('Dữ liệu gộp'!$C$2:$C$1001,$Z101))</f>
        <v/>
      </c>
      <c r="E101" s="47" t="str">
        <f t="array" ref="E101">IF($Z101="","",INDEX('Dữ liệu gộp'!$D$2:$D$1001,$Z101))</f>
        <v/>
      </c>
      <c r="F101" s="46" t="str">
        <f t="array" ref="F101">IF($Z101="","",INDEX('Dữ liệu gộp'!$E$2:$E$1001,$Z101))</f>
        <v/>
      </c>
      <c r="G101" s="46" t="str">
        <f t="array" ref="G101">IF($Z101="","",INDEX('Dữ liệu gộp'!$F$2:$F$1001,$Z101))</f>
        <v/>
      </c>
      <c r="H101" s="46" t="str">
        <f t="array" ref="H101">IF($Z101="","",INDEX('Dữ liệu gộp'!$H$2:$H$1001,$Z101))</f>
        <v/>
      </c>
      <c r="I101" s="43" t="str">
        <f t="array" ref="I101">IF($Z101="","",INDEX('Dữ liệu gộp'!$I$2:$I$1001,$Z101))</f>
        <v/>
      </c>
      <c r="J101" s="43" t="str">
        <f t="array" ref="J101">IF($Z101="","",INDEX('Dữ liệu gộp'!$J$2:$J$1001,$Z101))</f>
        <v/>
      </c>
      <c r="K101" s="43" t="str">
        <f t="array" ref="K101">IF($Z101="","",INDEX('Dữ liệu gộp'!$K$2:$K$1001,$Z101))</f>
        <v/>
      </c>
      <c r="Z101" s="52" t="str">
        <f>IF($C$4="","",IFERROR(MATCH(92,'Dữ liệu gộp'!$L$2:$L$1001,0),""))</f>
        <v/>
      </c>
    </row>
    <row r="102" ht="15.75" customHeight="1">
      <c r="A102" s="43" t="str">
        <f>IF(Z102="","",93)</f>
        <v/>
      </c>
      <c r="B102" s="46" t="str">
        <f t="array" ref="B102">IF($Z102="","",INDEX('Dữ liệu gộp'!$A$2:$A$1001,$Z102))</f>
        <v/>
      </c>
      <c r="C102" s="46" t="str">
        <f t="array" ref="C102">IF($Z102="","",INDEX('Dữ liệu gộp'!$B$2:$B$1001,$Z102))</f>
        <v/>
      </c>
      <c r="D102" s="43" t="str">
        <f t="array" ref="D102">IF($Z102="","",INDEX('Dữ liệu gộp'!$C$2:$C$1001,$Z102))</f>
        <v/>
      </c>
      <c r="E102" s="47" t="str">
        <f t="array" ref="E102">IF($Z102="","",INDEX('Dữ liệu gộp'!$D$2:$D$1001,$Z102))</f>
        <v/>
      </c>
      <c r="F102" s="46" t="str">
        <f t="array" ref="F102">IF($Z102="","",INDEX('Dữ liệu gộp'!$E$2:$E$1001,$Z102))</f>
        <v/>
      </c>
      <c r="G102" s="46" t="str">
        <f t="array" ref="G102">IF($Z102="","",INDEX('Dữ liệu gộp'!$F$2:$F$1001,$Z102))</f>
        <v/>
      </c>
      <c r="H102" s="46" t="str">
        <f t="array" ref="H102">IF($Z102="","",INDEX('Dữ liệu gộp'!$H$2:$H$1001,$Z102))</f>
        <v/>
      </c>
      <c r="I102" s="43" t="str">
        <f t="array" ref="I102">IF($Z102="","",INDEX('Dữ liệu gộp'!$I$2:$I$1001,$Z102))</f>
        <v/>
      </c>
      <c r="J102" s="43" t="str">
        <f t="array" ref="J102">IF($Z102="","",INDEX('Dữ liệu gộp'!$J$2:$J$1001,$Z102))</f>
        <v/>
      </c>
      <c r="K102" s="43" t="str">
        <f t="array" ref="K102">IF($Z102="","",INDEX('Dữ liệu gộp'!$K$2:$K$1001,$Z102))</f>
        <v/>
      </c>
      <c r="Z102" s="52" t="str">
        <f>IF($C$4="","",IFERROR(MATCH(93,'Dữ liệu gộp'!$L$2:$L$1001,0),""))</f>
        <v/>
      </c>
    </row>
    <row r="103" ht="15.75" customHeight="1">
      <c r="A103" s="43" t="str">
        <f>IF(Z103="","",94)</f>
        <v/>
      </c>
      <c r="B103" s="46" t="str">
        <f t="array" ref="B103">IF($Z103="","",INDEX('Dữ liệu gộp'!$A$2:$A$1001,$Z103))</f>
        <v/>
      </c>
      <c r="C103" s="46" t="str">
        <f t="array" ref="C103">IF($Z103="","",INDEX('Dữ liệu gộp'!$B$2:$B$1001,$Z103))</f>
        <v/>
      </c>
      <c r="D103" s="43" t="str">
        <f t="array" ref="D103">IF($Z103="","",INDEX('Dữ liệu gộp'!$C$2:$C$1001,$Z103))</f>
        <v/>
      </c>
      <c r="E103" s="47" t="str">
        <f t="array" ref="E103">IF($Z103="","",INDEX('Dữ liệu gộp'!$D$2:$D$1001,$Z103))</f>
        <v/>
      </c>
      <c r="F103" s="46" t="str">
        <f t="array" ref="F103">IF($Z103="","",INDEX('Dữ liệu gộp'!$E$2:$E$1001,$Z103))</f>
        <v/>
      </c>
      <c r="G103" s="46" t="str">
        <f t="array" ref="G103">IF($Z103="","",INDEX('Dữ liệu gộp'!$F$2:$F$1001,$Z103))</f>
        <v/>
      </c>
      <c r="H103" s="46" t="str">
        <f t="array" ref="H103">IF($Z103="","",INDEX('Dữ liệu gộp'!$H$2:$H$1001,$Z103))</f>
        <v/>
      </c>
      <c r="I103" s="43" t="str">
        <f t="array" ref="I103">IF($Z103="","",INDEX('Dữ liệu gộp'!$I$2:$I$1001,$Z103))</f>
        <v/>
      </c>
      <c r="J103" s="43" t="str">
        <f t="array" ref="J103">IF($Z103="","",INDEX('Dữ liệu gộp'!$J$2:$J$1001,$Z103))</f>
        <v/>
      </c>
      <c r="K103" s="43" t="str">
        <f t="array" ref="K103">IF($Z103="","",INDEX('Dữ liệu gộp'!$K$2:$K$1001,$Z103))</f>
        <v/>
      </c>
      <c r="Z103" s="52" t="str">
        <f>IF($C$4="","",IFERROR(MATCH(94,'Dữ liệu gộp'!$L$2:$L$1001,0),""))</f>
        <v/>
      </c>
    </row>
    <row r="104" ht="15.75" customHeight="1">
      <c r="A104" s="43" t="str">
        <f>IF(Z104="","",95)</f>
        <v/>
      </c>
      <c r="B104" s="46" t="str">
        <f t="array" ref="B104">IF($Z104="","",INDEX('Dữ liệu gộp'!$A$2:$A$1001,$Z104))</f>
        <v/>
      </c>
      <c r="C104" s="46" t="str">
        <f t="array" ref="C104">IF($Z104="","",INDEX('Dữ liệu gộp'!$B$2:$B$1001,$Z104))</f>
        <v/>
      </c>
      <c r="D104" s="43" t="str">
        <f t="array" ref="D104">IF($Z104="","",INDEX('Dữ liệu gộp'!$C$2:$C$1001,$Z104))</f>
        <v/>
      </c>
      <c r="E104" s="47" t="str">
        <f t="array" ref="E104">IF($Z104="","",INDEX('Dữ liệu gộp'!$D$2:$D$1001,$Z104))</f>
        <v/>
      </c>
      <c r="F104" s="46" t="str">
        <f t="array" ref="F104">IF($Z104="","",INDEX('Dữ liệu gộp'!$E$2:$E$1001,$Z104))</f>
        <v/>
      </c>
      <c r="G104" s="46" t="str">
        <f t="array" ref="G104">IF($Z104="","",INDEX('Dữ liệu gộp'!$F$2:$F$1001,$Z104))</f>
        <v/>
      </c>
      <c r="H104" s="46" t="str">
        <f t="array" ref="H104">IF($Z104="","",INDEX('Dữ liệu gộp'!$H$2:$H$1001,$Z104))</f>
        <v/>
      </c>
      <c r="I104" s="43" t="str">
        <f t="array" ref="I104">IF($Z104="","",INDEX('Dữ liệu gộp'!$I$2:$I$1001,$Z104))</f>
        <v/>
      </c>
      <c r="J104" s="43" t="str">
        <f t="array" ref="J104">IF($Z104="","",INDEX('Dữ liệu gộp'!$J$2:$J$1001,$Z104))</f>
        <v/>
      </c>
      <c r="K104" s="43" t="str">
        <f t="array" ref="K104">IF($Z104="","",INDEX('Dữ liệu gộp'!$K$2:$K$1001,$Z104))</f>
        <v/>
      </c>
      <c r="Z104" s="52" t="str">
        <f>IF($C$4="","",IFERROR(MATCH(95,'Dữ liệu gộp'!$L$2:$L$1001,0),""))</f>
        <v/>
      </c>
    </row>
    <row r="105" ht="15.75" customHeight="1">
      <c r="A105" s="43" t="str">
        <f>IF(Z105="","",96)</f>
        <v/>
      </c>
      <c r="B105" s="46" t="str">
        <f t="array" ref="B105">IF($Z105="","",INDEX('Dữ liệu gộp'!$A$2:$A$1001,$Z105))</f>
        <v/>
      </c>
      <c r="C105" s="46" t="str">
        <f t="array" ref="C105">IF($Z105="","",INDEX('Dữ liệu gộp'!$B$2:$B$1001,$Z105))</f>
        <v/>
      </c>
      <c r="D105" s="43" t="str">
        <f t="array" ref="D105">IF($Z105="","",INDEX('Dữ liệu gộp'!$C$2:$C$1001,$Z105))</f>
        <v/>
      </c>
      <c r="E105" s="47" t="str">
        <f t="array" ref="E105">IF($Z105="","",INDEX('Dữ liệu gộp'!$D$2:$D$1001,$Z105))</f>
        <v/>
      </c>
      <c r="F105" s="46" t="str">
        <f t="array" ref="F105">IF($Z105="","",INDEX('Dữ liệu gộp'!$E$2:$E$1001,$Z105))</f>
        <v/>
      </c>
      <c r="G105" s="46" t="str">
        <f t="array" ref="G105">IF($Z105="","",INDEX('Dữ liệu gộp'!$F$2:$F$1001,$Z105))</f>
        <v/>
      </c>
      <c r="H105" s="46" t="str">
        <f t="array" ref="H105">IF($Z105="","",INDEX('Dữ liệu gộp'!$H$2:$H$1001,$Z105))</f>
        <v/>
      </c>
      <c r="I105" s="43" t="str">
        <f t="array" ref="I105">IF($Z105="","",INDEX('Dữ liệu gộp'!$I$2:$I$1001,$Z105))</f>
        <v/>
      </c>
      <c r="J105" s="43" t="str">
        <f t="array" ref="J105">IF($Z105="","",INDEX('Dữ liệu gộp'!$J$2:$J$1001,$Z105))</f>
        <v/>
      </c>
      <c r="K105" s="43" t="str">
        <f t="array" ref="K105">IF($Z105="","",INDEX('Dữ liệu gộp'!$K$2:$K$1001,$Z105))</f>
        <v/>
      </c>
      <c r="Z105" s="52" t="str">
        <f>IF($C$4="","",IFERROR(MATCH(96,'Dữ liệu gộp'!$L$2:$L$1001,0),""))</f>
        <v/>
      </c>
    </row>
    <row r="106" ht="15.75" customHeight="1">
      <c r="A106" s="43" t="str">
        <f>IF(Z106="","",97)</f>
        <v/>
      </c>
      <c r="B106" s="46" t="str">
        <f t="array" ref="B106">IF($Z106="","",INDEX('Dữ liệu gộp'!$A$2:$A$1001,$Z106))</f>
        <v/>
      </c>
      <c r="C106" s="46" t="str">
        <f t="array" ref="C106">IF($Z106="","",INDEX('Dữ liệu gộp'!$B$2:$B$1001,$Z106))</f>
        <v/>
      </c>
      <c r="D106" s="43" t="str">
        <f t="array" ref="D106">IF($Z106="","",INDEX('Dữ liệu gộp'!$C$2:$C$1001,$Z106))</f>
        <v/>
      </c>
      <c r="E106" s="47" t="str">
        <f t="array" ref="E106">IF($Z106="","",INDEX('Dữ liệu gộp'!$D$2:$D$1001,$Z106))</f>
        <v/>
      </c>
      <c r="F106" s="46" t="str">
        <f t="array" ref="F106">IF($Z106="","",INDEX('Dữ liệu gộp'!$E$2:$E$1001,$Z106))</f>
        <v/>
      </c>
      <c r="G106" s="46" t="str">
        <f t="array" ref="G106">IF($Z106="","",INDEX('Dữ liệu gộp'!$F$2:$F$1001,$Z106))</f>
        <v/>
      </c>
      <c r="H106" s="46" t="str">
        <f t="array" ref="H106">IF($Z106="","",INDEX('Dữ liệu gộp'!$H$2:$H$1001,$Z106))</f>
        <v/>
      </c>
      <c r="I106" s="43" t="str">
        <f t="array" ref="I106">IF($Z106="","",INDEX('Dữ liệu gộp'!$I$2:$I$1001,$Z106))</f>
        <v/>
      </c>
      <c r="J106" s="43" t="str">
        <f t="array" ref="J106">IF($Z106="","",INDEX('Dữ liệu gộp'!$J$2:$J$1001,$Z106))</f>
        <v/>
      </c>
      <c r="K106" s="43" t="str">
        <f t="array" ref="K106">IF($Z106="","",INDEX('Dữ liệu gộp'!$K$2:$K$1001,$Z106))</f>
        <v/>
      </c>
      <c r="Z106" s="52" t="str">
        <f>IF($C$4="","",IFERROR(MATCH(97,'Dữ liệu gộp'!$L$2:$L$1001,0),""))</f>
        <v/>
      </c>
    </row>
    <row r="107" ht="15.75" customHeight="1">
      <c r="A107" s="43" t="str">
        <f>IF(Z107="","",98)</f>
        <v/>
      </c>
      <c r="B107" s="46" t="str">
        <f t="array" ref="B107">IF($Z107="","",INDEX('Dữ liệu gộp'!$A$2:$A$1001,$Z107))</f>
        <v/>
      </c>
      <c r="C107" s="46" t="str">
        <f t="array" ref="C107">IF($Z107="","",INDEX('Dữ liệu gộp'!$B$2:$B$1001,$Z107))</f>
        <v/>
      </c>
      <c r="D107" s="43" t="str">
        <f t="array" ref="D107">IF($Z107="","",INDEX('Dữ liệu gộp'!$C$2:$C$1001,$Z107))</f>
        <v/>
      </c>
      <c r="E107" s="47" t="str">
        <f t="array" ref="E107">IF($Z107="","",INDEX('Dữ liệu gộp'!$D$2:$D$1001,$Z107))</f>
        <v/>
      </c>
      <c r="F107" s="46" t="str">
        <f t="array" ref="F107">IF($Z107="","",INDEX('Dữ liệu gộp'!$E$2:$E$1001,$Z107))</f>
        <v/>
      </c>
      <c r="G107" s="46" t="str">
        <f t="array" ref="G107">IF($Z107="","",INDEX('Dữ liệu gộp'!$F$2:$F$1001,$Z107))</f>
        <v/>
      </c>
      <c r="H107" s="46" t="str">
        <f t="array" ref="H107">IF($Z107="","",INDEX('Dữ liệu gộp'!$H$2:$H$1001,$Z107))</f>
        <v/>
      </c>
      <c r="I107" s="43" t="str">
        <f t="array" ref="I107">IF($Z107="","",INDEX('Dữ liệu gộp'!$I$2:$I$1001,$Z107))</f>
        <v/>
      </c>
      <c r="J107" s="43" t="str">
        <f t="array" ref="J107">IF($Z107="","",INDEX('Dữ liệu gộp'!$J$2:$J$1001,$Z107))</f>
        <v/>
      </c>
      <c r="K107" s="43" t="str">
        <f t="array" ref="K107">IF($Z107="","",INDEX('Dữ liệu gộp'!$K$2:$K$1001,$Z107))</f>
        <v/>
      </c>
      <c r="Z107" s="52" t="str">
        <f>IF($C$4="","",IFERROR(MATCH(98,'Dữ liệu gộp'!$L$2:$L$1001,0),""))</f>
        <v/>
      </c>
    </row>
    <row r="108" ht="15.75" customHeight="1">
      <c r="A108" s="43" t="str">
        <f>IF(Z108="","",99)</f>
        <v/>
      </c>
      <c r="B108" s="46" t="str">
        <f t="array" ref="B108">IF($Z108="","",INDEX('Dữ liệu gộp'!$A$2:$A$1001,$Z108))</f>
        <v/>
      </c>
      <c r="C108" s="46" t="str">
        <f t="array" ref="C108">IF($Z108="","",INDEX('Dữ liệu gộp'!$B$2:$B$1001,$Z108))</f>
        <v/>
      </c>
      <c r="D108" s="43" t="str">
        <f t="array" ref="D108">IF($Z108="","",INDEX('Dữ liệu gộp'!$C$2:$C$1001,$Z108))</f>
        <v/>
      </c>
      <c r="E108" s="47" t="str">
        <f t="array" ref="E108">IF($Z108="","",INDEX('Dữ liệu gộp'!$D$2:$D$1001,$Z108))</f>
        <v/>
      </c>
      <c r="F108" s="46" t="str">
        <f t="array" ref="F108">IF($Z108="","",INDEX('Dữ liệu gộp'!$E$2:$E$1001,$Z108))</f>
        <v/>
      </c>
      <c r="G108" s="46" t="str">
        <f t="array" ref="G108">IF($Z108="","",INDEX('Dữ liệu gộp'!$F$2:$F$1001,$Z108))</f>
        <v/>
      </c>
      <c r="H108" s="46" t="str">
        <f t="array" ref="H108">IF($Z108="","",INDEX('Dữ liệu gộp'!$H$2:$H$1001,$Z108))</f>
        <v/>
      </c>
      <c r="I108" s="43" t="str">
        <f t="array" ref="I108">IF($Z108="","",INDEX('Dữ liệu gộp'!$I$2:$I$1001,$Z108))</f>
        <v/>
      </c>
      <c r="J108" s="43" t="str">
        <f t="array" ref="J108">IF($Z108="","",INDEX('Dữ liệu gộp'!$J$2:$J$1001,$Z108))</f>
        <v/>
      </c>
      <c r="K108" s="43" t="str">
        <f t="array" ref="K108">IF($Z108="","",INDEX('Dữ liệu gộp'!$K$2:$K$1001,$Z108))</f>
        <v/>
      </c>
      <c r="Z108" s="52" t="str">
        <f>IF($C$4="","",IFERROR(MATCH(99,'Dữ liệu gộp'!$L$2:$L$1001,0),""))</f>
        <v/>
      </c>
    </row>
    <row r="109" ht="15.75" customHeight="1">
      <c r="A109" s="43" t="str">
        <f>IF(Z109="","",100)</f>
        <v/>
      </c>
      <c r="B109" s="46" t="str">
        <f t="array" ref="B109">IF($Z109="","",INDEX('Dữ liệu gộp'!$A$2:$A$1001,$Z109))</f>
        <v/>
      </c>
      <c r="C109" s="46" t="str">
        <f t="array" ref="C109">IF($Z109="","",INDEX('Dữ liệu gộp'!$B$2:$B$1001,$Z109))</f>
        <v/>
      </c>
      <c r="D109" s="43" t="str">
        <f t="array" ref="D109">IF($Z109="","",INDEX('Dữ liệu gộp'!$C$2:$C$1001,$Z109))</f>
        <v/>
      </c>
      <c r="E109" s="47" t="str">
        <f t="array" ref="E109">IF($Z109="","",INDEX('Dữ liệu gộp'!$D$2:$D$1001,$Z109))</f>
        <v/>
      </c>
      <c r="F109" s="46" t="str">
        <f t="array" ref="F109">IF($Z109="","",INDEX('Dữ liệu gộp'!$E$2:$E$1001,$Z109))</f>
        <v/>
      </c>
      <c r="G109" s="46" t="str">
        <f t="array" ref="G109">IF($Z109="","",INDEX('Dữ liệu gộp'!$F$2:$F$1001,$Z109))</f>
        <v/>
      </c>
      <c r="H109" s="46" t="str">
        <f t="array" ref="H109">IF($Z109="","",INDEX('Dữ liệu gộp'!$H$2:$H$1001,$Z109))</f>
        <v/>
      </c>
      <c r="I109" s="43" t="str">
        <f t="array" ref="I109">IF($Z109="","",INDEX('Dữ liệu gộp'!$I$2:$I$1001,$Z109))</f>
        <v/>
      </c>
      <c r="J109" s="43" t="str">
        <f t="array" ref="J109">IF($Z109="","",INDEX('Dữ liệu gộp'!$J$2:$J$1001,$Z109))</f>
        <v/>
      </c>
      <c r="K109" s="43" t="str">
        <f t="array" ref="K109">IF($Z109="","",INDEX('Dữ liệu gộp'!$K$2:$K$1001,$Z109))</f>
        <v/>
      </c>
      <c r="Z109" s="52" t="str">
        <f>IF($C$4="","",IFERROR(MATCH(100,'Dữ liệu gộp'!$L$2:$L$1001,0),""))</f>
        <v/>
      </c>
    </row>
    <row r="110" ht="15.75" customHeight="1">
      <c r="A110" s="88" t="str">
        <f>IF(N($J$5)&gt;100,"Nhân viên này giữ hơn 100 tài sản – xem đầy đủ bằng bộ lọc cột Người được bàn giao ở từng tab ban.","")</f>
        <v>#REF!</v>
      </c>
    </row>
    <row r="111" ht="15.75" customHeight="1"/>
    <row r="112" ht="15.75" customHeight="1"/>
    <row r="113" ht="15.75" customHeight="1">
      <c r="A113" s="5" t="s">
        <v>618</v>
      </c>
    </row>
    <row r="114" ht="43.5" customHeight="1">
      <c r="A114" s="12" t="s">
        <v>22</v>
      </c>
      <c r="B114" s="12" t="s">
        <v>619</v>
      </c>
      <c r="C114" s="12" t="s">
        <v>101</v>
      </c>
      <c r="D114" s="12" t="s">
        <v>84</v>
      </c>
      <c r="E114" s="12" t="s">
        <v>102</v>
      </c>
      <c r="F114" s="12" t="s">
        <v>103</v>
      </c>
      <c r="G114" s="12" t="s">
        <v>104</v>
      </c>
      <c r="H114" s="12" t="s">
        <v>106</v>
      </c>
      <c r="I114" s="12" t="s">
        <v>107</v>
      </c>
      <c r="J114" s="12" t="s">
        <v>150</v>
      </c>
      <c r="K114" s="12" t="s">
        <v>620</v>
      </c>
      <c r="L114" s="39" t="s">
        <v>621</v>
      </c>
      <c r="M114" s="39" t="s">
        <v>622</v>
      </c>
    </row>
    <row r="115" ht="15.75" customHeight="1">
      <c r="A115" s="89" t="s">
        <v>54</v>
      </c>
      <c r="B115" s="90">
        <f>COUNTA(ADS!$C$6:$C$319)</f>
        <v>237</v>
      </c>
      <c r="C115" s="90">
        <f>COUNTIF(ADS!$C$6:$C$319,"Via")</f>
        <v>56</v>
      </c>
      <c r="D115" s="90">
        <f>COUNTIF(ADS!$C$6:$C$319,"Page")</f>
        <v>33</v>
      </c>
      <c r="E115" s="90">
        <f>COUNTIF(ADS!$C$6:$C$319,"Nhóm")</f>
        <v>3</v>
      </c>
      <c r="F115" s="90">
        <f>COUNTIF(ADS!$C$6:$C$319,"AI")</f>
        <v>3</v>
      </c>
      <c r="G115" s="90">
        <f>COUNTIF(ADS!$C$6:$C$319,"TKQC")</f>
        <v>128</v>
      </c>
      <c r="H115" s="90">
        <f>COUNTIF(ADS!$C$6:$C$319,"BM")</f>
        <v>0</v>
      </c>
      <c r="I115" s="90">
        <f>COUNTIF(ADS!$C$6:$C$319,"Khác")</f>
        <v>0</v>
      </c>
      <c r="J115" s="90">
        <f>COUNTIF(ADS!$R$6:$R$319,"Đã bàn giao")</f>
        <v>98</v>
      </c>
      <c r="K115" s="91">
        <f t="shared" ref="K115:K120" si="1">IF(B115=0,"-",J115/B115)</f>
        <v>0.4135021097</v>
      </c>
      <c r="L115" s="90">
        <f>COUNTIF(ADS!$I$6:$I$319,"Đã nghỉ việc")</f>
        <v>0</v>
      </c>
      <c r="M115" s="90">
        <f>COUNTIF(ADS!$I$6:$I$319,"Chưa có trong DS")</f>
        <v>0</v>
      </c>
    </row>
    <row r="116" ht="15.75" customHeight="1">
      <c r="A116" s="89" t="s">
        <v>623</v>
      </c>
      <c r="B116" s="90">
        <f>COUNTA('Biên Tập'!$C$6:$C$205)</f>
        <v>1</v>
      </c>
      <c r="C116" s="90">
        <f>COUNTIF('Biên Tập'!$C$6:$C$205,"Via")</f>
        <v>0</v>
      </c>
      <c r="D116" s="90">
        <f>COUNTIF('Biên Tập'!$C$6:$C$205,"Page")</f>
        <v>0</v>
      </c>
      <c r="E116" s="90">
        <f>COUNTIF('Biên Tập'!$C$6:$C$205,"Nhóm")</f>
        <v>0</v>
      </c>
      <c r="F116" s="90">
        <f>COUNTIF('Biên Tập'!$C$6:$C$205,"AI")</f>
        <v>1</v>
      </c>
      <c r="G116" s="90">
        <f>COUNTIF('Biên Tập'!$C$6:$C$205,"TKQC")</f>
        <v>0</v>
      </c>
      <c r="H116" s="90">
        <f>COUNTIF('Biên Tập'!$C$6:$C$205,"BM")</f>
        <v>0</v>
      </c>
      <c r="I116" s="90">
        <f>COUNTIF('Biên Tập'!$C$6:$C$205,"Khác")</f>
        <v>0</v>
      </c>
      <c r="J116" s="90">
        <f>COUNTIF('Biên Tập'!$R$6:$R$205,"Đã bàn giao")</f>
        <v>0</v>
      </c>
      <c r="K116" s="91">
        <f t="shared" si="1"/>
        <v>0</v>
      </c>
      <c r="L116" s="90">
        <f>COUNTIF('Biên Tập'!$I$6:$I$205,"Đã nghỉ việc")</f>
        <v>0</v>
      </c>
      <c r="M116" s="90">
        <f>COUNTIF('Biên Tập'!$I$6:$I$205,"Chưa có trong DS")</f>
        <v>0</v>
      </c>
    </row>
    <row r="117" ht="15.75" customHeight="1">
      <c r="A117" s="89" t="s">
        <v>624</v>
      </c>
      <c r="B117" s="90">
        <f>COUNTA('Thiết Kế'!$C$6:$C$205)</f>
        <v>18</v>
      </c>
      <c r="C117" s="90">
        <f>COUNTIF('Thiết Kế'!$C$6:$C$205,"Via")</f>
        <v>0</v>
      </c>
      <c r="D117" s="90">
        <f>COUNTIF('Thiết Kế'!$C$6:$C$205,"Page")</f>
        <v>0</v>
      </c>
      <c r="E117" s="90">
        <f>COUNTIF('Thiết Kế'!$C$6:$C$205,"Nhóm")</f>
        <v>0</v>
      </c>
      <c r="F117" s="90">
        <f>COUNTIF('Thiết Kế'!$C$6:$C$205,"AI")</f>
        <v>0</v>
      </c>
      <c r="G117" s="90">
        <f>COUNTIF('Thiết Kế'!$C$6:$C$205,"TKQC")</f>
        <v>0</v>
      </c>
      <c r="H117" s="90">
        <f>COUNTIF('Thiết Kế'!$C$6:$C$205,"BM")</f>
        <v>0</v>
      </c>
      <c r="I117" s="90">
        <f>COUNTIF('Thiết Kế'!$C$6:$C$205,"Khác")</f>
        <v>0</v>
      </c>
      <c r="J117" s="90">
        <f>COUNTIF('Thiết Kế'!$R$6:$R$205,"Đã bàn giao")</f>
        <v>0</v>
      </c>
      <c r="K117" s="91">
        <f t="shared" si="1"/>
        <v>0</v>
      </c>
      <c r="L117" s="90">
        <f>COUNTIF('Thiết Kế'!$I$6:$I$205,"Đã nghỉ việc")</f>
        <v>0</v>
      </c>
      <c r="M117" s="90">
        <f>COUNTIF('Thiết Kế'!$I$6:$I$205,"Chưa có trong DS")</f>
        <v>0</v>
      </c>
    </row>
    <row r="118" ht="15.75" customHeight="1">
      <c r="A118" s="89" t="s">
        <v>125</v>
      </c>
      <c r="B118" s="90">
        <f>COUNTA('Media Dựng'!$C$6:$C$205)</f>
        <v>20</v>
      </c>
      <c r="C118" s="90">
        <f>COUNTIF('Media Dựng'!$C$6:$C$205,"Via")</f>
        <v>0</v>
      </c>
      <c r="D118" s="90">
        <f>COUNTIF('Media Dựng'!$C$6:$C$205,"Page")</f>
        <v>0</v>
      </c>
      <c r="E118" s="90">
        <f>COUNTIF('Media Dựng'!$C$6:$C$205,"Nhóm")</f>
        <v>0</v>
      </c>
      <c r="F118" s="90">
        <f>COUNTIF('Media Dựng'!$C$6:$C$205,"AI")</f>
        <v>0</v>
      </c>
      <c r="G118" s="90">
        <f>COUNTIF('Media Dựng'!$C$6:$C$205,"TKQC")</f>
        <v>0</v>
      </c>
      <c r="H118" s="90">
        <f>COUNTIF('Media Dựng'!$C$6:$C$205,"BM")</f>
        <v>0</v>
      </c>
      <c r="I118" s="90">
        <f>COUNTIF('Media Dựng'!$C$6:$C$205,"Khác")</f>
        <v>0</v>
      </c>
      <c r="J118" s="90">
        <f>COUNTIF('Media Dựng'!$R$6:$R$205,"Đã bàn giao")</f>
        <v>0</v>
      </c>
      <c r="K118" s="91">
        <f t="shared" si="1"/>
        <v>0</v>
      </c>
      <c r="L118" s="90">
        <f>COUNTIF('Media Dựng'!$I$6:$I$205,"Đã nghỉ việc")</f>
        <v>0</v>
      </c>
      <c r="M118" s="90">
        <f>COUNTIF('Media Dựng'!$I$6:$I$205,"Chưa có trong DS")</f>
        <v>0</v>
      </c>
    </row>
    <row r="119" ht="15.75" customHeight="1">
      <c r="A119" s="89" t="s">
        <v>625</v>
      </c>
      <c r="B119" s="90">
        <f>COUNTA('PR Thương Hiệu'!$C$6:$C$205)</f>
        <v>43</v>
      </c>
      <c r="C119" s="90">
        <f>COUNTIF('PR Thương Hiệu'!$C$6:$C$205,"Via")</f>
        <v>1</v>
      </c>
      <c r="D119" s="90">
        <f>COUNTIF('PR Thương Hiệu'!$C$6:$C$205,"Page")</f>
        <v>16</v>
      </c>
      <c r="E119" s="90">
        <f>COUNTIF('PR Thương Hiệu'!$C$6:$C$205,"Nhóm")</f>
        <v>13</v>
      </c>
      <c r="F119" s="90">
        <f>COUNTIF('PR Thương Hiệu'!$C$6:$C$205,"AI")</f>
        <v>0</v>
      </c>
      <c r="G119" s="90">
        <f>COUNTIF('PR Thương Hiệu'!$C$6:$C$205,"TKQC")</f>
        <v>0</v>
      </c>
      <c r="H119" s="90">
        <f>COUNTIF('PR Thương Hiệu'!$C$6:$C$205,"BM")</f>
        <v>0</v>
      </c>
      <c r="I119" s="90">
        <f>COUNTIF('PR Thương Hiệu'!$C$6:$C$205,"Khác")</f>
        <v>0</v>
      </c>
      <c r="J119" s="90">
        <f>COUNTIF('PR Thương Hiệu'!$R$6:$R$205,"Đã bàn giao")</f>
        <v>0</v>
      </c>
      <c r="K119" s="91">
        <f t="shared" si="1"/>
        <v>0</v>
      </c>
      <c r="L119" s="90">
        <f>COUNTIF('PR Thương Hiệu'!$I$6:$I$205,"Đã nghỉ việc")</f>
        <v>0</v>
      </c>
      <c r="M119" s="90">
        <f>COUNTIF('PR Thương Hiệu'!$I$6:$I$205,"Chưa có trong DS")</f>
        <v>0</v>
      </c>
    </row>
    <row r="120" ht="15.75" customHeight="1">
      <c r="A120" s="92" t="s">
        <v>626</v>
      </c>
      <c r="B120" s="93">
        <f t="shared" ref="B120:J120" si="2">SUM(B115:B119)</f>
        <v>319</v>
      </c>
      <c r="C120" s="93">
        <f t="shared" si="2"/>
        <v>57</v>
      </c>
      <c r="D120" s="93">
        <f t="shared" si="2"/>
        <v>49</v>
      </c>
      <c r="E120" s="93">
        <f t="shared" si="2"/>
        <v>16</v>
      </c>
      <c r="F120" s="93">
        <f t="shared" si="2"/>
        <v>4</v>
      </c>
      <c r="G120" s="93">
        <f t="shared" si="2"/>
        <v>128</v>
      </c>
      <c r="H120" s="93">
        <f t="shared" si="2"/>
        <v>0</v>
      </c>
      <c r="I120" s="93">
        <f t="shared" si="2"/>
        <v>0</v>
      </c>
      <c r="J120" s="93">
        <f t="shared" si="2"/>
        <v>98</v>
      </c>
      <c r="K120" s="94">
        <f t="shared" si="1"/>
        <v>0.3072100313</v>
      </c>
      <c r="L120" s="93">
        <f t="shared" ref="L120:M120" si="3">SUM(L115:L119)</f>
        <v>0</v>
      </c>
      <c r="M120" s="93">
        <f t="shared" si="3"/>
        <v>0</v>
      </c>
    </row>
    <row r="121" ht="15.75" customHeight="1"/>
    <row r="122" ht="15.75" customHeight="1"/>
    <row r="123" ht="15.75" customHeight="1">
      <c r="A123" s="5" t="s">
        <v>627</v>
      </c>
      <c r="F123" s="95" t="s">
        <v>113</v>
      </c>
    </row>
    <row r="124" ht="43.5" customHeight="1">
      <c r="A124" s="12" t="s">
        <v>22</v>
      </c>
      <c r="B124" s="12" t="s">
        <v>628</v>
      </c>
      <c r="C124" s="12" t="s">
        <v>629</v>
      </c>
      <c r="D124" s="12" t="s">
        <v>630</v>
      </c>
      <c r="E124" s="12" t="s">
        <v>631</v>
      </c>
      <c r="F124" s="12" t="s">
        <v>632</v>
      </c>
      <c r="G124" s="12" t="s">
        <v>633</v>
      </c>
      <c r="H124" s="12" t="s">
        <v>634</v>
      </c>
    </row>
    <row r="125" ht="15.75" customHeight="1">
      <c r="A125" s="89" t="s">
        <v>54</v>
      </c>
      <c r="B125" s="90">
        <f t="array" ref="B125">COUNTIF(INDEX(ADS!$T$6:$AE$319,0,MATCH($F$123,ADS!$T$5:$AE$5,0)),"Hoạt động")</f>
        <v>0</v>
      </c>
      <c r="C125" s="90">
        <f t="array" ref="C125">COUNTIF(INDEX(ADS!$T$6:$AE$319,0,MATCH($F$123,ADS!$T$5:$AE$5,0)),"Hạn chế")</f>
        <v>0</v>
      </c>
      <c r="D125" s="90">
        <f t="array" ref="D125">COUNTIF(INDEX(ADS!$T$6:$AE$319,0,MATCH($F$123,ADS!$T$5:$AE$5,0)),"Checkpoint")</f>
        <v>0</v>
      </c>
      <c r="E125" s="90">
        <f t="array" ref="E125">COUNTIF(INDEX(ADS!$T$6:$AE$319,0,MATCH($F$123,ADS!$T$5:$AE$5,0)),"Die / Mất")</f>
        <v>0</v>
      </c>
      <c r="F125" s="90">
        <f t="array" ref="F125">COUNTIF(INDEX(ADS!$T$6:$AE$319,0,MATCH($F$123,ADS!$T$5:$AE$5,0)),"Đã thu hồi")</f>
        <v>0</v>
      </c>
      <c r="G125" s="90">
        <f t="array" ref="G125">COUNTIF(INDEX(ADS!$T$6:$AE$319,0,MATCH($F$123,ADS!$T$5:$AE$5,0)),"Ngừng dùng")</f>
        <v>0</v>
      </c>
      <c r="H125" s="90">
        <f t="shared" ref="H125:H129" si="4">B115-SUM(B125:G125)</f>
        <v>237</v>
      </c>
    </row>
    <row r="126" ht="15.75" customHeight="1">
      <c r="A126" s="89" t="s">
        <v>623</v>
      </c>
      <c r="B126" s="90">
        <f t="array" ref="B126">COUNTIF(INDEX('Biên Tập'!$T$6:$AE$205,0,MATCH($F$123,'Biên Tập'!$T$5:$AE$5,0)),"Hoạt động")</f>
        <v>0</v>
      </c>
      <c r="C126" s="90">
        <f t="array" ref="C126">COUNTIF(INDEX('Biên Tập'!$T$6:$AE$205,0,MATCH($F$123,'Biên Tập'!$T$5:$AE$5,0)),"Hạn chế")</f>
        <v>0</v>
      </c>
      <c r="D126" s="90">
        <f t="array" ref="D126">COUNTIF(INDEX('Biên Tập'!$T$6:$AE$205,0,MATCH($F$123,'Biên Tập'!$T$5:$AE$5,0)),"Checkpoint")</f>
        <v>0</v>
      </c>
      <c r="E126" s="90">
        <f t="array" ref="E126">COUNTIF(INDEX('Biên Tập'!$T$6:$AE$205,0,MATCH($F$123,'Biên Tập'!$T$5:$AE$5,0)),"Die / Mất")</f>
        <v>0</v>
      </c>
      <c r="F126" s="90">
        <f t="array" ref="F126">COUNTIF(INDEX('Biên Tập'!$T$6:$AE$205,0,MATCH($F$123,'Biên Tập'!$T$5:$AE$5,0)),"Đã thu hồi")</f>
        <v>0</v>
      </c>
      <c r="G126" s="90">
        <f t="array" ref="G126">COUNTIF(INDEX('Biên Tập'!$T$6:$AE$205,0,MATCH($F$123,'Biên Tập'!$T$5:$AE$5,0)),"Ngừng dùng")</f>
        <v>0</v>
      </c>
      <c r="H126" s="90">
        <f t="shared" si="4"/>
        <v>1</v>
      </c>
    </row>
    <row r="127" ht="15.75" customHeight="1">
      <c r="A127" s="89" t="s">
        <v>624</v>
      </c>
      <c r="B127" s="90">
        <f t="array" ref="B127">COUNTIF(INDEX('Thiết Kế'!$T$6:$AE$205,0,MATCH($F$123,'Thiết Kế'!$T$5:$AE$5,0)),"Hoạt động")</f>
        <v>0</v>
      </c>
      <c r="C127" s="90">
        <f t="array" ref="C127">COUNTIF(INDEX('Thiết Kế'!$T$6:$AE$205,0,MATCH($F$123,'Thiết Kế'!$T$5:$AE$5,0)),"Hạn chế")</f>
        <v>0</v>
      </c>
      <c r="D127" s="90">
        <f t="array" ref="D127">COUNTIF(INDEX('Thiết Kế'!$T$6:$AE$205,0,MATCH($F$123,'Thiết Kế'!$T$5:$AE$5,0)),"Checkpoint")</f>
        <v>0</v>
      </c>
      <c r="E127" s="90">
        <f t="array" ref="E127">COUNTIF(INDEX('Thiết Kế'!$T$6:$AE$205,0,MATCH($F$123,'Thiết Kế'!$T$5:$AE$5,0)),"Die / Mất")</f>
        <v>0</v>
      </c>
      <c r="F127" s="90">
        <f t="array" ref="F127">COUNTIF(INDEX('Thiết Kế'!$T$6:$AE$205,0,MATCH($F$123,'Thiết Kế'!$T$5:$AE$5,0)),"Đã thu hồi")</f>
        <v>0</v>
      </c>
      <c r="G127" s="90">
        <f t="array" ref="G127">COUNTIF(INDEX('Thiết Kế'!$T$6:$AE$205,0,MATCH($F$123,'Thiết Kế'!$T$5:$AE$5,0)),"Ngừng dùng")</f>
        <v>0</v>
      </c>
      <c r="H127" s="90">
        <f t="shared" si="4"/>
        <v>18</v>
      </c>
    </row>
    <row r="128" ht="15.75" customHeight="1">
      <c r="A128" s="89" t="s">
        <v>125</v>
      </c>
      <c r="B128" s="90">
        <f t="array" ref="B128">COUNTIF(INDEX('Media Dựng'!$T$6:$AE$205,0,MATCH($F$123,'Media Dựng'!$T$5:$AE$5,0)),"Hoạt động")</f>
        <v>0</v>
      </c>
      <c r="C128" s="90">
        <f t="array" ref="C128">COUNTIF(INDEX('Media Dựng'!$T$6:$AE$205,0,MATCH($F$123,'Media Dựng'!$T$5:$AE$5,0)),"Hạn chế")</f>
        <v>0</v>
      </c>
      <c r="D128" s="90">
        <f t="array" ref="D128">COUNTIF(INDEX('Media Dựng'!$T$6:$AE$205,0,MATCH($F$123,'Media Dựng'!$T$5:$AE$5,0)),"Checkpoint")</f>
        <v>0</v>
      </c>
      <c r="E128" s="90">
        <f t="array" ref="E128">COUNTIF(INDEX('Media Dựng'!$T$6:$AE$205,0,MATCH($F$123,'Media Dựng'!$T$5:$AE$5,0)),"Die / Mất")</f>
        <v>0</v>
      </c>
      <c r="F128" s="90">
        <f t="array" ref="F128">COUNTIF(INDEX('Media Dựng'!$T$6:$AE$205,0,MATCH($F$123,'Media Dựng'!$T$5:$AE$5,0)),"Đã thu hồi")</f>
        <v>0</v>
      </c>
      <c r="G128" s="90">
        <f t="array" ref="G128">COUNTIF(INDEX('Media Dựng'!$T$6:$AE$205,0,MATCH($F$123,'Media Dựng'!$T$5:$AE$5,0)),"Ngừng dùng")</f>
        <v>0</v>
      </c>
      <c r="H128" s="90">
        <f t="shared" si="4"/>
        <v>20</v>
      </c>
    </row>
    <row r="129" ht="15.75" customHeight="1">
      <c r="A129" s="89" t="s">
        <v>625</v>
      </c>
      <c r="B129" s="90">
        <f t="array" ref="B129">COUNTIF(INDEX('PR Thương Hiệu'!$T$6:$AE$205,0,MATCH($F$123,'PR Thương Hiệu'!$T$5:$AE$5,0)),"Hoạt động")</f>
        <v>0</v>
      </c>
      <c r="C129" s="90">
        <f t="array" ref="C129">COUNTIF(INDEX('PR Thương Hiệu'!$T$6:$AE$205,0,MATCH($F$123,'PR Thương Hiệu'!$T$5:$AE$5,0)),"Hạn chế")</f>
        <v>0</v>
      </c>
      <c r="D129" s="90">
        <f t="array" ref="D129">COUNTIF(INDEX('PR Thương Hiệu'!$T$6:$AE$205,0,MATCH($F$123,'PR Thương Hiệu'!$T$5:$AE$5,0)),"Checkpoint")</f>
        <v>0</v>
      </c>
      <c r="E129" s="90">
        <f t="array" ref="E129">COUNTIF(INDEX('PR Thương Hiệu'!$T$6:$AE$205,0,MATCH($F$123,'PR Thương Hiệu'!$T$5:$AE$5,0)),"Die / Mất")</f>
        <v>0</v>
      </c>
      <c r="F129" s="90">
        <f t="array" ref="F129">COUNTIF(INDEX('PR Thương Hiệu'!$T$6:$AE$205,0,MATCH($F$123,'PR Thương Hiệu'!$T$5:$AE$5,0)),"Đã thu hồi")</f>
        <v>0</v>
      </c>
      <c r="G129" s="90">
        <f t="array" ref="G129">COUNTIF(INDEX('PR Thương Hiệu'!$T$6:$AE$205,0,MATCH($F$123,'PR Thương Hiệu'!$T$5:$AE$5,0)),"Ngừng dùng")</f>
        <v>0</v>
      </c>
      <c r="H129" s="90">
        <f t="shared" si="4"/>
        <v>43</v>
      </c>
    </row>
    <row r="130" ht="15.75" customHeight="1">
      <c r="A130" s="92" t="s">
        <v>626</v>
      </c>
      <c r="B130" s="93">
        <f t="shared" ref="B130:H130" si="5">SUM(B125:B129)</f>
        <v>0</v>
      </c>
      <c r="C130" s="93">
        <f t="shared" si="5"/>
        <v>0</v>
      </c>
      <c r="D130" s="93">
        <f t="shared" si="5"/>
        <v>0</v>
      </c>
      <c r="E130" s="93">
        <f t="shared" si="5"/>
        <v>0</v>
      </c>
      <c r="F130" s="93">
        <f t="shared" si="5"/>
        <v>0</v>
      </c>
      <c r="G130" s="93">
        <f t="shared" si="5"/>
        <v>0</v>
      </c>
      <c r="H130" s="93">
        <f t="shared" si="5"/>
        <v>319</v>
      </c>
    </row>
    <row r="131" ht="15.75" customHeight="1"/>
    <row r="132" ht="15.75" customHeight="1"/>
    <row r="133" ht="15.75" customHeight="1">
      <c r="A133" s="5" t="s">
        <v>636</v>
      </c>
    </row>
    <row r="134" ht="43.5" customHeight="1">
      <c r="A134" s="12" t="s">
        <v>22</v>
      </c>
      <c r="B134" s="12" t="s">
        <v>637</v>
      </c>
      <c r="C134" s="12" t="s">
        <v>58</v>
      </c>
      <c r="D134" s="12" t="s">
        <v>147</v>
      </c>
      <c r="E134" s="12" t="s">
        <v>638</v>
      </c>
      <c r="F134" s="12" t="s">
        <v>639</v>
      </c>
      <c r="G134" s="12" t="s">
        <v>640</v>
      </c>
      <c r="H134" s="39" t="s">
        <v>641</v>
      </c>
    </row>
    <row r="135" ht="15.75" customHeight="1">
      <c r="A135" s="89" t="s">
        <v>54</v>
      </c>
      <c r="B135" s="90">
        <f>COUNTIF('Người sử dụng'!$D$5:$D$140,"ADS")</f>
        <v>14</v>
      </c>
      <c r="C135" s="90">
        <f>COUNTIFS('Người sử dụng'!$D$5:$D$140,"ADS",'Người sử dụng'!$H$5:$H$140,"Đang làm")</f>
        <v>13</v>
      </c>
      <c r="D135" s="90">
        <f>COUNTIFS('Người sử dụng'!$D$5:$D$140,"ADS",'Người sử dụng'!$H$5:$H$140,"Thử việc")</f>
        <v>1</v>
      </c>
      <c r="E135" s="90">
        <f>COUNTIFS('Người sử dụng'!$D$5:$D$140,"ADS",'Người sử dụng'!$H$5:$H$140,"Tạm nghỉ")</f>
        <v>0</v>
      </c>
      <c r="F135" s="90">
        <f>COUNTIFS('Người sử dụng'!$D$5:$D$140,"ADS",'Người sử dụng'!$H$5:$H$140,"Chuyển ban")</f>
        <v>0</v>
      </c>
      <c r="G135" s="90">
        <f>COUNTIFS('Người sử dụng'!$D$5:$D$140,"ADS",'Người sử dụng'!$H$5:$H$140,"Đã nghỉ việc")</f>
        <v>0</v>
      </c>
      <c r="H135" s="90">
        <f>COUNTIFS('Người sử dụng'!$D$5:$D$140,"ADS",'Người sử dụng'!$H$5:$H$140,"Đã nghỉ việc",'Người sử dụng'!$K$5:$K$140,"&gt;0")+COUNTIFS('Người sử dụng'!$D$5:$D$140,"ADS",'Người sử dụng'!$H$5:$H$140,"Chuyển ban",'Người sử dụng'!$K$5:$K$140,"&gt;0")</f>
        <v>0</v>
      </c>
    </row>
    <row r="136" ht="15.75" customHeight="1">
      <c r="A136" s="89" t="s">
        <v>623</v>
      </c>
      <c r="B136" s="90">
        <f>COUNTIF('Người sử dụng'!$D$5:$D$140,"Biên Tập")</f>
        <v>0</v>
      </c>
      <c r="C136" s="90">
        <f>COUNTIFS('Người sử dụng'!$D$5:$D$140,"Biên Tập",'Người sử dụng'!$H$5:$H$140,"Đang làm")</f>
        <v>0</v>
      </c>
      <c r="D136" s="90">
        <f>COUNTIFS('Người sử dụng'!$D$5:$D$140,"Biên Tập",'Người sử dụng'!$H$5:$H$140,"Thử việc")</f>
        <v>0</v>
      </c>
      <c r="E136" s="90">
        <f>COUNTIFS('Người sử dụng'!$D$5:$D$140,"Biên Tập",'Người sử dụng'!$H$5:$H$140,"Tạm nghỉ")</f>
        <v>0</v>
      </c>
      <c r="F136" s="90">
        <f>COUNTIFS('Người sử dụng'!$D$5:$D$140,"Biên Tập",'Người sử dụng'!$H$5:$H$140,"Chuyển ban")</f>
        <v>0</v>
      </c>
      <c r="G136" s="90">
        <f>COUNTIFS('Người sử dụng'!$D$5:$D$140,"Biên Tập",'Người sử dụng'!$H$5:$H$140,"Đã nghỉ việc")</f>
        <v>0</v>
      </c>
      <c r="H136" s="90">
        <f>COUNTIFS('Người sử dụng'!$D$5:$D$140,"Biên Tập",'Người sử dụng'!$H$5:$H$140,"Đã nghỉ việc",'Người sử dụng'!$K$5:$K$140,"&gt;0")+COUNTIFS('Người sử dụng'!$D$5:$D$140,"Biên Tập",'Người sử dụng'!$H$5:$H$140,"Chuyển ban",'Người sử dụng'!$K$5:$K$140,"&gt;0")</f>
        <v>0</v>
      </c>
    </row>
    <row r="137" ht="15.75" customHeight="1">
      <c r="A137" s="89" t="s">
        <v>624</v>
      </c>
      <c r="B137" s="90">
        <f>COUNTIF('Người sử dụng'!$D$5:$D$140,"Thiết Kế")</f>
        <v>0</v>
      </c>
      <c r="C137" s="90">
        <f>COUNTIFS('Người sử dụng'!$D$5:$D$140,"Thiết Kế",'Người sử dụng'!$H$5:$H$140,"Đang làm")</f>
        <v>0</v>
      </c>
      <c r="D137" s="90">
        <f>COUNTIFS('Người sử dụng'!$D$5:$D$140,"Thiết Kế",'Người sử dụng'!$H$5:$H$140,"Thử việc")</f>
        <v>0</v>
      </c>
      <c r="E137" s="90">
        <f>COUNTIFS('Người sử dụng'!$D$5:$D$140,"Thiết Kế",'Người sử dụng'!$H$5:$H$140,"Tạm nghỉ")</f>
        <v>0</v>
      </c>
      <c r="F137" s="90">
        <f>COUNTIFS('Người sử dụng'!$D$5:$D$140,"Thiết Kế",'Người sử dụng'!$H$5:$H$140,"Chuyển ban")</f>
        <v>0</v>
      </c>
      <c r="G137" s="90">
        <f>COUNTIFS('Người sử dụng'!$D$5:$D$140,"Thiết Kế",'Người sử dụng'!$H$5:$H$140,"Đã nghỉ việc")</f>
        <v>0</v>
      </c>
      <c r="H137" s="90">
        <f>COUNTIFS('Người sử dụng'!$D$5:$D$140,"Thiết Kế",'Người sử dụng'!$H$5:$H$140,"Đã nghỉ việc",'Người sử dụng'!$K$5:$K$140,"&gt;0")+COUNTIFS('Người sử dụng'!$D$5:$D$140,"Thiết Kế",'Người sử dụng'!$H$5:$H$140,"Chuyển ban",'Người sử dụng'!$K$5:$K$140,"&gt;0")</f>
        <v>0</v>
      </c>
    </row>
    <row r="138" ht="15.75" customHeight="1">
      <c r="A138" s="89" t="s">
        <v>125</v>
      </c>
      <c r="B138" s="90">
        <f>COUNTIF('Người sử dụng'!$D$5:$D$140,"Media Dựng")</f>
        <v>1</v>
      </c>
      <c r="C138" s="90">
        <f>COUNTIFS('Người sử dụng'!$D$5:$D$140,"Media Dựng",'Người sử dụng'!$H$5:$H$140,"Đang làm")</f>
        <v>1</v>
      </c>
      <c r="D138" s="90">
        <f>COUNTIFS('Người sử dụng'!$D$5:$D$140,"Media Dựng",'Người sử dụng'!$H$5:$H$140,"Thử việc")</f>
        <v>0</v>
      </c>
      <c r="E138" s="90">
        <f>COUNTIFS('Người sử dụng'!$D$5:$D$140,"Media Dựng",'Người sử dụng'!$H$5:$H$140,"Tạm nghỉ")</f>
        <v>0</v>
      </c>
      <c r="F138" s="90">
        <f>COUNTIFS('Người sử dụng'!$D$5:$D$140,"Media Dựng",'Người sử dụng'!$H$5:$H$140,"Chuyển ban")</f>
        <v>0</v>
      </c>
      <c r="G138" s="90">
        <f>COUNTIFS('Người sử dụng'!$D$5:$D$140,"Media Dựng",'Người sử dụng'!$H$5:$H$140,"Đã nghỉ việc")</f>
        <v>0</v>
      </c>
      <c r="H138" s="90">
        <f>COUNTIFS('Người sử dụng'!$D$5:$D$140,"Media Dựng",'Người sử dụng'!$H$5:$H$140,"Đã nghỉ việc",'Người sử dụng'!$K$5:$K$140,"&gt;0")+COUNTIFS('Người sử dụng'!$D$5:$D$140,"Media Dựng",'Người sử dụng'!$H$5:$H$140,"Chuyển ban",'Người sử dụng'!$K$5:$K$140,"&gt;0")</f>
        <v>0</v>
      </c>
    </row>
    <row r="139" ht="15.75" customHeight="1">
      <c r="A139" s="89" t="s">
        <v>625</v>
      </c>
      <c r="B139" s="90">
        <f>COUNTIF('Người sử dụng'!$D$5:$D$140,"PR Thương Hiệu")</f>
        <v>0</v>
      </c>
      <c r="C139" s="90">
        <f>COUNTIFS('Người sử dụng'!$D$5:$D$140,"PR Thương Hiệu",'Người sử dụng'!$H$5:$H$140,"Đang làm")</f>
        <v>0</v>
      </c>
      <c r="D139" s="90">
        <f>COUNTIFS('Người sử dụng'!$D$5:$D$140,"PR Thương Hiệu",'Người sử dụng'!$H$5:$H$140,"Thử việc")</f>
        <v>0</v>
      </c>
      <c r="E139" s="90">
        <f>COUNTIFS('Người sử dụng'!$D$5:$D$140,"PR Thương Hiệu",'Người sử dụng'!$H$5:$H$140,"Tạm nghỉ")</f>
        <v>0</v>
      </c>
      <c r="F139" s="90">
        <f>COUNTIFS('Người sử dụng'!$D$5:$D$140,"PR Thương Hiệu",'Người sử dụng'!$H$5:$H$140,"Chuyển ban")</f>
        <v>0</v>
      </c>
      <c r="G139" s="90">
        <f>COUNTIFS('Người sử dụng'!$D$5:$D$140,"PR Thương Hiệu",'Người sử dụng'!$H$5:$H$140,"Đã nghỉ việc")</f>
        <v>0</v>
      </c>
      <c r="H139" s="90">
        <f>COUNTIFS('Người sử dụng'!$D$5:$D$140,"PR Thương Hiệu",'Người sử dụng'!$H$5:$H$140,"Đã nghỉ việc",'Người sử dụng'!$K$5:$K$140,"&gt;0")+COUNTIFS('Người sử dụng'!$D$5:$D$140,"PR Thương Hiệu",'Người sử dụng'!$H$5:$H$140,"Chuyển ban",'Người sử dụng'!$K$5:$K$140,"&gt;0")</f>
        <v>0</v>
      </c>
    </row>
    <row r="140" ht="15.75" customHeight="1">
      <c r="A140" s="92" t="s">
        <v>626</v>
      </c>
      <c r="B140" s="93">
        <f t="shared" ref="B140:H140" si="6">SUM(B135:B139)</f>
        <v>15</v>
      </c>
      <c r="C140" s="93">
        <f t="shared" si="6"/>
        <v>14</v>
      </c>
      <c r="D140" s="93">
        <f t="shared" si="6"/>
        <v>1</v>
      </c>
      <c r="E140" s="93">
        <f t="shared" si="6"/>
        <v>0</v>
      </c>
      <c r="F140" s="93">
        <f t="shared" si="6"/>
        <v>0</v>
      </c>
      <c r="G140" s="93">
        <f t="shared" si="6"/>
        <v>0</v>
      </c>
      <c r="H140" s="93">
        <f t="shared" si="6"/>
        <v>0</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4:F4"/>
  </mergeCells>
  <conditionalFormatting sqref="F5">
    <cfRule type="expression" dxfId="8" priority="1">
      <formula>OR($F$5="Đã nghỉ việc",$F$5="Chuyển ban")</formula>
    </cfRule>
  </conditionalFormatting>
  <conditionalFormatting sqref="K10:K109">
    <cfRule type="expression" dxfId="3" priority="2">
      <formula>$K10="Hoạt động"</formula>
    </cfRule>
  </conditionalFormatting>
  <conditionalFormatting sqref="K10:K109">
    <cfRule type="expression" dxfId="5" priority="3">
      <formula>$K10="Hạn chế"</formula>
    </cfRule>
  </conditionalFormatting>
  <conditionalFormatting sqref="K10:K109">
    <cfRule type="expression" dxfId="6" priority="4">
      <formula>$K10="Checkpoint"</formula>
    </cfRule>
  </conditionalFormatting>
  <conditionalFormatting sqref="K10:K109">
    <cfRule type="expression" dxfId="9" priority="5">
      <formula>$K10="Die / Mất"</formula>
    </cfRule>
  </conditionalFormatting>
  <conditionalFormatting sqref="K10:K109">
    <cfRule type="expression" dxfId="7" priority="6">
      <formula>$K10="Đã thu hồi"</formula>
    </cfRule>
  </conditionalFormatting>
  <conditionalFormatting sqref="K10:K109">
    <cfRule type="expression" dxfId="7" priority="7">
      <formula>$K10="Ngừng dùng"</formula>
    </cfRule>
  </conditionalFormatting>
  <conditionalFormatting sqref="J10:J109">
    <cfRule type="expression" dxfId="3" priority="8">
      <formula>$J10="Đã bàn giao"</formula>
    </cfRule>
  </conditionalFormatting>
  <conditionalFormatting sqref="J10:J109">
    <cfRule type="expression" dxfId="5" priority="9">
      <formula>$J10="Đang bàn giao"</formula>
    </cfRule>
  </conditionalFormatting>
  <conditionalFormatting sqref="J10:J109">
    <cfRule type="expression" dxfId="9" priority="10">
      <formula>$J10="Chưa bàn giao"</formula>
    </cfRule>
  </conditionalFormatting>
  <conditionalFormatting sqref="L115:L120">
    <cfRule type="expression" dxfId="8" priority="11">
      <formula>L115&gt;0</formula>
    </cfRule>
  </conditionalFormatting>
  <conditionalFormatting sqref="M115:M120">
    <cfRule type="expression" dxfId="8" priority="12">
      <formula>M115&gt;0</formula>
    </cfRule>
  </conditionalFormatting>
  <conditionalFormatting sqref="H135:H140">
    <cfRule type="expression" dxfId="8" priority="13">
      <formula>H135&gt;0</formula>
    </cfRule>
  </conditionalFormatting>
  <dataValidations>
    <dataValidation type="list" allowBlank="1" sqref="F123">
      <formula1>"T10/2026,T11/2026,T12/2026,T01/2027,T02/2027,T03/2027,T04/2027,T05/2027,T06/2027,T07/2027,T08/2027,T09/2027"</formula1>
    </dataValidation>
    <dataValidation type="list" allowBlank="1" showInputMessage="1" showErrorMessage="1" prompt="Kiểm tra lại - Chọn tên trong danh sách nhân viên (tab Người sử dụng)." sqref="C4">
      <formula1>'Người sử dụng'!$C$5:$C$140</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6A8E"/>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6.0"/>
    <col customWidth="1" min="2" max="2" width="15.57"/>
    <col customWidth="1" min="3" max="3" width="33.43"/>
    <col customWidth="1" min="4" max="4" width="18.71"/>
    <col customWidth="1" min="5" max="5" width="18.0"/>
    <col customWidth="1" min="6" max="6" width="14.0"/>
    <col customWidth="1" min="7" max="7" width="26.0"/>
    <col customWidth="1" min="8" max="8" width="15.0"/>
    <col customWidth="1" min="9" max="9" width="13.0"/>
    <col customWidth="1" min="10" max="10" width="14.0"/>
    <col customWidth="1" min="11" max="11" width="13.0"/>
    <col customWidth="1" min="12" max="12" width="30.0"/>
    <col customWidth="1" min="13" max="26" width="8.71"/>
  </cols>
  <sheetData>
    <row r="1">
      <c r="A1" s="1" t="s">
        <v>2</v>
      </c>
      <c r="D1" s="4"/>
    </row>
    <row r="2">
      <c r="A2" s="7" t="s">
        <v>6</v>
      </c>
      <c r="D2" s="4"/>
    </row>
    <row r="3">
      <c r="A3" s="2" t="s">
        <v>9</v>
      </c>
      <c r="D3" s="4"/>
    </row>
    <row r="4" ht="33.75" customHeight="1">
      <c r="A4" s="11" t="s">
        <v>11</v>
      </c>
      <c r="B4" s="12" t="s">
        <v>16</v>
      </c>
      <c r="C4" s="12" t="s">
        <v>20</v>
      </c>
      <c r="D4" s="12" t="s">
        <v>22</v>
      </c>
      <c r="E4" s="12" t="s">
        <v>24</v>
      </c>
      <c r="F4" s="12" t="s">
        <v>25</v>
      </c>
      <c r="G4" s="12" t="s">
        <v>28</v>
      </c>
      <c r="H4" s="12" t="s">
        <v>29</v>
      </c>
      <c r="I4" s="12" t="s">
        <v>30</v>
      </c>
      <c r="J4" s="12" t="s">
        <v>32</v>
      </c>
      <c r="K4" s="11" t="s">
        <v>34</v>
      </c>
      <c r="L4" s="12" t="s">
        <v>36</v>
      </c>
    </row>
    <row r="5">
      <c r="A5" s="18">
        <f t="shared" ref="A5:A140" si="1">SUBTOTAL(103,$B$5:B5)</f>
        <v>1</v>
      </c>
      <c r="B5" s="19" t="s">
        <v>49</v>
      </c>
      <c r="C5" s="19" t="s">
        <v>51</v>
      </c>
      <c r="D5" s="21" t="s">
        <v>62</v>
      </c>
      <c r="E5" s="19" t="s">
        <v>64</v>
      </c>
      <c r="F5" s="23"/>
      <c r="G5" s="24"/>
      <c r="H5" s="19" t="s">
        <v>58</v>
      </c>
      <c r="I5" s="26"/>
      <c r="J5" s="26"/>
      <c r="K5" s="33">
        <f>IF(C5="","",COUNTIF(ADS!$G$6:$G$319,C5)+COUNTIF('Biên Tập'!$G$6:$G$205,C5)+COUNTIF('Thiết Kế'!$G$6:$G$205,C5)+COUNTIF('Media Dựng'!$G$6:$G$205,C5)+COUNTIF('PR Thương Hiệu'!$G$6:$G$205,C5))</f>
        <v>2</v>
      </c>
      <c r="L5" s="24"/>
    </row>
    <row r="6">
      <c r="A6" s="18">
        <f t="shared" si="1"/>
        <v>2</v>
      </c>
      <c r="B6" s="35" t="s">
        <v>109</v>
      </c>
      <c r="C6" s="19" t="s">
        <v>111</v>
      </c>
      <c r="D6" s="21" t="s">
        <v>62</v>
      </c>
      <c r="E6" s="19" t="s">
        <v>64</v>
      </c>
      <c r="F6" s="23"/>
      <c r="G6" s="24"/>
      <c r="H6" s="19" t="s">
        <v>58</v>
      </c>
      <c r="I6" s="26"/>
      <c r="J6" s="26"/>
      <c r="K6" s="33">
        <f>IF(C6="","",COUNTIF(ADS!$G$6:$G$319,C6)+COUNTIF('Biên Tập'!$G$6:$G$205,C6)+COUNTIF('Thiết Kế'!$G$6:$G$205,C6)+COUNTIF('Media Dựng'!$G$6:$G$205,C6)+COUNTIF('PR Thương Hiệu'!$G$6:$G$205,C6))</f>
        <v>30</v>
      </c>
      <c r="L6" s="24"/>
    </row>
    <row r="7">
      <c r="A7" s="18">
        <f t="shared" si="1"/>
        <v>2</v>
      </c>
      <c r="B7" s="23"/>
      <c r="C7" s="19"/>
      <c r="D7" s="21" t="s">
        <v>54</v>
      </c>
      <c r="E7" s="24"/>
      <c r="F7" s="23"/>
      <c r="G7" s="24"/>
      <c r="H7" s="19" t="s">
        <v>58</v>
      </c>
      <c r="I7" s="26"/>
      <c r="J7" s="26"/>
      <c r="K7" s="33" t="str">
        <f>IF(C7="","",COUNTIF(ADS!$G$6:$G$319,C7)+COUNTIF('Biên Tập'!$G$6:$G$205,C7)+COUNTIF('Thiết Kế'!$G$6:$G$205,C7)+COUNTIF('Media Dựng'!$G$6:$G$205,C7)+COUNTIF('PR Thương Hiệu'!$G$6:$G$205,C7))</f>
        <v/>
      </c>
      <c r="L7" s="24"/>
    </row>
    <row r="8">
      <c r="A8" s="18">
        <f t="shared" si="1"/>
        <v>2</v>
      </c>
      <c r="B8" s="23"/>
      <c r="C8" s="19"/>
      <c r="D8" s="21" t="s">
        <v>125</v>
      </c>
      <c r="E8" s="24"/>
      <c r="F8" s="23"/>
      <c r="G8" s="24"/>
      <c r="H8" s="19" t="s">
        <v>58</v>
      </c>
      <c r="I8" s="26"/>
      <c r="J8" s="26"/>
      <c r="K8" s="33" t="str">
        <f>IF(C8="","",COUNTIF(ADS!$G$6:$G$319,C8)+COUNTIF('Biên Tập'!$G$6:$G$205,C8)+COUNTIF('Thiết Kế'!$G$6:$G$205,C8)+COUNTIF('Media Dựng'!$G$6:$G$205,C8)+COUNTIF('PR Thương Hiệu'!$G$6:$G$205,C8))</f>
        <v/>
      </c>
      <c r="L8" s="24"/>
    </row>
    <row r="9">
      <c r="A9" s="18">
        <f t="shared" si="1"/>
        <v>2</v>
      </c>
      <c r="B9" s="23"/>
      <c r="C9" s="24"/>
      <c r="D9" s="44"/>
      <c r="E9" s="24"/>
      <c r="F9" s="23"/>
      <c r="G9" s="24"/>
      <c r="H9" s="24"/>
      <c r="I9" s="26"/>
      <c r="J9" s="26"/>
      <c r="K9" s="33" t="str">
        <f>IF(C9="","",COUNTIF(ADS!$G$6:$G$319,C9)+COUNTIF('Biên Tập'!$G$6:$G$205,C9)+COUNTIF('Thiết Kế'!$G$6:$G$205,C9)+COUNTIF('Media Dựng'!$G$6:$G$205,C9)+COUNTIF('PR Thương Hiệu'!$G$6:$G$205,C9))</f>
        <v/>
      </c>
      <c r="L9" s="24"/>
    </row>
    <row r="10">
      <c r="A10" s="18">
        <f t="shared" si="1"/>
        <v>2</v>
      </c>
      <c r="B10" s="23"/>
      <c r="C10" s="24"/>
      <c r="D10" s="44"/>
      <c r="E10" s="24"/>
      <c r="F10" s="23"/>
      <c r="G10" s="24"/>
      <c r="H10" s="24"/>
      <c r="I10" s="26"/>
      <c r="J10" s="26"/>
      <c r="K10" s="33" t="str">
        <f>IF(C10="","",COUNTIF(ADS!$G$6:$G$319,C10)+COUNTIF('Biên Tập'!$G$6:$G$205,C10)+COUNTIF('Thiết Kế'!$G$6:$G$205,C10)+COUNTIF('Media Dựng'!$G$6:$G$205,C10)+COUNTIF('PR Thương Hiệu'!$G$6:$G$205,C10))</f>
        <v/>
      </c>
      <c r="L10" s="24"/>
    </row>
    <row r="11">
      <c r="A11" s="18">
        <f t="shared" si="1"/>
        <v>3</v>
      </c>
      <c r="B11" s="24" t="s">
        <v>131</v>
      </c>
      <c r="C11" s="19" t="s">
        <v>132</v>
      </c>
      <c r="D11" s="21" t="s">
        <v>54</v>
      </c>
      <c r="E11" s="19" t="s">
        <v>133</v>
      </c>
      <c r="F11" s="23"/>
      <c r="G11" s="24"/>
      <c r="H11" s="19" t="s">
        <v>58</v>
      </c>
      <c r="I11" s="26"/>
      <c r="J11" s="26"/>
      <c r="K11" s="33">
        <f>IF(C11="","",COUNTIF(ADS!$G$6:$G$319,C11)+COUNTIF('Biên Tập'!$G$6:$G$205,C11)+COUNTIF('Thiết Kế'!$G$6:$G$205,C11)+COUNTIF('Media Dựng'!$G$6:$G$205,C11)+COUNTIF('PR Thương Hiệu'!$G$6:$G$205,C11))</f>
        <v>31</v>
      </c>
      <c r="L11" s="24"/>
    </row>
    <row r="12">
      <c r="A12" s="18">
        <f t="shared" si="1"/>
        <v>4</v>
      </c>
      <c r="B12" s="24" t="s">
        <v>134</v>
      </c>
      <c r="C12" s="19" t="s">
        <v>135</v>
      </c>
      <c r="D12" s="21" t="s">
        <v>54</v>
      </c>
      <c r="E12" s="19" t="s">
        <v>136</v>
      </c>
      <c r="F12" s="23"/>
      <c r="G12" s="24"/>
      <c r="H12" s="19" t="s">
        <v>58</v>
      </c>
      <c r="I12" s="26"/>
      <c r="J12" s="26"/>
      <c r="K12" s="33"/>
      <c r="L12" s="24"/>
    </row>
    <row r="13">
      <c r="A13" s="18">
        <f t="shared" si="1"/>
        <v>5</v>
      </c>
      <c r="B13" s="24" t="s">
        <v>137</v>
      </c>
      <c r="C13" s="19" t="s">
        <v>138</v>
      </c>
      <c r="D13" s="21" t="s">
        <v>54</v>
      </c>
      <c r="E13" s="19" t="s">
        <v>136</v>
      </c>
      <c r="F13" s="23"/>
      <c r="G13" s="24"/>
      <c r="H13" s="19" t="s">
        <v>58</v>
      </c>
      <c r="I13" s="26"/>
      <c r="J13" s="26"/>
      <c r="K13" s="33"/>
      <c r="L13" s="24"/>
    </row>
    <row r="14">
      <c r="A14" s="18">
        <f t="shared" si="1"/>
        <v>6</v>
      </c>
      <c r="B14" s="24" t="s">
        <v>139</v>
      </c>
      <c r="C14" s="19" t="s">
        <v>140</v>
      </c>
      <c r="D14" s="21" t="s">
        <v>54</v>
      </c>
      <c r="E14" s="19" t="s">
        <v>136</v>
      </c>
      <c r="F14" s="41" t="s">
        <v>141</v>
      </c>
      <c r="G14" s="19" t="s">
        <v>142</v>
      </c>
      <c r="H14" s="19" t="s">
        <v>58</v>
      </c>
      <c r="I14" s="26"/>
      <c r="J14" s="26"/>
      <c r="K14" s="33"/>
      <c r="L14" s="24"/>
    </row>
    <row r="15">
      <c r="A15" s="18">
        <f t="shared" si="1"/>
        <v>7</v>
      </c>
      <c r="B15" s="19" t="s">
        <v>144</v>
      </c>
      <c r="C15" s="19" t="s">
        <v>145</v>
      </c>
      <c r="D15" s="21" t="s">
        <v>54</v>
      </c>
      <c r="E15" s="19" t="s">
        <v>136</v>
      </c>
      <c r="F15" s="23"/>
      <c r="G15" s="24"/>
      <c r="H15" s="19" t="s">
        <v>147</v>
      </c>
      <c r="I15" s="26"/>
      <c r="J15" s="26"/>
      <c r="K15" s="33"/>
      <c r="L15" s="24"/>
    </row>
    <row r="16">
      <c r="A16" s="18">
        <f t="shared" si="1"/>
        <v>8</v>
      </c>
      <c r="B16" s="24" t="s">
        <v>148</v>
      </c>
      <c r="C16" s="19" t="s">
        <v>149</v>
      </c>
      <c r="D16" s="21" t="s">
        <v>54</v>
      </c>
      <c r="E16" s="19" t="s">
        <v>136</v>
      </c>
      <c r="F16" s="23"/>
      <c r="G16" s="24"/>
      <c r="H16" s="19" t="s">
        <v>58</v>
      </c>
      <c r="I16" s="26"/>
      <c r="J16" s="26"/>
      <c r="K16" s="33"/>
      <c r="L16" s="24"/>
    </row>
    <row r="17">
      <c r="A17" s="18">
        <f t="shared" si="1"/>
        <v>9</v>
      </c>
      <c r="B17" s="24" t="s">
        <v>151</v>
      </c>
      <c r="C17" s="19" t="s">
        <v>152</v>
      </c>
      <c r="D17" s="21" t="s">
        <v>54</v>
      </c>
      <c r="E17" s="19" t="s">
        <v>136</v>
      </c>
      <c r="F17" s="23"/>
      <c r="G17" s="24"/>
      <c r="H17" s="19" t="s">
        <v>58</v>
      </c>
      <c r="I17" s="26"/>
      <c r="J17" s="26"/>
      <c r="K17" s="33"/>
      <c r="L17" s="24"/>
    </row>
    <row r="18">
      <c r="A18" s="18">
        <f t="shared" si="1"/>
        <v>10</v>
      </c>
      <c r="B18" s="24" t="s">
        <v>153</v>
      </c>
      <c r="C18" s="19" t="s">
        <v>154</v>
      </c>
      <c r="D18" s="21" t="s">
        <v>54</v>
      </c>
      <c r="E18" s="19" t="s">
        <v>136</v>
      </c>
      <c r="F18" s="23"/>
      <c r="G18" s="24"/>
      <c r="H18" s="19" t="s">
        <v>58</v>
      </c>
      <c r="I18" s="26"/>
      <c r="J18" s="26"/>
      <c r="K18" s="33"/>
      <c r="L18" s="24"/>
    </row>
    <row r="19">
      <c r="A19" s="18">
        <f t="shared" si="1"/>
        <v>11</v>
      </c>
      <c r="B19" s="24" t="s">
        <v>155</v>
      </c>
      <c r="C19" s="19" t="s">
        <v>156</v>
      </c>
      <c r="D19" s="21" t="s">
        <v>54</v>
      </c>
      <c r="E19" s="19" t="s">
        <v>157</v>
      </c>
      <c r="F19" s="23"/>
      <c r="G19" s="24"/>
      <c r="H19" s="19" t="s">
        <v>58</v>
      </c>
      <c r="I19" s="26"/>
      <c r="J19" s="26"/>
      <c r="K19" s="33">
        <f>IF(C19="","",COUNTIF(ADS!$G$6:$G$319,C19)+COUNTIF('Biên Tập'!$G$6:$G$205,C19)+COUNTIF('Thiết Kế'!$G$6:$G$205,C19)+COUNTIF('Media Dựng'!$G$6:$G$205,C19)+COUNTIF('PR Thương Hiệu'!$G$6:$G$205,C19))</f>
        <v>38</v>
      </c>
      <c r="L19" s="24"/>
    </row>
    <row r="20">
      <c r="A20" s="18">
        <f t="shared" si="1"/>
        <v>12</v>
      </c>
      <c r="B20" s="24" t="s">
        <v>160</v>
      </c>
      <c r="C20" s="19" t="s">
        <v>161</v>
      </c>
      <c r="D20" s="21" t="s">
        <v>54</v>
      </c>
      <c r="E20" s="19" t="s">
        <v>136</v>
      </c>
      <c r="F20" s="23"/>
      <c r="G20" s="24"/>
      <c r="H20" s="19" t="s">
        <v>58</v>
      </c>
      <c r="I20" s="26"/>
      <c r="J20" s="26"/>
      <c r="K20" s="33">
        <f>IF(C20="","",COUNTIF(ADS!$G$6:$G$319,C20)+COUNTIF('Biên Tập'!$G$6:$G$205,C20)+COUNTIF('Thiết Kế'!$G$6:$G$205,C20)+COUNTIF('Media Dựng'!$G$6:$G$205,C20)+COUNTIF('PR Thương Hiệu'!$G$6:$G$205,C20))</f>
        <v>17</v>
      </c>
      <c r="L20" s="24"/>
    </row>
    <row r="21">
      <c r="A21" s="18">
        <f t="shared" si="1"/>
        <v>13</v>
      </c>
      <c r="B21" s="24" t="s">
        <v>165</v>
      </c>
      <c r="C21" s="19" t="s">
        <v>166</v>
      </c>
      <c r="D21" s="21" t="s">
        <v>54</v>
      </c>
      <c r="E21" s="19" t="s">
        <v>136</v>
      </c>
      <c r="F21" s="23"/>
      <c r="G21" s="24"/>
      <c r="H21" s="19" t="s">
        <v>58</v>
      </c>
      <c r="I21" s="26"/>
      <c r="J21" s="26"/>
      <c r="K21" s="33">
        <f>IF(C21="","",COUNTIF(ADS!$G$6:$G$319,C21)+COUNTIF('Biên Tập'!$G$6:$G$205,C21)+COUNTIF('Thiết Kế'!$G$6:$G$205,C21)+COUNTIF('Media Dựng'!$G$6:$G$205,C21)+COUNTIF('PR Thương Hiệu'!$G$6:$G$205,C21))</f>
        <v>25</v>
      </c>
      <c r="L21" s="24"/>
    </row>
    <row r="22">
      <c r="A22" s="18">
        <f t="shared" si="1"/>
        <v>14</v>
      </c>
      <c r="B22" s="24" t="s">
        <v>169</v>
      </c>
      <c r="C22" s="19" t="s">
        <v>170</v>
      </c>
      <c r="D22" s="21" t="s">
        <v>54</v>
      </c>
      <c r="E22" s="19" t="s">
        <v>136</v>
      </c>
      <c r="F22" s="41" t="s">
        <v>171</v>
      </c>
      <c r="G22" s="19" t="s">
        <v>172</v>
      </c>
      <c r="H22" s="19" t="s">
        <v>58</v>
      </c>
      <c r="I22" s="26"/>
      <c r="J22" s="26"/>
      <c r="K22" s="33">
        <f>IF(C22="","",COUNTIF(ADS!$G$6:$G$319,C22)+COUNTIF('Biên Tập'!$G$6:$G$205,C22)+COUNTIF('Thiết Kế'!$G$6:$G$205,C22)+COUNTIF('Media Dựng'!$G$6:$G$205,C22)+COUNTIF('PR Thương Hiệu'!$G$6:$G$205,C22))</f>
        <v>18</v>
      </c>
      <c r="L22" s="24"/>
    </row>
    <row r="23">
      <c r="A23" s="18">
        <f t="shared" si="1"/>
        <v>15</v>
      </c>
      <c r="B23" s="24" t="s">
        <v>173</v>
      </c>
      <c r="C23" s="19" t="s">
        <v>174</v>
      </c>
      <c r="D23" s="21" t="s">
        <v>54</v>
      </c>
      <c r="E23" s="19" t="s">
        <v>136</v>
      </c>
      <c r="F23" s="23"/>
      <c r="G23" s="24"/>
      <c r="H23" s="19" t="s">
        <v>58</v>
      </c>
      <c r="I23" s="26"/>
      <c r="J23" s="26"/>
      <c r="K23" s="33">
        <f>IF(C23="","",COUNTIF(ADS!$G$6:$G$319,C23)+COUNTIF('Biên Tập'!$G$6:$G$205,C23)+COUNTIF('Thiết Kế'!$G$6:$G$205,C23)+COUNTIF('Media Dựng'!$G$6:$G$205,C23)+COUNTIF('PR Thương Hiệu'!$G$6:$G$205,C23))</f>
        <v>30</v>
      </c>
      <c r="L23" s="24"/>
    </row>
    <row r="24">
      <c r="A24" s="18">
        <f t="shared" si="1"/>
        <v>16</v>
      </c>
      <c r="B24" s="24" t="s">
        <v>177</v>
      </c>
      <c r="C24" s="19" t="s">
        <v>178</v>
      </c>
      <c r="D24" s="21" t="s">
        <v>179</v>
      </c>
      <c r="E24" s="19" t="s">
        <v>180</v>
      </c>
      <c r="F24" s="41" t="s">
        <v>181</v>
      </c>
      <c r="G24" s="19" t="s">
        <v>182</v>
      </c>
      <c r="H24" s="19" t="s">
        <v>58</v>
      </c>
      <c r="I24" s="26"/>
      <c r="J24" s="26"/>
      <c r="K24" s="33">
        <f>IF(C24="","",COUNTIF(ADS!$G$6:$G$319,C24)+COUNTIF('Biên Tập'!$G$6:$G$205,C24)+COUNTIF('Thiết Kế'!$G$6:$G$205,C24)+COUNTIF('Media Dựng'!$G$6:$G$205,C24)+COUNTIF('PR Thương Hiệu'!$G$6:$G$205,C24))</f>
        <v>20</v>
      </c>
      <c r="L24" s="24"/>
    </row>
    <row r="25">
      <c r="A25" s="18">
        <f t="shared" si="1"/>
        <v>17</v>
      </c>
      <c r="B25" s="24" t="s">
        <v>185</v>
      </c>
      <c r="C25" s="19" t="s">
        <v>186</v>
      </c>
      <c r="D25" s="21" t="s">
        <v>187</v>
      </c>
      <c r="E25" s="19" t="s">
        <v>136</v>
      </c>
      <c r="F25" s="41" t="s">
        <v>188</v>
      </c>
      <c r="G25" s="19" t="s">
        <v>189</v>
      </c>
      <c r="H25" s="19" t="s">
        <v>58</v>
      </c>
      <c r="I25" s="26"/>
      <c r="J25" s="26"/>
      <c r="K25" s="33">
        <f>IF(C25="","",COUNTIF(ADS!$G$6:$G$319,C25)+COUNTIF('Biên Tập'!$G$6:$G$205,C25)+COUNTIF('Thiết Kế'!$G$6:$G$205,C25)+COUNTIF('Media Dựng'!$G$6:$G$205,C25)+COUNTIF('PR Thương Hiệu'!$G$6:$G$205,C25))</f>
        <v>1</v>
      </c>
      <c r="L25" s="24"/>
    </row>
    <row r="26">
      <c r="A26" s="18">
        <f t="shared" si="1"/>
        <v>18</v>
      </c>
      <c r="B26" s="24" t="s">
        <v>193</v>
      </c>
      <c r="C26" s="19" t="s">
        <v>194</v>
      </c>
      <c r="D26" s="21" t="s">
        <v>187</v>
      </c>
      <c r="E26" s="19" t="s">
        <v>136</v>
      </c>
      <c r="F26" s="41" t="s">
        <v>195</v>
      </c>
      <c r="G26" s="19" t="s">
        <v>196</v>
      </c>
      <c r="H26" s="19" t="s">
        <v>58</v>
      </c>
      <c r="I26" s="26"/>
      <c r="J26" s="26"/>
      <c r="K26" s="33">
        <f>IF(C26="","",COUNTIF(ADS!$G$6:$G$319,C26)+COUNTIF('Biên Tập'!$G$6:$G$205,C26)+COUNTIF('Thiết Kế'!$G$6:$G$205,C26)+COUNTIF('Media Dựng'!$G$6:$G$205,C26)+COUNTIF('PR Thương Hiệu'!$G$6:$G$205,C26))</f>
        <v>2</v>
      </c>
      <c r="L26" s="24"/>
    </row>
    <row r="27">
      <c r="A27" s="18">
        <f t="shared" si="1"/>
        <v>19</v>
      </c>
      <c r="B27" s="24" t="s">
        <v>197</v>
      </c>
      <c r="C27" s="19" t="s">
        <v>198</v>
      </c>
      <c r="D27" s="21" t="s">
        <v>187</v>
      </c>
      <c r="E27" s="19" t="s">
        <v>136</v>
      </c>
      <c r="F27" s="41" t="s">
        <v>199</v>
      </c>
      <c r="G27" s="19" t="s">
        <v>200</v>
      </c>
      <c r="H27" s="19" t="s">
        <v>58</v>
      </c>
      <c r="I27" s="26"/>
      <c r="J27" s="26"/>
      <c r="K27" s="33">
        <f>IF(C27="","",COUNTIF(ADS!$G$6:$G$319,C27)+COUNTIF('Biên Tập'!$G$6:$G$205,C27)+COUNTIF('Thiết Kế'!$G$6:$G$205,C27)+COUNTIF('Media Dựng'!$G$6:$G$205,C27)+COUNTIF('PR Thương Hiệu'!$G$6:$G$205,C27))</f>
        <v>6</v>
      </c>
      <c r="L27" s="24"/>
    </row>
    <row r="28" ht="15.75" customHeight="1">
      <c r="A28" s="18">
        <f t="shared" si="1"/>
        <v>20</v>
      </c>
      <c r="B28" s="24" t="s">
        <v>203</v>
      </c>
      <c r="C28" s="19" t="s">
        <v>204</v>
      </c>
      <c r="D28" s="21" t="s">
        <v>187</v>
      </c>
      <c r="E28" s="19" t="s">
        <v>136</v>
      </c>
      <c r="F28" s="55" t="s">
        <v>205</v>
      </c>
      <c r="G28" s="19" t="s">
        <v>206</v>
      </c>
      <c r="H28" s="19" t="s">
        <v>58</v>
      </c>
      <c r="I28" s="26"/>
      <c r="J28" s="26"/>
      <c r="K28" s="33">
        <f>IF(C28="","",COUNTIF(ADS!$G$6:$G$319,C28)+COUNTIF('Biên Tập'!$G$6:$G$205,C28)+COUNTIF('Thiết Kế'!$G$6:$G$205,C28)+COUNTIF('Media Dựng'!$G$6:$G$205,C28)+COUNTIF('PR Thương Hiệu'!$G$6:$G$205,C28))</f>
        <v>4</v>
      </c>
      <c r="L28" s="24"/>
    </row>
    <row r="29" ht="15.75" customHeight="1">
      <c r="A29" s="18">
        <f t="shared" si="1"/>
        <v>21</v>
      </c>
      <c r="B29" s="24" t="s">
        <v>210</v>
      </c>
      <c r="C29" s="19" t="s">
        <v>211</v>
      </c>
      <c r="D29" s="21" t="s">
        <v>187</v>
      </c>
      <c r="E29" s="19" t="s">
        <v>136</v>
      </c>
      <c r="F29" s="41" t="s">
        <v>212</v>
      </c>
      <c r="G29" s="56" t="s">
        <v>213</v>
      </c>
      <c r="H29" s="19" t="s">
        <v>58</v>
      </c>
      <c r="I29" s="26"/>
      <c r="J29" s="26"/>
      <c r="K29" s="33">
        <f>IF(C29="","",COUNTIF(ADS!$G$6:$G$319,C29)+COUNTIF('Biên Tập'!$G$6:$G$205,C29)+COUNTIF('Thiết Kế'!$G$6:$G$205,C29)+COUNTIF('Media Dựng'!$G$6:$G$205,C29)+COUNTIF('PR Thương Hiệu'!$G$6:$G$205,C29))</f>
        <v>4</v>
      </c>
      <c r="L29" s="24"/>
    </row>
    <row r="30" ht="15.75" customHeight="1">
      <c r="A30" s="18">
        <f t="shared" si="1"/>
        <v>22</v>
      </c>
      <c r="B30" s="24" t="s">
        <v>216</v>
      </c>
      <c r="C30" s="19" t="s">
        <v>217</v>
      </c>
      <c r="D30" s="21" t="s">
        <v>187</v>
      </c>
      <c r="E30" s="19" t="s">
        <v>136</v>
      </c>
      <c r="F30" s="55" t="s">
        <v>218</v>
      </c>
      <c r="G30" s="19" t="s">
        <v>219</v>
      </c>
      <c r="H30" s="19" t="s">
        <v>58</v>
      </c>
      <c r="I30" s="26"/>
      <c r="J30" s="26"/>
      <c r="K30" s="57">
        <v>0.0</v>
      </c>
      <c r="L30" s="24"/>
    </row>
    <row r="31" ht="15.75" customHeight="1">
      <c r="A31" s="18">
        <f t="shared" si="1"/>
        <v>23</v>
      </c>
      <c r="B31" s="24" t="s">
        <v>222</v>
      </c>
      <c r="C31" s="19" t="s">
        <v>223</v>
      </c>
      <c r="D31" s="21" t="s">
        <v>187</v>
      </c>
      <c r="E31" s="19" t="s">
        <v>136</v>
      </c>
      <c r="F31" s="41" t="s">
        <v>224</v>
      </c>
      <c r="G31" s="19" t="s">
        <v>225</v>
      </c>
      <c r="H31" s="19" t="s">
        <v>58</v>
      </c>
      <c r="I31" s="26"/>
      <c r="J31" s="26"/>
      <c r="K31" s="33">
        <f>IF(C31="","",COUNTIF(ADS!$G$6:$G$319,C31)+COUNTIF('Biên Tập'!$G$6:$G$205,C31)+COUNTIF('Thiết Kế'!$G$6:$G$205,C31)+COUNTIF('Media Dựng'!$G$6:$G$205,C31)+COUNTIF('PR Thương Hiệu'!$G$6:$G$205,C31))</f>
        <v>14</v>
      </c>
      <c r="L31" s="24"/>
    </row>
    <row r="32" ht="15.75" customHeight="1">
      <c r="A32" s="18">
        <f t="shared" si="1"/>
        <v>24</v>
      </c>
      <c r="B32" s="24" t="s">
        <v>226</v>
      </c>
      <c r="C32" s="19" t="s">
        <v>227</v>
      </c>
      <c r="D32" s="21" t="s">
        <v>187</v>
      </c>
      <c r="E32" s="19" t="s">
        <v>136</v>
      </c>
      <c r="F32" s="41" t="s">
        <v>228</v>
      </c>
      <c r="G32" s="19" t="s">
        <v>230</v>
      </c>
      <c r="H32" s="19" t="s">
        <v>58</v>
      </c>
      <c r="I32" s="26"/>
      <c r="J32" s="26"/>
      <c r="K32" s="33">
        <f>IF(C32="","",COUNTIF(ADS!$G$6:$G$319,C32)+COUNTIF('Biên Tập'!$G$6:$G$205,C32)+COUNTIF('Thiết Kế'!$G$6:$G$205,C32)+COUNTIF('Media Dựng'!$G$6:$G$205,C32)+COUNTIF('PR Thương Hiệu'!$G$6:$G$205,C32))</f>
        <v>3</v>
      </c>
      <c r="L32" s="24"/>
    </row>
    <row r="33" ht="15.75" customHeight="1">
      <c r="A33" s="18">
        <f t="shared" si="1"/>
        <v>25</v>
      </c>
      <c r="B33" s="24" t="s">
        <v>233</v>
      </c>
      <c r="C33" s="19" t="s">
        <v>234</v>
      </c>
      <c r="D33" s="21" t="s">
        <v>187</v>
      </c>
      <c r="E33" s="19" t="s">
        <v>136</v>
      </c>
      <c r="F33" s="41" t="s">
        <v>235</v>
      </c>
      <c r="G33" s="19" t="s">
        <v>236</v>
      </c>
      <c r="H33" s="19" t="s">
        <v>58</v>
      </c>
      <c r="I33" s="26"/>
      <c r="J33" s="26"/>
      <c r="K33" s="33">
        <f>IF(C33="","",COUNTIF(ADS!$G$6:$G$319,C33)+COUNTIF('Biên Tập'!$G$6:$G$205,C33)+COUNTIF('Thiết Kế'!$G$6:$G$205,C33)+COUNTIF('Media Dựng'!$G$6:$G$205,C33)+COUNTIF('PR Thương Hiệu'!$G$6:$G$205,C33))</f>
        <v>1</v>
      </c>
      <c r="L33" s="24"/>
    </row>
    <row r="34" ht="15.75" customHeight="1">
      <c r="A34" s="18">
        <f t="shared" si="1"/>
        <v>26</v>
      </c>
      <c r="B34" s="24" t="s">
        <v>239</v>
      </c>
      <c r="C34" s="19" t="s">
        <v>240</v>
      </c>
      <c r="D34" s="21" t="s">
        <v>187</v>
      </c>
      <c r="E34" s="19" t="s">
        <v>136</v>
      </c>
      <c r="F34" s="55" t="s">
        <v>241</v>
      </c>
      <c r="G34" s="19" t="s">
        <v>242</v>
      </c>
      <c r="H34" s="19" t="s">
        <v>58</v>
      </c>
      <c r="I34" s="26"/>
      <c r="J34" s="26"/>
      <c r="K34" s="57">
        <v>2.0</v>
      </c>
      <c r="L34" s="24"/>
    </row>
    <row r="35" ht="15.75" customHeight="1">
      <c r="A35" s="18">
        <f t="shared" si="1"/>
        <v>27</v>
      </c>
      <c r="B35" s="24" t="s">
        <v>243</v>
      </c>
      <c r="C35" s="19" t="s">
        <v>244</v>
      </c>
      <c r="D35" s="21" t="s">
        <v>179</v>
      </c>
      <c r="E35" s="19" t="s">
        <v>245</v>
      </c>
      <c r="F35" s="41" t="s">
        <v>246</v>
      </c>
      <c r="G35" s="19" t="s">
        <v>247</v>
      </c>
      <c r="H35" s="19" t="s">
        <v>58</v>
      </c>
      <c r="I35" s="26"/>
      <c r="J35" s="26"/>
      <c r="K35" s="33">
        <f>IF(C35="","",COUNTIF(ADS!$G$6:$G$319,C35)+COUNTIF('Biên Tập'!$G$6:$G$205,C35)+COUNTIF('Thiết Kế'!$G$6:$G$205,C35)+COUNTIF('Media Dựng'!$G$6:$G$205,C35)+COUNTIF('PR Thương Hiệu'!$G$6:$G$205,C35))</f>
        <v>6</v>
      </c>
      <c r="L35" s="24"/>
    </row>
    <row r="36" ht="15.75" customHeight="1">
      <c r="A36" s="18">
        <f t="shared" si="1"/>
        <v>28</v>
      </c>
      <c r="B36" s="24" t="s">
        <v>250</v>
      </c>
      <c r="C36" s="19" t="s">
        <v>251</v>
      </c>
      <c r="D36" s="21" t="s">
        <v>179</v>
      </c>
      <c r="E36" s="19" t="s">
        <v>136</v>
      </c>
      <c r="F36" s="41" t="s">
        <v>252</v>
      </c>
      <c r="G36" s="19" t="s">
        <v>253</v>
      </c>
      <c r="H36" s="19" t="s">
        <v>58</v>
      </c>
      <c r="I36" s="26"/>
      <c r="J36" s="26"/>
      <c r="K36" s="33">
        <f>IF(C36="","",COUNTIF(ADS!$G$6:$G$319,C36)+COUNTIF('Biên Tập'!$G$6:$G$205,C36)+COUNTIF('Thiết Kế'!$G$6:$G$205,C36)+COUNTIF('Media Dựng'!$G$6:$G$205,C36)+COUNTIF('PR Thương Hiệu'!$G$6:$G$205,C36))</f>
        <v>2</v>
      </c>
      <c r="L36" s="24"/>
    </row>
    <row r="37" ht="15.75" customHeight="1">
      <c r="A37" s="18">
        <f t="shared" si="1"/>
        <v>29</v>
      </c>
      <c r="B37" s="24" t="s">
        <v>255</v>
      </c>
      <c r="C37" s="19" t="s">
        <v>257</v>
      </c>
      <c r="D37" s="21" t="s">
        <v>179</v>
      </c>
      <c r="E37" s="19" t="s">
        <v>136</v>
      </c>
      <c r="F37" s="23"/>
      <c r="G37" s="24"/>
      <c r="H37" s="19" t="s">
        <v>58</v>
      </c>
      <c r="I37" s="26"/>
      <c r="J37" s="26"/>
      <c r="K37" s="33">
        <f>IF(C37="","",COUNTIF(ADS!$G$6:$G$319,C37)+COUNTIF('Biên Tập'!$G$6:$G$205,C37)+COUNTIF('Thiết Kế'!$G$6:$G$205,C37)+COUNTIF('Media Dựng'!$G$6:$G$205,C37)+COUNTIF('PR Thương Hiệu'!$G$6:$G$205,C37))</f>
        <v>3</v>
      </c>
      <c r="L37" s="24"/>
    </row>
    <row r="38" ht="15.75" customHeight="1">
      <c r="A38" s="18">
        <f t="shared" si="1"/>
        <v>30</v>
      </c>
      <c r="B38" s="24" t="s">
        <v>258</v>
      </c>
      <c r="C38" s="19" t="s">
        <v>259</v>
      </c>
      <c r="D38" s="21" t="s">
        <v>179</v>
      </c>
      <c r="E38" s="24"/>
      <c r="F38" s="23"/>
      <c r="G38" s="24"/>
      <c r="H38" s="19" t="s">
        <v>58</v>
      </c>
      <c r="I38" s="26"/>
      <c r="J38" s="26"/>
      <c r="K38" s="33">
        <f>IF(C38="","",COUNTIF(ADS!$G$6:$G$319,C38)+COUNTIF('Biên Tập'!$G$6:$G$205,C38)+COUNTIF('Thiết Kế'!$G$6:$G$205,C38)+COUNTIF('Media Dựng'!$G$6:$G$205,C38)+COUNTIF('PR Thương Hiệu'!$G$6:$G$205,C38))</f>
        <v>2</v>
      </c>
      <c r="L38" s="24"/>
    </row>
    <row r="39" ht="15.75" customHeight="1">
      <c r="A39" s="18">
        <f t="shared" si="1"/>
        <v>31</v>
      </c>
      <c r="B39" s="24" t="s">
        <v>262</v>
      </c>
      <c r="C39" s="19" t="s">
        <v>263</v>
      </c>
      <c r="D39" s="21" t="s">
        <v>179</v>
      </c>
      <c r="E39" s="24"/>
      <c r="F39" s="23"/>
      <c r="G39" s="24"/>
      <c r="H39" s="19" t="s">
        <v>58</v>
      </c>
      <c r="I39" s="26"/>
      <c r="J39" s="26"/>
      <c r="K39" s="33">
        <f>IF(C39="","",COUNTIF(ADS!$G$6:$G$319,C39)+COUNTIF('Biên Tập'!$G$6:$G$205,C39)+COUNTIF('Thiết Kế'!$G$6:$G$205,C39)+COUNTIF('Media Dựng'!$G$6:$G$205,C39)+COUNTIF('PR Thương Hiệu'!$G$6:$G$205,C39))</f>
        <v>3</v>
      </c>
      <c r="L39" s="24"/>
    </row>
    <row r="40" ht="15.75" customHeight="1">
      <c r="A40" s="18">
        <f t="shared" si="1"/>
        <v>32</v>
      </c>
      <c r="B40" s="41" t="s">
        <v>266</v>
      </c>
      <c r="C40" s="19" t="s">
        <v>267</v>
      </c>
      <c r="D40" s="21" t="s">
        <v>179</v>
      </c>
      <c r="E40" s="19" t="s">
        <v>136</v>
      </c>
      <c r="F40" s="41" t="s">
        <v>268</v>
      </c>
      <c r="G40" s="19" t="s">
        <v>269</v>
      </c>
      <c r="H40" s="19" t="s">
        <v>147</v>
      </c>
      <c r="I40" s="26"/>
      <c r="J40" s="26"/>
      <c r="K40" s="33">
        <f>IF(C40="","",COUNTIF(ADS!$G$6:$G$319,C40)+COUNTIF('Biên Tập'!$G$6:$G$205,C40)+COUNTIF('Thiết Kế'!$G$6:$G$205,C40)+COUNTIF('Media Dựng'!$G$6:$G$205,C40)+COUNTIF('PR Thương Hiệu'!$G$6:$G$205,C40))</f>
        <v>2</v>
      </c>
      <c r="L40" s="24"/>
    </row>
    <row r="41" ht="15.75" customHeight="1">
      <c r="A41" s="18">
        <f t="shared" si="1"/>
        <v>33</v>
      </c>
      <c r="B41" s="24" t="s">
        <v>270</v>
      </c>
      <c r="C41" s="19" t="s">
        <v>271</v>
      </c>
      <c r="D41" s="21" t="s">
        <v>187</v>
      </c>
      <c r="E41" s="19" t="s">
        <v>272</v>
      </c>
      <c r="F41" s="23"/>
      <c r="G41" s="19" t="s">
        <v>273</v>
      </c>
      <c r="H41" s="19" t="s">
        <v>58</v>
      </c>
      <c r="I41" s="26"/>
      <c r="J41" s="26"/>
      <c r="K41" s="33">
        <f>IF(C41="","",COUNTIF(ADS!$G$6:$G$319,C41)+COUNTIF('Biên Tập'!$G$6:$G$205,C41)+COUNTIF('Thiết Kế'!$G$6:$G$205,C41)+COUNTIF('Media Dựng'!$G$6:$G$205,C41)+COUNTIF('PR Thương Hiệu'!$G$6:$G$205,C41))</f>
        <v>0</v>
      </c>
      <c r="L41" s="24"/>
    </row>
    <row r="42" ht="15.75" customHeight="1">
      <c r="A42" s="18">
        <f t="shared" si="1"/>
        <v>34</v>
      </c>
      <c r="B42" s="24" t="s">
        <v>275</v>
      </c>
      <c r="C42" s="19" t="s">
        <v>276</v>
      </c>
      <c r="D42" s="21" t="s">
        <v>187</v>
      </c>
      <c r="E42" s="19" t="s">
        <v>136</v>
      </c>
      <c r="F42" s="41" t="s">
        <v>277</v>
      </c>
      <c r="G42" s="19" t="s">
        <v>278</v>
      </c>
      <c r="H42" s="19" t="s">
        <v>58</v>
      </c>
      <c r="I42" s="26"/>
      <c r="J42" s="26"/>
      <c r="K42" s="33">
        <f>IF(C42="","",COUNTIF(ADS!$G$6:$G$319,C42)+COUNTIF('Biên Tập'!$G$6:$G$205,C42)+COUNTIF('Thiết Kế'!$G$6:$G$205,C42)+COUNTIF('Media Dựng'!$G$6:$G$205,C42)+COUNTIF('PR Thương Hiệu'!$G$6:$G$205,C42))</f>
        <v>2</v>
      </c>
      <c r="L42" s="24"/>
    </row>
    <row r="43" ht="15.75" customHeight="1">
      <c r="A43" s="18">
        <f t="shared" si="1"/>
        <v>35</v>
      </c>
      <c r="B43" s="35" t="s">
        <v>280</v>
      </c>
      <c r="C43" s="35" t="s">
        <v>281</v>
      </c>
      <c r="D43" s="21" t="s">
        <v>179</v>
      </c>
      <c r="E43" s="24"/>
      <c r="F43" s="23"/>
      <c r="G43" s="24"/>
      <c r="H43" s="24"/>
      <c r="I43" s="26"/>
      <c r="J43" s="26"/>
      <c r="K43" s="33">
        <f>IF(C43="","",COUNTIF(ADS!$G$6:$G$319,C43)+COUNTIF('Biên Tập'!$G$6:$G$205,C43)+COUNTIF('Thiết Kế'!$G$6:$G$205,C43)+COUNTIF('Media Dựng'!$G$6:$G$205,C43)+COUNTIF('PR Thương Hiệu'!$G$6:$G$205,C43))</f>
        <v>0</v>
      </c>
      <c r="L43" s="24"/>
    </row>
    <row r="44" ht="15.75" customHeight="1">
      <c r="A44" s="18">
        <f t="shared" si="1"/>
        <v>36</v>
      </c>
      <c r="B44" s="35" t="s">
        <v>282</v>
      </c>
      <c r="C44" s="35" t="s">
        <v>283</v>
      </c>
      <c r="D44" s="21" t="s">
        <v>179</v>
      </c>
      <c r="E44" s="24"/>
      <c r="F44" s="23"/>
      <c r="G44" s="24"/>
      <c r="H44" s="24"/>
      <c r="I44" s="26"/>
      <c r="J44" s="26"/>
      <c r="K44" s="33">
        <f>IF(C44="","",COUNTIF(ADS!$G$6:$G$319,C44)+COUNTIF('Biên Tập'!$G$6:$G$205,C44)+COUNTIF('Thiết Kế'!$G$6:$G$205,C44)+COUNTIF('Media Dựng'!$G$6:$G$205,C44)+COUNTIF('PR Thương Hiệu'!$G$6:$G$205,C44))</f>
        <v>0</v>
      </c>
      <c r="L44" s="24"/>
    </row>
    <row r="45" ht="15.75" customHeight="1">
      <c r="A45" s="18">
        <f t="shared" si="1"/>
        <v>37</v>
      </c>
      <c r="B45" s="35" t="s">
        <v>286</v>
      </c>
      <c r="C45" s="35" t="s">
        <v>287</v>
      </c>
      <c r="D45" s="21" t="s">
        <v>179</v>
      </c>
      <c r="E45" s="24"/>
      <c r="F45" s="23"/>
      <c r="G45" s="24"/>
      <c r="H45" s="24"/>
      <c r="I45" s="26"/>
      <c r="J45" s="26"/>
      <c r="K45" s="33">
        <f>IF(C45="","",COUNTIF(ADS!$G$6:$G$319,C45)+COUNTIF('Biên Tập'!$G$6:$G$205,C45)+COUNTIF('Thiết Kế'!$G$6:$G$205,C45)+COUNTIF('Media Dựng'!$G$6:$G$205,C45)+COUNTIF('PR Thương Hiệu'!$G$6:$G$205,C45))</f>
        <v>0</v>
      </c>
      <c r="L45" s="24"/>
    </row>
    <row r="46" ht="15.75" customHeight="1">
      <c r="A46" s="18">
        <f t="shared" si="1"/>
        <v>38</v>
      </c>
      <c r="B46" s="35" t="s">
        <v>289</v>
      </c>
      <c r="C46" s="35" t="s">
        <v>290</v>
      </c>
      <c r="D46" s="21" t="s">
        <v>179</v>
      </c>
      <c r="E46" s="24"/>
      <c r="F46" s="23"/>
      <c r="G46" s="24"/>
      <c r="H46" s="24"/>
      <c r="I46" s="26"/>
      <c r="J46" s="26"/>
      <c r="K46" s="33">
        <f>IF(C46="","",COUNTIF(ADS!$G$6:$G$319,C46)+COUNTIF('Biên Tập'!$G$6:$G$205,C46)+COUNTIF('Thiết Kế'!$G$6:$G$205,C46)+COUNTIF('Media Dựng'!$G$6:$G$205,C46)+COUNTIF('PR Thương Hiệu'!$G$6:$G$205,C46))</f>
        <v>0</v>
      </c>
      <c r="L46" s="24"/>
    </row>
    <row r="47" ht="15.75" customHeight="1">
      <c r="A47" s="18">
        <f t="shared" si="1"/>
        <v>39</v>
      </c>
      <c r="B47" s="35" t="s">
        <v>293</v>
      </c>
      <c r="C47" s="35" t="s">
        <v>294</v>
      </c>
      <c r="D47" s="21" t="s">
        <v>179</v>
      </c>
      <c r="E47" s="24"/>
      <c r="F47" s="23"/>
      <c r="G47" s="24"/>
      <c r="H47" s="24"/>
      <c r="I47" s="26"/>
      <c r="J47" s="26"/>
      <c r="K47" s="33">
        <f>IF(C47="","",COUNTIF(ADS!$G$6:$G$319,C47)+COUNTIF('Biên Tập'!$G$6:$G$205,C47)+COUNTIF('Thiết Kế'!$G$6:$G$205,C47)+COUNTIF('Media Dựng'!$G$6:$G$205,C47)+COUNTIF('PR Thương Hiệu'!$G$6:$G$205,C47))</f>
        <v>0</v>
      </c>
      <c r="L47" s="24"/>
    </row>
    <row r="48" ht="15.75" customHeight="1">
      <c r="A48" s="18">
        <f t="shared" si="1"/>
        <v>40</v>
      </c>
      <c r="B48" s="35" t="s">
        <v>295</v>
      </c>
      <c r="C48" s="35" t="s">
        <v>296</v>
      </c>
      <c r="D48" s="21" t="s">
        <v>179</v>
      </c>
      <c r="E48" s="24"/>
      <c r="F48" s="23"/>
      <c r="G48" s="24"/>
      <c r="H48" s="24"/>
      <c r="I48" s="26"/>
      <c r="J48" s="26"/>
      <c r="K48" s="33">
        <f>IF(C48="","",COUNTIF(ADS!$G$6:$G$319,C48)+COUNTIF('Biên Tập'!$G$6:$G$205,C48)+COUNTIF('Thiết Kế'!$G$6:$G$205,C48)+COUNTIF('Media Dựng'!$G$6:$G$205,C48)+COUNTIF('PR Thương Hiệu'!$G$6:$G$205,C48))</f>
        <v>0</v>
      </c>
      <c r="L48" s="24"/>
    </row>
    <row r="49" ht="15.75" customHeight="1">
      <c r="A49" s="18">
        <f t="shared" si="1"/>
        <v>41</v>
      </c>
      <c r="B49" s="35" t="s">
        <v>299</v>
      </c>
      <c r="C49" s="35" t="s">
        <v>300</v>
      </c>
      <c r="D49" s="21" t="s">
        <v>179</v>
      </c>
      <c r="E49" s="24"/>
      <c r="F49" s="23"/>
      <c r="G49" s="24"/>
      <c r="H49" s="24"/>
      <c r="I49" s="26"/>
      <c r="J49" s="26"/>
      <c r="K49" s="33">
        <f>IF(C49="","",COUNTIF(ADS!$G$6:$G$319,C49)+COUNTIF('Biên Tập'!$G$6:$G$205,C49)+COUNTIF('Thiết Kế'!$G$6:$G$205,C49)+COUNTIF('Media Dựng'!$G$6:$G$205,C49)+COUNTIF('PR Thương Hiệu'!$G$6:$G$205,C49))</f>
        <v>0</v>
      </c>
      <c r="L49" s="24"/>
    </row>
    <row r="50" ht="15.75" customHeight="1">
      <c r="A50" s="18">
        <f t="shared" si="1"/>
        <v>42</v>
      </c>
      <c r="B50" s="35" t="s">
        <v>301</v>
      </c>
      <c r="C50" s="35" t="s">
        <v>302</v>
      </c>
      <c r="D50" s="21" t="s">
        <v>179</v>
      </c>
      <c r="E50" s="24"/>
      <c r="F50" s="23"/>
      <c r="G50" s="24"/>
      <c r="H50" s="24"/>
      <c r="I50" s="26"/>
      <c r="J50" s="26"/>
      <c r="K50" s="33">
        <f>IF(C50="","",COUNTIF(ADS!$G$6:$G$319,C50)+COUNTIF('Biên Tập'!$G$6:$G$205,C50)+COUNTIF('Thiết Kế'!$G$6:$G$205,C50)+COUNTIF('Media Dựng'!$G$6:$G$205,C50)+COUNTIF('PR Thương Hiệu'!$G$6:$G$205,C50))</f>
        <v>0</v>
      </c>
      <c r="L50" s="24"/>
    </row>
    <row r="51" ht="15.75" customHeight="1">
      <c r="A51" s="18">
        <f t="shared" si="1"/>
        <v>43</v>
      </c>
      <c r="B51" s="35" t="s">
        <v>305</v>
      </c>
      <c r="C51" s="35" t="s">
        <v>306</v>
      </c>
      <c r="D51" s="21" t="s">
        <v>179</v>
      </c>
      <c r="E51" s="24"/>
      <c r="F51" s="23"/>
      <c r="G51" s="24"/>
      <c r="H51" s="24"/>
      <c r="I51" s="26"/>
      <c r="J51" s="26"/>
      <c r="K51" s="33">
        <f>IF(C51="","",COUNTIF(ADS!$G$6:$G$319,C51)+COUNTIF('Biên Tập'!$G$6:$G$205,C51)+COUNTIF('Thiết Kế'!$G$6:$G$205,C51)+COUNTIF('Media Dựng'!$G$6:$G$205,C51)+COUNTIF('PR Thương Hiệu'!$G$6:$G$205,C51))</f>
        <v>0</v>
      </c>
      <c r="L51" s="24"/>
    </row>
    <row r="52" ht="15.75" customHeight="1">
      <c r="A52" s="18">
        <f t="shared" si="1"/>
        <v>44</v>
      </c>
      <c r="B52" s="35" t="s">
        <v>307</v>
      </c>
      <c r="C52" s="35" t="s">
        <v>281</v>
      </c>
      <c r="D52" s="21" t="s">
        <v>179</v>
      </c>
      <c r="E52" s="24"/>
      <c r="F52" s="23"/>
      <c r="G52" s="24"/>
      <c r="H52" s="24"/>
      <c r="I52" s="26"/>
      <c r="J52" s="26"/>
      <c r="K52" s="33">
        <f>IF(C52="","",COUNTIF(ADS!$G$6:$G$319,C52)+COUNTIF('Biên Tập'!$G$6:$G$205,C52)+COUNTIF('Thiết Kế'!$G$6:$G$205,C52)+COUNTIF('Media Dựng'!$G$6:$G$205,C52)+COUNTIF('PR Thương Hiệu'!$G$6:$G$205,C52))</f>
        <v>0</v>
      </c>
      <c r="L52" s="24"/>
    </row>
    <row r="53" ht="15.75" customHeight="1">
      <c r="A53" s="18">
        <f t="shared" si="1"/>
        <v>45</v>
      </c>
      <c r="B53" s="35" t="s">
        <v>308</v>
      </c>
      <c r="C53" s="35" t="s">
        <v>309</v>
      </c>
      <c r="D53" s="21" t="s">
        <v>187</v>
      </c>
      <c r="E53" s="24"/>
      <c r="F53" s="23"/>
      <c r="G53" s="24"/>
      <c r="H53" s="24"/>
      <c r="I53" s="26"/>
      <c r="J53" s="26"/>
      <c r="K53" s="33">
        <f>IF(C53="","",COUNTIF(ADS!$G$6:$G$319,C53)+COUNTIF('Biên Tập'!$G$6:$G$205,C53)+COUNTIF('Thiết Kế'!$G$6:$G$205,C53)+COUNTIF('Media Dựng'!$G$6:$G$205,C53)+COUNTIF('PR Thương Hiệu'!$G$6:$G$205,C53))</f>
        <v>0</v>
      </c>
      <c r="L53" s="24"/>
    </row>
    <row r="54" ht="15.75" customHeight="1">
      <c r="A54" s="18">
        <f t="shared" si="1"/>
        <v>46</v>
      </c>
      <c r="B54" s="35" t="s">
        <v>314</v>
      </c>
      <c r="C54" s="35" t="s">
        <v>315</v>
      </c>
      <c r="D54" s="21" t="s">
        <v>187</v>
      </c>
      <c r="E54" s="24"/>
      <c r="F54" s="23"/>
      <c r="G54" s="24"/>
      <c r="H54" s="24"/>
      <c r="I54" s="26"/>
      <c r="J54" s="26"/>
      <c r="K54" s="33">
        <f>IF(C54="","",COUNTIF(ADS!$G$6:$G$319,C54)+COUNTIF('Biên Tập'!$G$6:$G$205,C54)+COUNTIF('Thiết Kế'!$G$6:$G$205,C54)+COUNTIF('Media Dựng'!$G$6:$G$205,C54)+COUNTIF('PR Thương Hiệu'!$G$6:$G$205,C54))</f>
        <v>0</v>
      </c>
      <c r="L54" s="24"/>
    </row>
    <row r="55" ht="15.75" customHeight="1">
      <c r="A55" s="18">
        <f t="shared" si="1"/>
        <v>47</v>
      </c>
      <c r="B55" s="35" t="s">
        <v>319</v>
      </c>
      <c r="C55" s="35" t="s">
        <v>320</v>
      </c>
      <c r="D55" s="21" t="s">
        <v>187</v>
      </c>
      <c r="E55" s="24"/>
      <c r="F55" s="23"/>
      <c r="G55" s="24"/>
      <c r="H55" s="24"/>
      <c r="I55" s="26"/>
      <c r="J55" s="26"/>
      <c r="K55" s="33">
        <f>IF(C55="","",COUNTIF(ADS!$G$6:$G$319,C55)+COUNTIF('Biên Tập'!$G$6:$G$205,C55)+COUNTIF('Thiết Kế'!$G$6:$G$205,C55)+COUNTIF('Media Dựng'!$G$6:$G$205,C55)+COUNTIF('PR Thương Hiệu'!$G$6:$G$205,C55))</f>
        <v>0</v>
      </c>
      <c r="L55" s="24"/>
    </row>
    <row r="56" ht="15.75" customHeight="1">
      <c r="A56" s="18">
        <f t="shared" si="1"/>
        <v>48</v>
      </c>
      <c r="B56" s="35" t="s">
        <v>321</v>
      </c>
      <c r="C56" s="35" t="s">
        <v>322</v>
      </c>
      <c r="D56" s="21" t="s">
        <v>187</v>
      </c>
      <c r="E56" s="24"/>
      <c r="F56" s="23"/>
      <c r="G56" s="24"/>
      <c r="H56" s="24"/>
      <c r="I56" s="26"/>
      <c r="J56" s="26"/>
      <c r="K56" s="33">
        <f>IF(C56="","",COUNTIF(ADS!$G$6:$G$319,C56)+COUNTIF('Biên Tập'!$G$6:$G$205,C56)+COUNTIF('Thiết Kế'!$G$6:$G$205,C56)+COUNTIF('Media Dựng'!$G$6:$G$205,C56)+COUNTIF('PR Thương Hiệu'!$G$6:$G$205,C56))</f>
        <v>0</v>
      </c>
      <c r="L56" s="24"/>
    </row>
    <row r="57" ht="15.75" customHeight="1">
      <c r="A57" s="18">
        <f t="shared" si="1"/>
        <v>49</v>
      </c>
      <c r="B57" s="35" t="s">
        <v>325</v>
      </c>
      <c r="C57" s="35" t="s">
        <v>326</v>
      </c>
      <c r="D57" s="21" t="s">
        <v>187</v>
      </c>
      <c r="E57" s="24"/>
      <c r="F57" s="23"/>
      <c r="G57" s="24"/>
      <c r="H57" s="24"/>
      <c r="I57" s="26"/>
      <c r="J57" s="26"/>
      <c r="K57" s="33">
        <f>IF(C57="","",COUNTIF(ADS!$G$6:$G$319,C57)+COUNTIF('Biên Tập'!$G$6:$G$205,C57)+COUNTIF('Thiết Kế'!$G$6:$G$205,C57)+COUNTIF('Media Dựng'!$G$6:$G$205,C57)+COUNTIF('PR Thương Hiệu'!$G$6:$G$205,C57))</f>
        <v>0</v>
      </c>
      <c r="L57" s="24"/>
    </row>
    <row r="58" ht="15.75" customHeight="1">
      <c r="A58" s="18">
        <f t="shared" si="1"/>
        <v>50</v>
      </c>
      <c r="B58" s="35" t="s">
        <v>329</v>
      </c>
      <c r="C58" s="35" t="s">
        <v>330</v>
      </c>
      <c r="D58" s="21" t="s">
        <v>187</v>
      </c>
      <c r="E58" s="24"/>
      <c r="F58" s="23"/>
      <c r="G58" s="24"/>
      <c r="H58" s="24"/>
      <c r="I58" s="26"/>
      <c r="J58" s="26"/>
      <c r="K58" s="33">
        <f>IF(C58="","",COUNTIF(ADS!$G$6:$G$319,C58)+COUNTIF('Biên Tập'!$G$6:$G$205,C58)+COUNTIF('Thiết Kế'!$G$6:$G$205,C58)+COUNTIF('Media Dựng'!$G$6:$G$205,C58)+COUNTIF('PR Thương Hiệu'!$G$6:$G$205,C58))</f>
        <v>0</v>
      </c>
      <c r="L58" s="24"/>
    </row>
    <row r="59" ht="15.75" customHeight="1">
      <c r="A59" s="18">
        <f t="shared" si="1"/>
        <v>51</v>
      </c>
      <c r="B59" s="35" t="s">
        <v>332</v>
      </c>
      <c r="C59" s="35" t="s">
        <v>333</v>
      </c>
      <c r="D59" s="21" t="s">
        <v>187</v>
      </c>
      <c r="E59" s="24"/>
      <c r="F59" s="23"/>
      <c r="G59" s="24"/>
      <c r="H59" s="24"/>
      <c r="I59" s="26"/>
      <c r="J59" s="26"/>
      <c r="K59" s="33">
        <f>IF(C59="","",COUNTIF(ADS!$G$6:$G$319,C59)+COUNTIF('Biên Tập'!$G$6:$G$205,C59)+COUNTIF('Thiết Kế'!$G$6:$G$205,C59)+COUNTIF('Media Dựng'!$G$6:$G$205,C59)+COUNTIF('PR Thương Hiệu'!$G$6:$G$205,C59))</f>
        <v>0</v>
      </c>
      <c r="L59" s="24"/>
    </row>
    <row r="60" ht="15.75" customHeight="1">
      <c r="A60" s="18">
        <f t="shared" si="1"/>
        <v>51</v>
      </c>
      <c r="B60" s="23"/>
      <c r="C60" s="24"/>
      <c r="D60" s="44"/>
      <c r="E60" s="24"/>
      <c r="F60" s="23"/>
      <c r="G60" s="24"/>
      <c r="H60" s="24"/>
      <c r="I60" s="26"/>
      <c r="J60" s="26"/>
      <c r="K60" s="33" t="str">
        <f>IF(C60="","",COUNTIF(ADS!$G$6:$G$319,C60)+COUNTIF('Biên Tập'!$G$6:$G$205,C60)+COUNTIF('Thiết Kế'!$G$6:$G$205,C60)+COUNTIF('Media Dựng'!$G$6:$G$205,C60)+COUNTIF('PR Thương Hiệu'!$G$6:$G$205,C60))</f>
        <v/>
      </c>
      <c r="L60" s="24"/>
    </row>
    <row r="61" ht="15.75" customHeight="1">
      <c r="A61" s="18">
        <f t="shared" si="1"/>
        <v>51</v>
      </c>
      <c r="B61" s="23"/>
      <c r="C61" s="24"/>
      <c r="D61" s="44"/>
      <c r="E61" s="24"/>
      <c r="F61" s="23"/>
      <c r="G61" s="24"/>
      <c r="H61" s="24"/>
      <c r="I61" s="26"/>
      <c r="J61" s="26"/>
      <c r="K61" s="33" t="str">
        <f>IF(C61="","",COUNTIF(ADS!$G$6:$G$319,C61)+COUNTIF('Biên Tập'!$G$6:$G$205,C61)+COUNTIF('Thiết Kế'!$G$6:$G$205,C61)+COUNTIF('Media Dựng'!$G$6:$G$205,C61)+COUNTIF('PR Thương Hiệu'!$G$6:$G$205,C61))</f>
        <v/>
      </c>
      <c r="L61" s="24"/>
    </row>
    <row r="62" ht="15.75" customHeight="1">
      <c r="A62" s="18">
        <f t="shared" si="1"/>
        <v>51</v>
      </c>
      <c r="B62" s="23"/>
      <c r="C62" s="24"/>
      <c r="D62" s="44"/>
      <c r="E62" s="24"/>
      <c r="F62" s="23"/>
      <c r="G62" s="24"/>
      <c r="H62" s="24"/>
      <c r="I62" s="26"/>
      <c r="J62" s="26"/>
      <c r="K62" s="33" t="str">
        <f>IF(C62="","",COUNTIF(ADS!$G$6:$G$319,C62)+COUNTIF('Biên Tập'!$G$6:$G$205,C62)+COUNTIF('Thiết Kế'!$G$6:$G$205,C62)+COUNTIF('Media Dựng'!$G$6:$G$205,C62)+COUNTIF('PR Thương Hiệu'!$G$6:$G$205,C62))</f>
        <v/>
      </c>
      <c r="L62" s="24"/>
    </row>
    <row r="63" ht="15.75" customHeight="1">
      <c r="A63" s="18">
        <f t="shared" si="1"/>
        <v>51</v>
      </c>
      <c r="B63" s="23"/>
      <c r="C63" s="24"/>
      <c r="D63" s="44"/>
      <c r="E63" s="24"/>
      <c r="F63" s="23"/>
      <c r="G63" s="24"/>
      <c r="H63" s="24"/>
      <c r="I63" s="26"/>
      <c r="J63" s="26"/>
      <c r="K63" s="33" t="str">
        <f>IF(C63="","",COUNTIF(ADS!$G$6:$G$319,C63)+COUNTIF('Biên Tập'!$G$6:$G$205,C63)+COUNTIF('Thiết Kế'!$G$6:$G$205,C63)+COUNTIF('Media Dựng'!$G$6:$G$205,C63)+COUNTIF('PR Thương Hiệu'!$G$6:$G$205,C63))</f>
        <v/>
      </c>
      <c r="L63" s="24"/>
    </row>
    <row r="64" ht="15.75" customHeight="1">
      <c r="A64" s="18">
        <f t="shared" si="1"/>
        <v>51</v>
      </c>
      <c r="B64" s="23"/>
      <c r="C64" s="24"/>
      <c r="D64" s="44"/>
      <c r="E64" s="24"/>
      <c r="F64" s="23"/>
      <c r="G64" s="24"/>
      <c r="H64" s="24"/>
      <c r="I64" s="26"/>
      <c r="J64" s="26"/>
      <c r="K64" s="33" t="str">
        <f>IF(C64="","",COUNTIF(ADS!$G$6:$G$319,C64)+COUNTIF('Biên Tập'!$G$6:$G$205,C64)+COUNTIF('Thiết Kế'!$G$6:$G$205,C64)+COUNTIF('Media Dựng'!$G$6:$G$205,C64)+COUNTIF('PR Thương Hiệu'!$G$6:$G$205,C64))</f>
        <v/>
      </c>
      <c r="L64" s="24"/>
    </row>
    <row r="65" ht="15.75" customHeight="1">
      <c r="A65" s="18">
        <f t="shared" si="1"/>
        <v>51</v>
      </c>
      <c r="B65" s="23"/>
      <c r="C65" s="24"/>
      <c r="D65" s="44"/>
      <c r="E65" s="24"/>
      <c r="F65" s="23"/>
      <c r="G65" s="24"/>
      <c r="H65" s="24"/>
      <c r="I65" s="26"/>
      <c r="J65" s="26"/>
      <c r="K65" s="33" t="str">
        <f>IF(C65="","",COUNTIF(ADS!$G$6:$G$319,C65)+COUNTIF('Biên Tập'!$G$6:$G$205,C65)+COUNTIF('Thiết Kế'!$G$6:$G$205,C65)+COUNTIF('Media Dựng'!$G$6:$G$205,C65)+COUNTIF('PR Thương Hiệu'!$G$6:$G$205,C65))</f>
        <v/>
      </c>
      <c r="L65" s="24"/>
    </row>
    <row r="66" ht="15.75" customHeight="1">
      <c r="A66" s="18">
        <f t="shared" si="1"/>
        <v>51</v>
      </c>
      <c r="B66" s="23"/>
      <c r="C66" s="24"/>
      <c r="D66" s="44"/>
      <c r="E66" s="24"/>
      <c r="F66" s="23"/>
      <c r="G66" s="24"/>
      <c r="H66" s="24"/>
      <c r="I66" s="26"/>
      <c r="J66" s="26"/>
      <c r="K66" s="33" t="str">
        <f>IF(C66="","",COUNTIF(ADS!$G$6:$G$319,C66)+COUNTIF('Biên Tập'!$G$6:$G$205,C66)+COUNTIF('Thiết Kế'!$G$6:$G$205,C66)+COUNTIF('Media Dựng'!$G$6:$G$205,C66)+COUNTIF('PR Thương Hiệu'!$G$6:$G$205,C66))</f>
        <v/>
      </c>
      <c r="L66" s="24"/>
    </row>
    <row r="67" ht="15.75" customHeight="1">
      <c r="A67" s="18">
        <f t="shared" si="1"/>
        <v>51</v>
      </c>
      <c r="B67" s="23"/>
      <c r="C67" s="24"/>
      <c r="D67" s="44"/>
      <c r="E67" s="24"/>
      <c r="F67" s="23"/>
      <c r="G67" s="24"/>
      <c r="H67" s="24"/>
      <c r="I67" s="26"/>
      <c r="J67" s="26"/>
      <c r="K67" s="33" t="str">
        <f>IF(C67="","",COUNTIF(ADS!$G$6:$G$319,C67)+COUNTIF('Biên Tập'!$G$6:$G$205,C67)+COUNTIF('Thiết Kế'!$G$6:$G$205,C67)+COUNTIF('Media Dựng'!$G$6:$G$205,C67)+COUNTIF('PR Thương Hiệu'!$G$6:$G$205,C67))</f>
        <v/>
      </c>
      <c r="L67" s="24"/>
    </row>
    <row r="68" ht="15.75" customHeight="1">
      <c r="A68" s="18">
        <f t="shared" si="1"/>
        <v>51</v>
      </c>
      <c r="B68" s="23"/>
      <c r="C68" s="24"/>
      <c r="D68" s="44"/>
      <c r="E68" s="24"/>
      <c r="F68" s="23"/>
      <c r="G68" s="24"/>
      <c r="H68" s="24"/>
      <c r="I68" s="26"/>
      <c r="J68" s="26"/>
      <c r="K68" s="33" t="str">
        <f>IF(C68="","",COUNTIF(ADS!$G$6:$G$319,C68)+COUNTIF('Biên Tập'!$G$6:$G$205,C68)+COUNTIF('Thiết Kế'!$G$6:$G$205,C68)+COUNTIF('Media Dựng'!$G$6:$G$205,C68)+COUNTIF('PR Thương Hiệu'!$G$6:$G$205,C68))</f>
        <v/>
      </c>
      <c r="L68" s="24"/>
    </row>
    <row r="69" ht="15.75" customHeight="1">
      <c r="A69" s="18">
        <f t="shared" si="1"/>
        <v>51</v>
      </c>
      <c r="B69" s="23"/>
      <c r="C69" s="24"/>
      <c r="D69" s="44"/>
      <c r="E69" s="24"/>
      <c r="F69" s="23"/>
      <c r="G69" s="24"/>
      <c r="H69" s="24"/>
      <c r="I69" s="26"/>
      <c r="J69" s="26"/>
      <c r="K69" s="33" t="str">
        <f>IF(C69="","",COUNTIF(ADS!$G$6:$G$319,C69)+COUNTIF('Biên Tập'!$G$6:$G$205,C69)+COUNTIF('Thiết Kế'!$G$6:$G$205,C69)+COUNTIF('Media Dựng'!$G$6:$G$205,C69)+COUNTIF('PR Thương Hiệu'!$G$6:$G$205,C69))</f>
        <v/>
      </c>
      <c r="L69" s="24"/>
    </row>
    <row r="70" ht="15.75" customHeight="1">
      <c r="A70" s="18">
        <f t="shared" si="1"/>
        <v>51</v>
      </c>
      <c r="B70" s="23"/>
      <c r="C70" s="24"/>
      <c r="D70" s="44"/>
      <c r="E70" s="24"/>
      <c r="F70" s="23"/>
      <c r="G70" s="24"/>
      <c r="H70" s="24"/>
      <c r="I70" s="26"/>
      <c r="J70" s="26"/>
      <c r="K70" s="33" t="str">
        <f>IF(C70="","",COUNTIF(ADS!$G$6:$G$319,C70)+COUNTIF('Biên Tập'!$G$6:$G$205,C70)+COUNTIF('Thiết Kế'!$G$6:$G$205,C70)+COUNTIF('Media Dựng'!$G$6:$G$205,C70)+COUNTIF('PR Thương Hiệu'!$G$6:$G$205,C70))</f>
        <v/>
      </c>
      <c r="L70" s="24"/>
    </row>
    <row r="71" ht="15.75" customHeight="1">
      <c r="A71" s="18">
        <f t="shared" si="1"/>
        <v>51</v>
      </c>
      <c r="B71" s="23"/>
      <c r="C71" s="24"/>
      <c r="D71" s="44"/>
      <c r="E71" s="24"/>
      <c r="F71" s="23"/>
      <c r="G71" s="24"/>
      <c r="H71" s="24"/>
      <c r="I71" s="26"/>
      <c r="J71" s="26"/>
      <c r="K71" s="33" t="str">
        <f>IF(C71="","",COUNTIF(ADS!$G$6:$G$319,C71)+COUNTIF('Biên Tập'!$G$6:$G$205,C71)+COUNTIF('Thiết Kế'!$G$6:$G$205,C71)+COUNTIF('Media Dựng'!$G$6:$G$205,C71)+COUNTIF('PR Thương Hiệu'!$G$6:$G$205,C71))</f>
        <v/>
      </c>
      <c r="L71" s="24"/>
    </row>
    <row r="72" ht="15.75" customHeight="1">
      <c r="A72" s="18">
        <f t="shared" si="1"/>
        <v>51</v>
      </c>
      <c r="B72" s="23"/>
      <c r="C72" s="24"/>
      <c r="D72" s="44"/>
      <c r="E72" s="24"/>
      <c r="F72" s="23"/>
      <c r="G72" s="24"/>
      <c r="H72" s="24"/>
      <c r="I72" s="26"/>
      <c r="J72" s="26"/>
      <c r="K72" s="33" t="str">
        <f>IF(C72="","",COUNTIF(ADS!$G$6:$G$319,C72)+COUNTIF('Biên Tập'!$G$6:$G$205,C72)+COUNTIF('Thiết Kế'!$G$6:$G$205,C72)+COUNTIF('Media Dựng'!$G$6:$G$205,C72)+COUNTIF('PR Thương Hiệu'!$G$6:$G$205,C72))</f>
        <v/>
      </c>
      <c r="L72" s="24"/>
    </row>
    <row r="73" ht="15.75" customHeight="1">
      <c r="A73" s="18">
        <f t="shared" si="1"/>
        <v>51</v>
      </c>
      <c r="B73" s="23"/>
      <c r="C73" s="24"/>
      <c r="D73" s="44"/>
      <c r="E73" s="24"/>
      <c r="F73" s="23"/>
      <c r="G73" s="24"/>
      <c r="H73" s="24"/>
      <c r="I73" s="26"/>
      <c r="J73" s="26"/>
      <c r="K73" s="33" t="str">
        <f>IF(C73="","",COUNTIF(ADS!$G$6:$G$319,C73)+COUNTIF('Biên Tập'!$G$6:$G$205,C73)+COUNTIF('Thiết Kế'!$G$6:$G$205,C73)+COUNTIF('Media Dựng'!$G$6:$G$205,C73)+COUNTIF('PR Thương Hiệu'!$G$6:$G$205,C73))</f>
        <v/>
      </c>
      <c r="L73" s="24"/>
    </row>
    <row r="74" ht="15.75" customHeight="1">
      <c r="A74" s="18">
        <f t="shared" si="1"/>
        <v>51</v>
      </c>
      <c r="B74" s="23"/>
      <c r="C74" s="24"/>
      <c r="D74" s="44"/>
      <c r="E74" s="24"/>
      <c r="F74" s="23"/>
      <c r="G74" s="24"/>
      <c r="H74" s="24"/>
      <c r="I74" s="26"/>
      <c r="J74" s="26"/>
      <c r="K74" s="33" t="str">
        <f>IF(C74="","",COUNTIF(ADS!$G$6:$G$319,C74)+COUNTIF('Biên Tập'!$G$6:$G$205,C74)+COUNTIF('Thiết Kế'!$G$6:$G$205,C74)+COUNTIF('Media Dựng'!$G$6:$G$205,C74)+COUNTIF('PR Thương Hiệu'!$G$6:$G$205,C74))</f>
        <v/>
      </c>
      <c r="L74" s="24"/>
    </row>
    <row r="75" ht="15.75" customHeight="1">
      <c r="A75" s="18">
        <f t="shared" si="1"/>
        <v>51</v>
      </c>
      <c r="B75" s="23"/>
      <c r="C75" s="24"/>
      <c r="D75" s="44"/>
      <c r="E75" s="24"/>
      <c r="F75" s="23"/>
      <c r="G75" s="24"/>
      <c r="H75" s="24"/>
      <c r="I75" s="26"/>
      <c r="J75" s="26"/>
      <c r="K75" s="33" t="str">
        <f>IF(C75="","",COUNTIF(ADS!$G$6:$G$319,C75)+COUNTIF('Biên Tập'!$G$6:$G$205,C75)+COUNTIF('Thiết Kế'!$G$6:$G$205,C75)+COUNTIF('Media Dựng'!$G$6:$G$205,C75)+COUNTIF('PR Thương Hiệu'!$G$6:$G$205,C75))</f>
        <v/>
      </c>
      <c r="L75" s="24"/>
    </row>
    <row r="76" ht="15.75" customHeight="1">
      <c r="A76" s="18">
        <f t="shared" si="1"/>
        <v>51</v>
      </c>
      <c r="B76" s="23"/>
      <c r="C76" s="24"/>
      <c r="D76" s="44"/>
      <c r="E76" s="24"/>
      <c r="F76" s="23"/>
      <c r="G76" s="24"/>
      <c r="H76" s="24"/>
      <c r="I76" s="26"/>
      <c r="J76" s="26"/>
      <c r="K76" s="33" t="str">
        <f>IF(C76="","",COUNTIF(ADS!$G$6:$G$319,C76)+COUNTIF('Biên Tập'!$G$6:$G$205,C76)+COUNTIF('Thiết Kế'!$G$6:$G$205,C76)+COUNTIF('Media Dựng'!$G$6:$G$205,C76)+COUNTIF('PR Thương Hiệu'!$G$6:$G$205,C76))</f>
        <v/>
      </c>
      <c r="L76" s="24"/>
    </row>
    <row r="77" ht="15.75" customHeight="1">
      <c r="A77" s="18">
        <f t="shared" si="1"/>
        <v>51</v>
      </c>
      <c r="B77" s="23"/>
      <c r="C77" s="24"/>
      <c r="D77" s="44"/>
      <c r="E77" s="24"/>
      <c r="F77" s="23"/>
      <c r="G77" s="24"/>
      <c r="H77" s="24"/>
      <c r="I77" s="26"/>
      <c r="J77" s="26"/>
      <c r="K77" s="33" t="str">
        <f>IF(C77="","",COUNTIF(ADS!$G$6:$G$319,C77)+COUNTIF('Biên Tập'!$G$6:$G$205,C77)+COUNTIF('Thiết Kế'!$G$6:$G$205,C77)+COUNTIF('Media Dựng'!$G$6:$G$205,C77)+COUNTIF('PR Thương Hiệu'!$G$6:$G$205,C77))</f>
        <v/>
      </c>
      <c r="L77" s="24"/>
    </row>
    <row r="78" ht="15.75" customHeight="1">
      <c r="A78" s="18">
        <f t="shared" si="1"/>
        <v>51</v>
      </c>
      <c r="B78" s="23"/>
      <c r="C78" s="24"/>
      <c r="D78" s="44"/>
      <c r="E78" s="24"/>
      <c r="F78" s="23"/>
      <c r="G78" s="24"/>
      <c r="H78" s="24"/>
      <c r="I78" s="26"/>
      <c r="J78" s="26"/>
      <c r="K78" s="33" t="str">
        <f>IF(C78="","",COUNTIF(ADS!$G$6:$G$319,C78)+COUNTIF('Biên Tập'!$G$6:$G$205,C78)+COUNTIF('Thiết Kế'!$G$6:$G$205,C78)+COUNTIF('Media Dựng'!$G$6:$G$205,C78)+COUNTIF('PR Thương Hiệu'!$G$6:$G$205,C78))</f>
        <v/>
      </c>
      <c r="L78" s="24"/>
    </row>
    <row r="79" ht="15.75" customHeight="1">
      <c r="A79" s="18">
        <f t="shared" si="1"/>
        <v>51</v>
      </c>
      <c r="B79" s="23"/>
      <c r="C79" s="24"/>
      <c r="D79" s="44"/>
      <c r="E79" s="24"/>
      <c r="F79" s="23"/>
      <c r="G79" s="24"/>
      <c r="H79" s="24"/>
      <c r="I79" s="26"/>
      <c r="J79" s="26"/>
      <c r="K79" s="33" t="str">
        <f>IF(C79="","",COUNTIF(ADS!$G$6:$G$319,C79)+COUNTIF('Biên Tập'!$G$6:$G$205,C79)+COUNTIF('Thiết Kế'!$G$6:$G$205,C79)+COUNTIF('Media Dựng'!$G$6:$G$205,C79)+COUNTIF('PR Thương Hiệu'!$G$6:$G$205,C79))</f>
        <v/>
      </c>
      <c r="L79" s="24"/>
    </row>
    <row r="80" ht="15.75" customHeight="1">
      <c r="A80" s="18">
        <f t="shared" si="1"/>
        <v>51</v>
      </c>
      <c r="B80" s="23"/>
      <c r="C80" s="24"/>
      <c r="D80" s="44"/>
      <c r="E80" s="24"/>
      <c r="F80" s="23"/>
      <c r="G80" s="24"/>
      <c r="H80" s="24"/>
      <c r="I80" s="26"/>
      <c r="J80" s="26"/>
      <c r="K80" s="33" t="str">
        <f>IF(C80="","",COUNTIF(ADS!$G$6:$G$319,C80)+COUNTIF('Biên Tập'!$G$6:$G$205,C80)+COUNTIF('Thiết Kế'!$G$6:$G$205,C80)+COUNTIF('Media Dựng'!$G$6:$G$205,C80)+COUNTIF('PR Thương Hiệu'!$G$6:$G$205,C80))</f>
        <v/>
      </c>
      <c r="L80" s="24"/>
    </row>
    <row r="81" ht="15.75" customHeight="1">
      <c r="A81" s="18">
        <f t="shared" si="1"/>
        <v>51</v>
      </c>
      <c r="B81" s="23"/>
      <c r="C81" s="24"/>
      <c r="D81" s="44"/>
      <c r="E81" s="24"/>
      <c r="F81" s="23"/>
      <c r="G81" s="24"/>
      <c r="H81" s="24"/>
      <c r="I81" s="26"/>
      <c r="J81" s="26"/>
      <c r="K81" s="33" t="str">
        <f>IF(C81="","",COUNTIF(ADS!$G$6:$G$319,C81)+COUNTIF('Biên Tập'!$G$6:$G$205,C81)+COUNTIF('Thiết Kế'!$G$6:$G$205,C81)+COUNTIF('Media Dựng'!$G$6:$G$205,C81)+COUNTIF('PR Thương Hiệu'!$G$6:$G$205,C81))</f>
        <v/>
      </c>
      <c r="L81" s="24"/>
    </row>
    <row r="82" ht="15.75" customHeight="1">
      <c r="A82" s="18">
        <f t="shared" si="1"/>
        <v>51</v>
      </c>
      <c r="B82" s="23"/>
      <c r="C82" s="24"/>
      <c r="D82" s="44"/>
      <c r="E82" s="24"/>
      <c r="F82" s="23"/>
      <c r="G82" s="24"/>
      <c r="H82" s="24"/>
      <c r="I82" s="26"/>
      <c r="J82" s="26"/>
      <c r="K82" s="33" t="str">
        <f>IF(C82="","",COUNTIF(ADS!$G$6:$G$319,C82)+COUNTIF('Biên Tập'!$G$6:$G$205,C82)+COUNTIF('Thiết Kế'!$G$6:$G$205,C82)+COUNTIF('Media Dựng'!$G$6:$G$205,C82)+COUNTIF('PR Thương Hiệu'!$G$6:$G$205,C82))</f>
        <v/>
      </c>
      <c r="L82" s="24"/>
    </row>
    <row r="83" ht="15.75" customHeight="1">
      <c r="A83" s="18">
        <f t="shared" si="1"/>
        <v>51</v>
      </c>
      <c r="B83" s="23"/>
      <c r="C83" s="24"/>
      <c r="D83" s="44"/>
      <c r="E83" s="24"/>
      <c r="F83" s="23"/>
      <c r="G83" s="24"/>
      <c r="H83" s="24"/>
      <c r="I83" s="26"/>
      <c r="J83" s="26"/>
      <c r="K83" s="33" t="str">
        <f>IF(C83="","",COUNTIF(ADS!$G$6:$G$319,C83)+COUNTIF('Biên Tập'!$G$6:$G$205,C83)+COUNTIF('Thiết Kế'!$G$6:$G$205,C83)+COUNTIF('Media Dựng'!$G$6:$G$205,C83)+COUNTIF('PR Thương Hiệu'!$G$6:$G$205,C83))</f>
        <v/>
      </c>
      <c r="L83" s="24"/>
    </row>
    <row r="84" ht="15.75" customHeight="1">
      <c r="A84" s="18">
        <f t="shared" si="1"/>
        <v>51</v>
      </c>
      <c r="B84" s="23"/>
      <c r="C84" s="24"/>
      <c r="D84" s="44"/>
      <c r="E84" s="24"/>
      <c r="F84" s="23"/>
      <c r="G84" s="24"/>
      <c r="H84" s="24"/>
      <c r="I84" s="26"/>
      <c r="J84" s="26"/>
      <c r="K84" s="33" t="str">
        <f>IF(C84="","",COUNTIF(ADS!$G$6:$G$319,C84)+COUNTIF('Biên Tập'!$G$6:$G$205,C84)+COUNTIF('Thiết Kế'!$G$6:$G$205,C84)+COUNTIF('Media Dựng'!$G$6:$G$205,C84)+COUNTIF('PR Thương Hiệu'!$G$6:$G$205,C84))</f>
        <v/>
      </c>
      <c r="L84" s="24"/>
    </row>
    <row r="85" ht="15.75" customHeight="1">
      <c r="A85" s="18">
        <f t="shared" si="1"/>
        <v>51</v>
      </c>
      <c r="B85" s="23"/>
      <c r="C85" s="24"/>
      <c r="D85" s="44"/>
      <c r="E85" s="24"/>
      <c r="F85" s="23"/>
      <c r="G85" s="24"/>
      <c r="H85" s="24"/>
      <c r="I85" s="26"/>
      <c r="J85" s="26"/>
      <c r="K85" s="33" t="str">
        <f>IF(C85="","",COUNTIF(ADS!$G$6:$G$319,C85)+COUNTIF('Biên Tập'!$G$6:$G$205,C85)+COUNTIF('Thiết Kế'!$G$6:$G$205,C85)+COUNTIF('Media Dựng'!$G$6:$G$205,C85)+COUNTIF('PR Thương Hiệu'!$G$6:$G$205,C85))</f>
        <v/>
      </c>
      <c r="L85" s="24"/>
    </row>
    <row r="86" ht="15.75" customHeight="1">
      <c r="A86" s="18">
        <f t="shared" si="1"/>
        <v>51</v>
      </c>
      <c r="B86" s="23"/>
      <c r="C86" s="24"/>
      <c r="D86" s="44"/>
      <c r="E86" s="24"/>
      <c r="F86" s="23"/>
      <c r="G86" s="24"/>
      <c r="H86" s="24"/>
      <c r="I86" s="26"/>
      <c r="J86" s="26"/>
      <c r="K86" s="33" t="str">
        <f>IF(C86="","",COUNTIF(ADS!$G$6:$G$319,C86)+COUNTIF('Biên Tập'!$G$6:$G$205,C86)+COUNTIF('Thiết Kế'!$G$6:$G$205,C86)+COUNTIF('Media Dựng'!$G$6:$G$205,C86)+COUNTIF('PR Thương Hiệu'!$G$6:$G$205,C86))</f>
        <v/>
      </c>
      <c r="L86" s="24"/>
    </row>
    <row r="87" ht="15.75" customHeight="1">
      <c r="A87" s="18">
        <f t="shared" si="1"/>
        <v>51</v>
      </c>
      <c r="B87" s="23"/>
      <c r="C87" s="24"/>
      <c r="D87" s="44"/>
      <c r="E87" s="24"/>
      <c r="F87" s="23"/>
      <c r="G87" s="24"/>
      <c r="H87" s="24"/>
      <c r="I87" s="26"/>
      <c r="J87" s="26"/>
      <c r="K87" s="33" t="str">
        <f>IF(C87="","",COUNTIF(ADS!$G$6:$G$319,C87)+COUNTIF('Biên Tập'!$G$6:$G$205,C87)+COUNTIF('Thiết Kế'!$G$6:$G$205,C87)+COUNTIF('Media Dựng'!$G$6:$G$205,C87)+COUNTIF('PR Thương Hiệu'!$G$6:$G$205,C87))</f>
        <v/>
      </c>
      <c r="L87" s="24"/>
    </row>
    <row r="88" ht="15.75" customHeight="1">
      <c r="A88" s="18">
        <f t="shared" si="1"/>
        <v>51</v>
      </c>
      <c r="B88" s="23"/>
      <c r="C88" s="24"/>
      <c r="D88" s="44"/>
      <c r="E88" s="24"/>
      <c r="F88" s="23"/>
      <c r="G88" s="24"/>
      <c r="H88" s="24"/>
      <c r="I88" s="26"/>
      <c r="J88" s="26"/>
      <c r="K88" s="33" t="str">
        <f>IF(C88="","",COUNTIF(ADS!$G$6:$G$319,C88)+COUNTIF('Biên Tập'!$G$6:$G$205,C88)+COUNTIF('Thiết Kế'!$G$6:$G$205,C88)+COUNTIF('Media Dựng'!$G$6:$G$205,C88)+COUNTIF('PR Thương Hiệu'!$G$6:$G$205,C88))</f>
        <v/>
      </c>
      <c r="L88" s="24"/>
    </row>
    <row r="89" ht="15.75" customHeight="1">
      <c r="A89" s="18">
        <f t="shared" si="1"/>
        <v>51</v>
      </c>
      <c r="B89" s="23"/>
      <c r="C89" s="24"/>
      <c r="D89" s="44"/>
      <c r="E89" s="24"/>
      <c r="F89" s="23"/>
      <c r="G89" s="24"/>
      <c r="H89" s="24"/>
      <c r="I89" s="26"/>
      <c r="J89" s="26"/>
      <c r="K89" s="33" t="str">
        <f>IF(C89="","",COUNTIF(ADS!$G$6:$G$319,C89)+COUNTIF('Biên Tập'!$G$6:$G$205,C89)+COUNTIF('Thiết Kế'!$G$6:$G$205,C89)+COUNTIF('Media Dựng'!$G$6:$G$205,C89)+COUNTIF('PR Thương Hiệu'!$G$6:$G$205,C89))</f>
        <v/>
      </c>
      <c r="L89" s="24"/>
    </row>
    <row r="90" ht="15.75" customHeight="1">
      <c r="A90" s="18">
        <f t="shared" si="1"/>
        <v>51</v>
      </c>
      <c r="B90" s="23"/>
      <c r="C90" s="24"/>
      <c r="D90" s="44"/>
      <c r="E90" s="24"/>
      <c r="F90" s="23"/>
      <c r="G90" s="24"/>
      <c r="H90" s="24"/>
      <c r="I90" s="26"/>
      <c r="J90" s="26"/>
      <c r="K90" s="33" t="str">
        <f>IF(C90="","",COUNTIF(ADS!$G$6:$G$319,C90)+COUNTIF('Biên Tập'!$G$6:$G$205,C90)+COUNTIF('Thiết Kế'!$G$6:$G$205,C90)+COUNTIF('Media Dựng'!$G$6:$G$205,C90)+COUNTIF('PR Thương Hiệu'!$G$6:$G$205,C90))</f>
        <v/>
      </c>
      <c r="L90" s="24"/>
    </row>
    <row r="91" ht="15.75" customHeight="1">
      <c r="A91" s="18">
        <f t="shared" si="1"/>
        <v>51</v>
      </c>
      <c r="B91" s="23"/>
      <c r="C91" s="24"/>
      <c r="D91" s="44"/>
      <c r="E91" s="24"/>
      <c r="F91" s="23"/>
      <c r="G91" s="24"/>
      <c r="H91" s="24"/>
      <c r="I91" s="26"/>
      <c r="J91" s="26"/>
      <c r="K91" s="33" t="str">
        <f>IF(C91="","",COUNTIF(ADS!$G$6:$G$319,C91)+COUNTIF('Biên Tập'!$G$6:$G$205,C91)+COUNTIF('Thiết Kế'!$G$6:$G$205,C91)+COUNTIF('Media Dựng'!$G$6:$G$205,C91)+COUNTIF('PR Thương Hiệu'!$G$6:$G$205,C91))</f>
        <v/>
      </c>
      <c r="L91" s="24"/>
    </row>
    <row r="92" ht="15.75" customHeight="1">
      <c r="A92" s="18">
        <f t="shared" si="1"/>
        <v>51</v>
      </c>
      <c r="B92" s="23"/>
      <c r="C92" s="24"/>
      <c r="D92" s="44"/>
      <c r="E92" s="24"/>
      <c r="F92" s="23"/>
      <c r="G92" s="24"/>
      <c r="H92" s="24"/>
      <c r="I92" s="26"/>
      <c r="J92" s="26"/>
      <c r="K92" s="33" t="str">
        <f>IF(C92="","",COUNTIF(ADS!$G$6:$G$319,C92)+COUNTIF('Biên Tập'!$G$6:$G$205,C92)+COUNTIF('Thiết Kế'!$G$6:$G$205,C92)+COUNTIF('Media Dựng'!$G$6:$G$205,C92)+COUNTIF('PR Thương Hiệu'!$G$6:$G$205,C92))</f>
        <v/>
      </c>
      <c r="L92" s="24"/>
    </row>
    <row r="93" ht="15.75" customHeight="1">
      <c r="A93" s="18">
        <f t="shared" si="1"/>
        <v>51</v>
      </c>
      <c r="B93" s="23"/>
      <c r="C93" s="24"/>
      <c r="D93" s="44"/>
      <c r="E93" s="24"/>
      <c r="F93" s="23"/>
      <c r="G93" s="24"/>
      <c r="H93" s="24"/>
      <c r="I93" s="26"/>
      <c r="J93" s="26"/>
      <c r="K93" s="33" t="str">
        <f>IF(C93="","",COUNTIF(ADS!$G$6:$G$319,C93)+COUNTIF('Biên Tập'!$G$6:$G$205,C93)+COUNTIF('Thiết Kế'!$G$6:$G$205,C93)+COUNTIF('Media Dựng'!$G$6:$G$205,C93)+COUNTIF('PR Thương Hiệu'!$G$6:$G$205,C93))</f>
        <v/>
      </c>
      <c r="L93" s="24"/>
    </row>
    <row r="94" ht="15.75" customHeight="1">
      <c r="A94" s="18">
        <f t="shared" si="1"/>
        <v>51</v>
      </c>
      <c r="B94" s="23"/>
      <c r="C94" s="24"/>
      <c r="D94" s="44"/>
      <c r="E94" s="24"/>
      <c r="F94" s="23"/>
      <c r="G94" s="24"/>
      <c r="H94" s="24"/>
      <c r="I94" s="26"/>
      <c r="J94" s="26"/>
      <c r="K94" s="33" t="str">
        <f>IF(C94="","",COUNTIF(ADS!$G$6:$G$319,C94)+COUNTIF('Biên Tập'!$G$6:$G$205,C94)+COUNTIF('Thiết Kế'!$G$6:$G$205,C94)+COUNTIF('Media Dựng'!$G$6:$G$205,C94)+COUNTIF('PR Thương Hiệu'!$G$6:$G$205,C94))</f>
        <v/>
      </c>
      <c r="L94" s="24"/>
    </row>
    <row r="95" ht="15.75" customHeight="1">
      <c r="A95" s="18">
        <f t="shared" si="1"/>
        <v>51</v>
      </c>
      <c r="B95" s="23"/>
      <c r="C95" s="24"/>
      <c r="D95" s="44"/>
      <c r="E95" s="24"/>
      <c r="F95" s="23"/>
      <c r="G95" s="24"/>
      <c r="H95" s="24"/>
      <c r="I95" s="26"/>
      <c r="J95" s="26"/>
      <c r="K95" s="33" t="str">
        <f>IF(C95="","",COUNTIF(ADS!$G$6:$G$319,C95)+COUNTIF('Biên Tập'!$G$6:$G$205,C95)+COUNTIF('Thiết Kế'!$G$6:$G$205,C95)+COUNTIF('Media Dựng'!$G$6:$G$205,C95)+COUNTIF('PR Thương Hiệu'!$G$6:$G$205,C95))</f>
        <v/>
      </c>
      <c r="L95" s="24"/>
    </row>
    <row r="96" ht="15.75" customHeight="1">
      <c r="A96" s="18">
        <f t="shared" si="1"/>
        <v>51</v>
      </c>
      <c r="B96" s="23"/>
      <c r="C96" s="24"/>
      <c r="D96" s="44"/>
      <c r="E96" s="24"/>
      <c r="F96" s="23"/>
      <c r="G96" s="24"/>
      <c r="H96" s="24"/>
      <c r="I96" s="26"/>
      <c r="J96" s="26"/>
      <c r="K96" s="33" t="str">
        <f>IF(C96="","",COUNTIF(ADS!$G$6:$G$319,C96)+COUNTIF('Biên Tập'!$G$6:$G$205,C96)+COUNTIF('Thiết Kế'!$G$6:$G$205,C96)+COUNTIF('Media Dựng'!$G$6:$G$205,C96)+COUNTIF('PR Thương Hiệu'!$G$6:$G$205,C96))</f>
        <v/>
      </c>
      <c r="L96" s="24"/>
    </row>
    <row r="97" ht="15.75" customHeight="1">
      <c r="A97" s="18">
        <f t="shared" si="1"/>
        <v>51</v>
      </c>
      <c r="B97" s="23"/>
      <c r="C97" s="24"/>
      <c r="D97" s="44"/>
      <c r="E97" s="24"/>
      <c r="F97" s="23"/>
      <c r="G97" s="24"/>
      <c r="H97" s="24"/>
      <c r="I97" s="26"/>
      <c r="J97" s="26"/>
      <c r="K97" s="33" t="str">
        <f>IF(C97="","",COUNTIF(ADS!$G$6:$G$319,C97)+COUNTIF('Biên Tập'!$G$6:$G$205,C97)+COUNTIF('Thiết Kế'!$G$6:$G$205,C97)+COUNTIF('Media Dựng'!$G$6:$G$205,C97)+COUNTIF('PR Thương Hiệu'!$G$6:$G$205,C97))</f>
        <v/>
      </c>
      <c r="L97" s="24"/>
    </row>
    <row r="98" ht="15.75" customHeight="1">
      <c r="A98" s="18">
        <f t="shared" si="1"/>
        <v>51</v>
      </c>
      <c r="B98" s="23"/>
      <c r="C98" s="24"/>
      <c r="D98" s="44"/>
      <c r="E98" s="24"/>
      <c r="F98" s="23"/>
      <c r="G98" s="24"/>
      <c r="H98" s="24"/>
      <c r="I98" s="26"/>
      <c r="J98" s="26"/>
      <c r="K98" s="33" t="str">
        <f>IF(C98="","",COUNTIF(ADS!$G$6:$G$319,C98)+COUNTIF('Biên Tập'!$G$6:$G$205,C98)+COUNTIF('Thiết Kế'!$G$6:$G$205,C98)+COUNTIF('Media Dựng'!$G$6:$G$205,C98)+COUNTIF('PR Thương Hiệu'!$G$6:$G$205,C98))</f>
        <v/>
      </c>
      <c r="L98" s="24"/>
    </row>
    <row r="99" ht="15.75" customHeight="1">
      <c r="A99" s="18">
        <f t="shared" si="1"/>
        <v>51</v>
      </c>
      <c r="B99" s="23"/>
      <c r="C99" s="24"/>
      <c r="D99" s="44"/>
      <c r="E99" s="24"/>
      <c r="F99" s="23"/>
      <c r="G99" s="24"/>
      <c r="H99" s="24"/>
      <c r="I99" s="26"/>
      <c r="J99" s="26"/>
      <c r="K99" s="33" t="str">
        <f>IF(C99="","",COUNTIF(ADS!$G$6:$G$319,C99)+COUNTIF('Biên Tập'!$G$6:$G$205,C99)+COUNTIF('Thiết Kế'!$G$6:$G$205,C99)+COUNTIF('Media Dựng'!$G$6:$G$205,C99)+COUNTIF('PR Thương Hiệu'!$G$6:$G$205,C99))</f>
        <v/>
      </c>
      <c r="L99" s="24"/>
    </row>
    <row r="100" ht="15.75" customHeight="1">
      <c r="A100" s="18">
        <f t="shared" si="1"/>
        <v>51</v>
      </c>
      <c r="B100" s="23"/>
      <c r="C100" s="24"/>
      <c r="D100" s="44"/>
      <c r="E100" s="24"/>
      <c r="F100" s="23"/>
      <c r="G100" s="24"/>
      <c r="H100" s="24"/>
      <c r="I100" s="26"/>
      <c r="J100" s="26"/>
      <c r="K100" s="33" t="str">
        <f>IF(C100="","",COUNTIF(ADS!$G$6:$G$319,C100)+COUNTIF('Biên Tập'!$G$6:$G$205,C100)+COUNTIF('Thiết Kế'!$G$6:$G$205,C100)+COUNTIF('Media Dựng'!$G$6:$G$205,C100)+COUNTIF('PR Thương Hiệu'!$G$6:$G$205,C100))</f>
        <v/>
      </c>
      <c r="L100" s="24"/>
    </row>
    <row r="101" ht="15.75" customHeight="1">
      <c r="A101" s="18">
        <f t="shared" si="1"/>
        <v>51</v>
      </c>
      <c r="B101" s="23"/>
      <c r="C101" s="24"/>
      <c r="D101" s="44"/>
      <c r="E101" s="24"/>
      <c r="F101" s="23"/>
      <c r="G101" s="24"/>
      <c r="H101" s="24"/>
      <c r="I101" s="26"/>
      <c r="J101" s="26"/>
      <c r="K101" s="33" t="str">
        <f>IF(C101="","",COUNTIF(ADS!$G$6:$G$319,C101)+COUNTIF('Biên Tập'!$G$6:$G$205,C101)+COUNTIF('Thiết Kế'!$G$6:$G$205,C101)+COUNTIF('Media Dựng'!$G$6:$G$205,C101)+COUNTIF('PR Thương Hiệu'!$G$6:$G$205,C101))</f>
        <v/>
      </c>
      <c r="L101" s="24"/>
    </row>
    <row r="102" ht="15.75" customHeight="1">
      <c r="A102" s="18">
        <f t="shared" si="1"/>
        <v>51</v>
      </c>
      <c r="B102" s="23"/>
      <c r="C102" s="24"/>
      <c r="D102" s="44"/>
      <c r="E102" s="24"/>
      <c r="F102" s="23"/>
      <c r="G102" s="24"/>
      <c r="H102" s="24"/>
      <c r="I102" s="26"/>
      <c r="J102" s="26"/>
      <c r="K102" s="33" t="str">
        <f>IF(C102="","",COUNTIF(ADS!$G$6:$G$319,C102)+COUNTIF('Biên Tập'!$G$6:$G$205,C102)+COUNTIF('Thiết Kế'!$G$6:$G$205,C102)+COUNTIF('Media Dựng'!$G$6:$G$205,C102)+COUNTIF('PR Thương Hiệu'!$G$6:$G$205,C102))</f>
        <v/>
      </c>
      <c r="L102" s="24"/>
    </row>
    <row r="103" ht="15.75" customHeight="1">
      <c r="A103" s="18">
        <f t="shared" si="1"/>
        <v>51</v>
      </c>
      <c r="B103" s="23"/>
      <c r="C103" s="24"/>
      <c r="D103" s="44"/>
      <c r="E103" s="24"/>
      <c r="F103" s="23"/>
      <c r="G103" s="24"/>
      <c r="H103" s="24"/>
      <c r="I103" s="26"/>
      <c r="J103" s="26"/>
      <c r="K103" s="33" t="str">
        <f>IF(C103="","",COUNTIF(ADS!$G$6:$G$319,C103)+COUNTIF('Biên Tập'!$G$6:$G$205,C103)+COUNTIF('Thiết Kế'!$G$6:$G$205,C103)+COUNTIF('Media Dựng'!$G$6:$G$205,C103)+COUNTIF('PR Thương Hiệu'!$G$6:$G$205,C103))</f>
        <v/>
      </c>
      <c r="L103" s="24"/>
    </row>
    <row r="104" ht="15.75" customHeight="1">
      <c r="A104" s="18">
        <f t="shared" si="1"/>
        <v>51</v>
      </c>
      <c r="B104" s="23"/>
      <c r="C104" s="24"/>
      <c r="D104" s="44"/>
      <c r="E104" s="24"/>
      <c r="F104" s="23"/>
      <c r="G104" s="24"/>
      <c r="H104" s="24"/>
      <c r="I104" s="26"/>
      <c r="J104" s="26"/>
      <c r="K104" s="33" t="str">
        <f>IF(C104="","",COUNTIF(ADS!$G$6:$G$319,C104)+COUNTIF('Biên Tập'!$G$6:$G$205,C104)+COUNTIF('Thiết Kế'!$G$6:$G$205,C104)+COUNTIF('Media Dựng'!$G$6:$G$205,C104)+COUNTIF('PR Thương Hiệu'!$G$6:$G$205,C104))</f>
        <v/>
      </c>
      <c r="L104" s="24"/>
    </row>
    <row r="105" ht="15.75" customHeight="1">
      <c r="A105" s="18">
        <f t="shared" si="1"/>
        <v>51</v>
      </c>
      <c r="B105" s="23"/>
      <c r="C105" s="24"/>
      <c r="D105" s="44"/>
      <c r="E105" s="24"/>
      <c r="F105" s="23"/>
      <c r="G105" s="24"/>
      <c r="H105" s="24"/>
      <c r="I105" s="26"/>
      <c r="J105" s="26"/>
      <c r="K105" s="33" t="str">
        <f>IF(C105="","",COUNTIF(ADS!$G$6:$G$319,C105)+COUNTIF('Biên Tập'!$G$6:$G$205,C105)+COUNTIF('Thiết Kế'!$G$6:$G$205,C105)+COUNTIF('Media Dựng'!$G$6:$G$205,C105)+COUNTIF('PR Thương Hiệu'!$G$6:$G$205,C105))</f>
        <v/>
      </c>
      <c r="L105" s="24"/>
    </row>
    <row r="106" ht="15.75" customHeight="1">
      <c r="A106" s="18">
        <f t="shared" si="1"/>
        <v>51</v>
      </c>
      <c r="B106" s="23"/>
      <c r="C106" s="24"/>
      <c r="D106" s="44"/>
      <c r="E106" s="24"/>
      <c r="F106" s="23"/>
      <c r="G106" s="24"/>
      <c r="H106" s="24"/>
      <c r="I106" s="26"/>
      <c r="J106" s="26"/>
      <c r="K106" s="33" t="str">
        <f>IF(C106="","",COUNTIF(ADS!$G$6:$G$319,C106)+COUNTIF('Biên Tập'!$G$6:$G$205,C106)+COUNTIF('Thiết Kế'!$G$6:$G$205,C106)+COUNTIF('Media Dựng'!$G$6:$G$205,C106)+COUNTIF('PR Thương Hiệu'!$G$6:$G$205,C106))</f>
        <v/>
      </c>
      <c r="L106" s="24"/>
    </row>
    <row r="107" ht="15.75" customHeight="1">
      <c r="A107" s="18">
        <f t="shared" si="1"/>
        <v>51</v>
      </c>
      <c r="B107" s="23"/>
      <c r="C107" s="24"/>
      <c r="D107" s="44"/>
      <c r="E107" s="24"/>
      <c r="F107" s="23"/>
      <c r="G107" s="24"/>
      <c r="H107" s="24"/>
      <c r="I107" s="26"/>
      <c r="J107" s="26"/>
      <c r="K107" s="33" t="str">
        <f>IF(C107="","",COUNTIF(ADS!$G$6:$G$319,C107)+COUNTIF('Biên Tập'!$G$6:$G$205,C107)+COUNTIF('Thiết Kế'!$G$6:$G$205,C107)+COUNTIF('Media Dựng'!$G$6:$G$205,C107)+COUNTIF('PR Thương Hiệu'!$G$6:$G$205,C107))</f>
        <v/>
      </c>
      <c r="L107" s="24"/>
    </row>
    <row r="108" ht="15.75" customHeight="1">
      <c r="A108" s="18">
        <f t="shared" si="1"/>
        <v>51</v>
      </c>
      <c r="B108" s="23"/>
      <c r="C108" s="24"/>
      <c r="D108" s="44"/>
      <c r="E108" s="24"/>
      <c r="F108" s="23"/>
      <c r="G108" s="24"/>
      <c r="H108" s="24"/>
      <c r="I108" s="26"/>
      <c r="J108" s="26"/>
      <c r="K108" s="33" t="str">
        <f>IF(C108="","",COUNTIF(ADS!$G$6:$G$319,C108)+COUNTIF('Biên Tập'!$G$6:$G$205,C108)+COUNTIF('Thiết Kế'!$G$6:$G$205,C108)+COUNTIF('Media Dựng'!$G$6:$G$205,C108)+COUNTIF('PR Thương Hiệu'!$G$6:$G$205,C108))</f>
        <v/>
      </c>
      <c r="L108" s="24"/>
    </row>
    <row r="109" ht="15.75" customHeight="1">
      <c r="A109" s="18">
        <f t="shared" si="1"/>
        <v>51</v>
      </c>
      <c r="B109" s="23"/>
      <c r="C109" s="24"/>
      <c r="D109" s="44"/>
      <c r="E109" s="24"/>
      <c r="F109" s="23"/>
      <c r="G109" s="24"/>
      <c r="H109" s="24"/>
      <c r="I109" s="26"/>
      <c r="J109" s="26"/>
      <c r="K109" s="33" t="str">
        <f>IF(C109="","",COUNTIF(ADS!$G$6:$G$319,C109)+COUNTIF('Biên Tập'!$G$6:$G$205,C109)+COUNTIF('Thiết Kế'!$G$6:$G$205,C109)+COUNTIF('Media Dựng'!$G$6:$G$205,C109)+COUNTIF('PR Thương Hiệu'!$G$6:$G$205,C109))</f>
        <v/>
      </c>
      <c r="L109" s="24"/>
    </row>
    <row r="110" ht="15.75" customHeight="1">
      <c r="A110" s="18">
        <f t="shared" si="1"/>
        <v>51</v>
      </c>
      <c r="B110" s="23"/>
      <c r="C110" s="24"/>
      <c r="D110" s="44"/>
      <c r="E110" s="24"/>
      <c r="F110" s="23"/>
      <c r="G110" s="24"/>
      <c r="H110" s="24"/>
      <c r="I110" s="26"/>
      <c r="J110" s="26"/>
      <c r="K110" s="33" t="str">
        <f>IF(C110="","",COUNTIF(ADS!$G$6:$G$319,C110)+COUNTIF('Biên Tập'!$G$6:$G$205,C110)+COUNTIF('Thiết Kế'!$G$6:$G$205,C110)+COUNTIF('Media Dựng'!$G$6:$G$205,C110)+COUNTIF('PR Thương Hiệu'!$G$6:$G$205,C110))</f>
        <v/>
      </c>
      <c r="L110" s="24"/>
    </row>
    <row r="111" ht="15.75" customHeight="1">
      <c r="A111" s="18">
        <f t="shared" si="1"/>
        <v>51</v>
      </c>
      <c r="B111" s="23"/>
      <c r="C111" s="24"/>
      <c r="D111" s="44"/>
      <c r="E111" s="24"/>
      <c r="F111" s="23"/>
      <c r="G111" s="24"/>
      <c r="H111" s="24"/>
      <c r="I111" s="26"/>
      <c r="J111" s="26"/>
      <c r="K111" s="33" t="str">
        <f>IF(C111="","",COUNTIF(ADS!$G$6:$G$319,C111)+COUNTIF('Biên Tập'!$G$6:$G$205,C111)+COUNTIF('Thiết Kế'!$G$6:$G$205,C111)+COUNTIF('Media Dựng'!$G$6:$G$205,C111)+COUNTIF('PR Thương Hiệu'!$G$6:$G$205,C111))</f>
        <v/>
      </c>
      <c r="L111" s="24"/>
    </row>
    <row r="112" ht="15.75" customHeight="1">
      <c r="A112" s="18">
        <f t="shared" si="1"/>
        <v>51</v>
      </c>
      <c r="B112" s="23"/>
      <c r="C112" s="24"/>
      <c r="D112" s="44"/>
      <c r="E112" s="24"/>
      <c r="F112" s="23"/>
      <c r="G112" s="24"/>
      <c r="H112" s="24"/>
      <c r="I112" s="26"/>
      <c r="J112" s="26"/>
      <c r="K112" s="33" t="str">
        <f>IF(C112="","",COUNTIF(ADS!$G$6:$G$319,C112)+COUNTIF('Biên Tập'!$G$6:$G$205,C112)+COUNTIF('Thiết Kế'!$G$6:$G$205,C112)+COUNTIF('Media Dựng'!$G$6:$G$205,C112)+COUNTIF('PR Thương Hiệu'!$G$6:$G$205,C112))</f>
        <v/>
      </c>
      <c r="L112" s="24"/>
    </row>
    <row r="113" ht="15.75" customHeight="1">
      <c r="A113" s="18">
        <f t="shared" si="1"/>
        <v>51</v>
      </c>
      <c r="B113" s="23"/>
      <c r="C113" s="24"/>
      <c r="D113" s="44"/>
      <c r="E113" s="24"/>
      <c r="F113" s="23"/>
      <c r="G113" s="24"/>
      <c r="H113" s="24"/>
      <c r="I113" s="26"/>
      <c r="J113" s="26"/>
      <c r="K113" s="33" t="str">
        <f>IF(C113="","",COUNTIF(ADS!$G$6:$G$319,C113)+COUNTIF('Biên Tập'!$G$6:$G$205,C113)+COUNTIF('Thiết Kế'!$G$6:$G$205,C113)+COUNTIF('Media Dựng'!$G$6:$G$205,C113)+COUNTIF('PR Thương Hiệu'!$G$6:$G$205,C113))</f>
        <v/>
      </c>
      <c r="L113" s="24"/>
    </row>
    <row r="114" ht="15.75" customHeight="1">
      <c r="A114" s="18">
        <f t="shared" si="1"/>
        <v>51</v>
      </c>
      <c r="B114" s="23"/>
      <c r="C114" s="24"/>
      <c r="D114" s="44"/>
      <c r="E114" s="24"/>
      <c r="F114" s="23"/>
      <c r="G114" s="24"/>
      <c r="H114" s="24"/>
      <c r="I114" s="26"/>
      <c r="J114" s="26"/>
      <c r="K114" s="33" t="str">
        <f>IF(C114="","",COUNTIF(ADS!$G$6:$G$319,C114)+COUNTIF('Biên Tập'!$G$6:$G$205,C114)+COUNTIF('Thiết Kế'!$G$6:$G$205,C114)+COUNTIF('Media Dựng'!$G$6:$G$205,C114)+COUNTIF('PR Thương Hiệu'!$G$6:$G$205,C114))</f>
        <v/>
      </c>
      <c r="L114" s="24"/>
    </row>
    <row r="115" ht="15.75" customHeight="1">
      <c r="A115" s="18">
        <f t="shared" si="1"/>
        <v>51</v>
      </c>
      <c r="B115" s="23"/>
      <c r="C115" s="24"/>
      <c r="D115" s="44"/>
      <c r="E115" s="24"/>
      <c r="F115" s="23"/>
      <c r="G115" s="24"/>
      <c r="H115" s="24"/>
      <c r="I115" s="26"/>
      <c r="J115" s="26"/>
      <c r="K115" s="33" t="str">
        <f>IF(C115="","",COUNTIF(ADS!$G$6:$G$319,C115)+COUNTIF('Biên Tập'!$G$6:$G$205,C115)+COUNTIF('Thiết Kế'!$G$6:$G$205,C115)+COUNTIF('Media Dựng'!$G$6:$G$205,C115)+COUNTIF('PR Thương Hiệu'!$G$6:$G$205,C115))</f>
        <v/>
      </c>
      <c r="L115" s="24"/>
    </row>
    <row r="116" ht="15.75" customHeight="1">
      <c r="A116" s="18">
        <f t="shared" si="1"/>
        <v>51</v>
      </c>
      <c r="B116" s="23"/>
      <c r="C116" s="24"/>
      <c r="D116" s="44"/>
      <c r="E116" s="24"/>
      <c r="F116" s="23"/>
      <c r="G116" s="24"/>
      <c r="H116" s="24"/>
      <c r="I116" s="26"/>
      <c r="J116" s="26"/>
      <c r="K116" s="33" t="str">
        <f>IF(C116="","",COUNTIF(ADS!$G$6:$G$319,C116)+COUNTIF('Biên Tập'!$G$6:$G$205,C116)+COUNTIF('Thiết Kế'!$G$6:$G$205,C116)+COUNTIF('Media Dựng'!$G$6:$G$205,C116)+COUNTIF('PR Thương Hiệu'!$G$6:$G$205,C116))</f>
        <v/>
      </c>
      <c r="L116" s="24"/>
    </row>
    <row r="117" ht="15.75" customHeight="1">
      <c r="A117" s="18">
        <f t="shared" si="1"/>
        <v>51</v>
      </c>
      <c r="B117" s="23"/>
      <c r="C117" s="24"/>
      <c r="D117" s="44"/>
      <c r="E117" s="24"/>
      <c r="F117" s="23"/>
      <c r="G117" s="24"/>
      <c r="H117" s="24"/>
      <c r="I117" s="26"/>
      <c r="J117" s="26"/>
      <c r="K117" s="33" t="str">
        <f>IF(C117="","",COUNTIF(ADS!$G$6:$G$319,C117)+COUNTIF('Biên Tập'!$G$6:$G$205,C117)+COUNTIF('Thiết Kế'!$G$6:$G$205,C117)+COUNTIF('Media Dựng'!$G$6:$G$205,C117)+COUNTIF('PR Thương Hiệu'!$G$6:$G$205,C117))</f>
        <v/>
      </c>
      <c r="L117" s="24"/>
    </row>
    <row r="118" ht="15.75" customHeight="1">
      <c r="A118" s="18">
        <f t="shared" si="1"/>
        <v>51</v>
      </c>
      <c r="B118" s="23"/>
      <c r="C118" s="24"/>
      <c r="D118" s="44"/>
      <c r="E118" s="24"/>
      <c r="F118" s="23"/>
      <c r="G118" s="24"/>
      <c r="H118" s="24"/>
      <c r="I118" s="26"/>
      <c r="J118" s="26"/>
      <c r="K118" s="33" t="str">
        <f>IF(C118="","",COUNTIF(ADS!$G$6:$G$319,C118)+COUNTIF('Biên Tập'!$G$6:$G$205,C118)+COUNTIF('Thiết Kế'!$G$6:$G$205,C118)+COUNTIF('Media Dựng'!$G$6:$G$205,C118)+COUNTIF('PR Thương Hiệu'!$G$6:$G$205,C118))</f>
        <v/>
      </c>
      <c r="L118" s="24"/>
    </row>
    <row r="119" ht="15.75" customHeight="1">
      <c r="A119" s="18">
        <f t="shared" si="1"/>
        <v>51</v>
      </c>
      <c r="B119" s="23"/>
      <c r="C119" s="24"/>
      <c r="D119" s="44"/>
      <c r="E119" s="24"/>
      <c r="F119" s="23"/>
      <c r="G119" s="24"/>
      <c r="H119" s="24"/>
      <c r="I119" s="26"/>
      <c r="J119" s="26"/>
      <c r="K119" s="33" t="str">
        <f>IF(C119="","",COUNTIF(ADS!$G$6:$G$319,C119)+COUNTIF('Biên Tập'!$G$6:$G$205,C119)+COUNTIF('Thiết Kế'!$G$6:$G$205,C119)+COUNTIF('Media Dựng'!$G$6:$G$205,C119)+COUNTIF('PR Thương Hiệu'!$G$6:$G$205,C119))</f>
        <v/>
      </c>
      <c r="L119" s="24"/>
    </row>
    <row r="120" ht="15.75" customHeight="1">
      <c r="A120" s="18">
        <f t="shared" si="1"/>
        <v>51</v>
      </c>
      <c r="B120" s="23"/>
      <c r="C120" s="24"/>
      <c r="D120" s="44"/>
      <c r="E120" s="24"/>
      <c r="F120" s="23"/>
      <c r="G120" s="24"/>
      <c r="H120" s="24"/>
      <c r="I120" s="26"/>
      <c r="J120" s="26"/>
      <c r="K120" s="33" t="str">
        <f>IF(C120="","",COUNTIF(ADS!$G$6:$G$319,C120)+COUNTIF('Biên Tập'!$G$6:$G$205,C120)+COUNTIF('Thiết Kế'!$G$6:$G$205,C120)+COUNTIF('Media Dựng'!$G$6:$G$205,C120)+COUNTIF('PR Thương Hiệu'!$G$6:$G$205,C120))</f>
        <v/>
      </c>
      <c r="L120" s="24"/>
    </row>
    <row r="121" ht="15.75" customHeight="1">
      <c r="A121" s="18">
        <f t="shared" si="1"/>
        <v>51</v>
      </c>
      <c r="B121" s="23"/>
      <c r="C121" s="24"/>
      <c r="D121" s="44"/>
      <c r="E121" s="24"/>
      <c r="F121" s="23"/>
      <c r="G121" s="24"/>
      <c r="H121" s="24"/>
      <c r="I121" s="26"/>
      <c r="J121" s="26"/>
      <c r="K121" s="33" t="str">
        <f>IF(C121="","",COUNTIF(ADS!$G$6:$G$319,C121)+COUNTIF('Biên Tập'!$G$6:$G$205,C121)+COUNTIF('Thiết Kế'!$G$6:$G$205,C121)+COUNTIF('Media Dựng'!$G$6:$G$205,C121)+COUNTIF('PR Thương Hiệu'!$G$6:$G$205,C121))</f>
        <v/>
      </c>
      <c r="L121" s="24"/>
    </row>
    <row r="122" ht="15.75" customHeight="1">
      <c r="A122" s="18">
        <f t="shared" si="1"/>
        <v>51</v>
      </c>
      <c r="B122" s="23"/>
      <c r="C122" s="24"/>
      <c r="D122" s="44"/>
      <c r="E122" s="24"/>
      <c r="F122" s="23"/>
      <c r="G122" s="24"/>
      <c r="H122" s="24"/>
      <c r="I122" s="26"/>
      <c r="J122" s="26"/>
      <c r="K122" s="33" t="str">
        <f>IF(C122="","",COUNTIF(ADS!$G$6:$G$319,C122)+COUNTIF('Biên Tập'!$G$6:$G$205,C122)+COUNTIF('Thiết Kế'!$G$6:$G$205,C122)+COUNTIF('Media Dựng'!$G$6:$G$205,C122)+COUNTIF('PR Thương Hiệu'!$G$6:$G$205,C122))</f>
        <v/>
      </c>
      <c r="L122" s="24"/>
    </row>
    <row r="123" ht="15.75" customHeight="1">
      <c r="A123" s="18">
        <f t="shared" si="1"/>
        <v>51</v>
      </c>
      <c r="B123" s="23"/>
      <c r="C123" s="24"/>
      <c r="D123" s="44"/>
      <c r="E123" s="24"/>
      <c r="F123" s="23"/>
      <c r="G123" s="24"/>
      <c r="H123" s="24"/>
      <c r="I123" s="26"/>
      <c r="J123" s="26"/>
      <c r="K123" s="33" t="str">
        <f>IF(C123="","",COUNTIF(ADS!$G$6:$G$319,C123)+COUNTIF('Biên Tập'!$G$6:$G$205,C123)+COUNTIF('Thiết Kế'!$G$6:$G$205,C123)+COUNTIF('Media Dựng'!$G$6:$G$205,C123)+COUNTIF('PR Thương Hiệu'!$G$6:$G$205,C123))</f>
        <v/>
      </c>
      <c r="L123" s="24"/>
    </row>
    <row r="124" ht="15.75" customHeight="1">
      <c r="A124" s="18">
        <f t="shared" si="1"/>
        <v>51</v>
      </c>
      <c r="B124" s="23"/>
      <c r="C124" s="24"/>
      <c r="D124" s="44"/>
      <c r="E124" s="24"/>
      <c r="F124" s="23"/>
      <c r="G124" s="24"/>
      <c r="H124" s="24"/>
      <c r="I124" s="26"/>
      <c r="J124" s="26"/>
      <c r="K124" s="33" t="str">
        <f>IF(C124="","",COUNTIF(ADS!$G$6:$G$319,C124)+COUNTIF('Biên Tập'!$G$6:$G$205,C124)+COUNTIF('Thiết Kế'!$G$6:$G$205,C124)+COUNTIF('Media Dựng'!$G$6:$G$205,C124)+COUNTIF('PR Thương Hiệu'!$G$6:$G$205,C124))</f>
        <v/>
      </c>
      <c r="L124" s="24"/>
    </row>
    <row r="125" ht="15.75" customHeight="1">
      <c r="A125" s="18">
        <f t="shared" si="1"/>
        <v>51</v>
      </c>
      <c r="B125" s="23"/>
      <c r="C125" s="24"/>
      <c r="D125" s="44"/>
      <c r="E125" s="24"/>
      <c r="F125" s="23"/>
      <c r="G125" s="24"/>
      <c r="H125" s="24"/>
      <c r="I125" s="26"/>
      <c r="J125" s="26"/>
      <c r="K125" s="33" t="str">
        <f>IF(C125="","",COUNTIF(ADS!$G$6:$G$319,C125)+COUNTIF('Biên Tập'!$G$6:$G$205,C125)+COUNTIF('Thiết Kế'!$G$6:$G$205,C125)+COUNTIF('Media Dựng'!$G$6:$G$205,C125)+COUNTIF('PR Thương Hiệu'!$G$6:$G$205,C125))</f>
        <v/>
      </c>
      <c r="L125" s="24"/>
    </row>
    <row r="126" ht="15.75" customHeight="1">
      <c r="A126" s="18">
        <f t="shared" si="1"/>
        <v>51</v>
      </c>
      <c r="B126" s="23"/>
      <c r="C126" s="24"/>
      <c r="D126" s="44"/>
      <c r="E126" s="24"/>
      <c r="F126" s="23"/>
      <c r="G126" s="24"/>
      <c r="H126" s="24"/>
      <c r="I126" s="26"/>
      <c r="J126" s="26"/>
      <c r="K126" s="33" t="str">
        <f>IF(C126="","",COUNTIF(ADS!$G$6:$G$319,C126)+COUNTIF('Biên Tập'!$G$6:$G$205,C126)+COUNTIF('Thiết Kế'!$G$6:$G$205,C126)+COUNTIF('Media Dựng'!$G$6:$G$205,C126)+COUNTIF('PR Thương Hiệu'!$G$6:$G$205,C126))</f>
        <v/>
      </c>
      <c r="L126" s="24"/>
    </row>
    <row r="127" ht="15.75" customHeight="1">
      <c r="A127" s="18">
        <f t="shared" si="1"/>
        <v>51</v>
      </c>
      <c r="B127" s="23"/>
      <c r="C127" s="24"/>
      <c r="D127" s="44"/>
      <c r="E127" s="24"/>
      <c r="F127" s="23"/>
      <c r="G127" s="24"/>
      <c r="H127" s="24"/>
      <c r="I127" s="26"/>
      <c r="J127" s="26"/>
      <c r="K127" s="33" t="str">
        <f>IF(C127="","",COUNTIF(ADS!$G$6:$G$319,C127)+COUNTIF('Biên Tập'!$G$6:$G$205,C127)+COUNTIF('Thiết Kế'!$G$6:$G$205,C127)+COUNTIF('Media Dựng'!$G$6:$G$205,C127)+COUNTIF('PR Thương Hiệu'!$G$6:$G$205,C127))</f>
        <v/>
      </c>
      <c r="L127" s="24"/>
    </row>
    <row r="128" ht="15.75" customHeight="1">
      <c r="A128" s="18">
        <f t="shared" si="1"/>
        <v>51</v>
      </c>
      <c r="B128" s="23"/>
      <c r="C128" s="24"/>
      <c r="D128" s="44"/>
      <c r="E128" s="24"/>
      <c r="F128" s="23"/>
      <c r="G128" s="24"/>
      <c r="H128" s="24"/>
      <c r="I128" s="26"/>
      <c r="J128" s="26"/>
      <c r="K128" s="33" t="str">
        <f>IF(C128="","",COUNTIF(ADS!$G$6:$G$319,C128)+COUNTIF('Biên Tập'!$G$6:$G$205,C128)+COUNTIF('Thiết Kế'!$G$6:$G$205,C128)+COUNTIF('Media Dựng'!$G$6:$G$205,C128)+COUNTIF('PR Thương Hiệu'!$G$6:$G$205,C128))</f>
        <v/>
      </c>
      <c r="L128" s="24"/>
    </row>
    <row r="129" ht="15.75" customHeight="1">
      <c r="A129" s="18">
        <f t="shared" si="1"/>
        <v>51</v>
      </c>
      <c r="B129" s="23"/>
      <c r="C129" s="24"/>
      <c r="D129" s="44"/>
      <c r="E129" s="24"/>
      <c r="F129" s="23"/>
      <c r="G129" s="24"/>
      <c r="H129" s="24"/>
      <c r="I129" s="26"/>
      <c r="J129" s="26"/>
      <c r="K129" s="33" t="str">
        <f>IF(C129="","",COUNTIF(ADS!$G$6:$G$319,C129)+COUNTIF('Biên Tập'!$G$6:$G$205,C129)+COUNTIF('Thiết Kế'!$G$6:$G$205,C129)+COUNTIF('Media Dựng'!$G$6:$G$205,C129)+COUNTIF('PR Thương Hiệu'!$G$6:$G$205,C129))</f>
        <v/>
      </c>
      <c r="L129" s="24"/>
    </row>
    <row r="130" ht="15.75" customHeight="1">
      <c r="A130" s="18">
        <f t="shared" si="1"/>
        <v>51</v>
      </c>
      <c r="B130" s="23"/>
      <c r="C130" s="24"/>
      <c r="D130" s="44"/>
      <c r="E130" s="24"/>
      <c r="F130" s="23"/>
      <c r="G130" s="24"/>
      <c r="H130" s="24"/>
      <c r="I130" s="26"/>
      <c r="J130" s="26"/>
      <c r="K130" s="33" t="str">
        <f>IF(C130="","",COUNTIF(ADS!$G$6:$G$319,C130)+COUNTIF('Biên Tập'!$G$6:$G$205,C130)+COUNTIF('Thiết Kế'!$G$6:$G$205,C130)+COUNTIF('Media Dựng'!$G$6:$G$205,C130)+COUNTIF('PR Thương Hiệu'!$G$6:$G$205,C130))</f>
        <v/>
      </c>
      <c r="L130" s="24"/>
    </row>
    <row r="131" ht="15.75" customHeight="1">
      <c r="A131" s="18">
        <f t="shared" si="1"/>
        <v>51</v>
      </c>
      <c r="B131" s="23"/>
      <c r="C131" s="24"/>
      <c r="D131" s="44"/>
      <c r="E131" s="24"/>
      <c r="F131" s="23"/>
      <c r="G131" s="24"/>
      <c r="H131" s="24"/>
      <c r="I131" s="26"/>
      <c r="J131" s="26"/>
      <c r="K131" s="33" t="str">
        <f>IF(C131="","",COUNTIF(ADS!$G$6:$G$319,C131)+COUNTIF('Biên Tập'!$G$6:$G$205,C131)+COUNTIF('Thiết Kế'!$G$6:$G$205,C131)+COUNTIF('Media Dựng'!$G$6:$G$205,C131)+COUNTIF('PR Thương Hiệu'!$G$6:$G$205,C131))</f>
        <v/>
      </c>
      <c r="L131" s="24"/>
    </row>
    <row r="132" ht="15.75" customHeight="1">
      <c r="A132" s="18">
        <f t="shared" si="1"/>
        <v>51</v>
      </c>
      <c r="B132" s="23"/>
      <c r="C132" s="24"/>
      <c r="D132" s="44"/>
      <c r="E132" s="24"/>
      <c r="F132" s="23"/>
      <c r="G132" s="24"/>
      <c r="H132" s="24"/>
      <c r="I132" s="26"/>
      <c r="J132" s="26"/>
      <c r="K132" s="33" t="str">
        <f>IF(C132="","",COUNTIF(ADS!$G$6:$G$319,C132)+COUNTIF('Biên Tập'!$G$6:$G$205,C132)+COUNTIF('Thiết Kế'!$G$6:$G$205,C132)+COUNTIF('Media Dựng'!$G$6:$G$205,C132)+COUNTIF('PR Thương Hiệu'!$G$6:$G$205,C132))</f>
        <v/>
      </c>
      <c r="L132" s="24"/>
    </row>
    <row r="133" ht="15.75" customHeight="1">
      <c r="A133" s="18">
        <f t="shared" si="1"/>
        <v>51</v>
      </c>
      <c r="B133" s="23"/>
      <c r="C133" s="24"/>
      <c r="D133" s="44"/>
      <c r="E133" s="24"/>
      <c r="F133" s="23"/>
      <c r="G133" s="24"/>
      <c r="H133" s="24"/>
      <c r="I133" s="26"/>
      <c r="J133" s="26"/>
      <c r="K133" s="33" t="str">
        <f>IF(C133="","",COUNTIF(ADS!$G$6:$G$319,C133)+COUNTIF('Biên Tập'!$G$6:$G$205,C133)+COUNTIF('Thiết Kế'!$G$6:$G$205,C133)+COUNTIF('Media Dựng'!$G$6:$G$205,C133)+COUNTIF('PR Thương Hiệu'!$G$6:$G$205,C133))</f>
        <v/>
      </c>
      <c r="L133" s="24"/>
    </row>
    <row r="134" ht="15.75" customHeight="1">
      <c r="A134" s="18">
        <f t="shared" si="1"/>
        <v>51</v>
      </c>
      <c r="B134" s="23"/>
      <c r="C134" s="24"/>
      <c r="D134" s="44"/>
      <c r="E134" s="24"/>
      <c r="F134" s="23"/>
      <c r="G134" s="24"/>
      <c r="H134" s="24"/>
      <c r="I134" s="26"/>
      <c r="J134" s="26"/>
      <c r="K134" s="33" t="str">
        <f>IF(C134="","",COUNTIF(ADS!$G$6:$G$319,C134)+COUNTIF('Biên Tập'!$G$6:$G$205,C134)+COUNTIF('Thiết Kế'!$G$6:$G$205,C134)+COUNTIF('Media Dựng'!$G$6:$G$205,C134)+COUNTIF('PR Thương Hiệu'!$G$6:$G$205,C134))</f>
        <v/>
      </c>
      <c r="L134" s="24"/>
    </row>
    <row r="135" ht="15.75" customHeight="1">
      <c r="A135" s="18">
        <f t="shared" si="1"/>
        <v>51</v>
      </c>
      <c r="B135" s="23"/>
      <c r="C135" s="24"/>
      <c r="D135" s="44"/>
      <c r="E135" s="24"/>
      <c r="F135" s="23"/>
      <c r="G135" s="24"/>
      <c r="H135" s="24"/>
      <c r="I135" s="26"/>
      <c r="J135" s="26"/>
      <c r="K135" s="33" t="str">
        <f>IF(C135="","",COUNTIF(ADS!$G$6:$G$319,C135)+COUNTIF('Biên Tập'!$G$6:$G$205,C135)+COUNTIF('Thiết Kế'!$G$6:$G$205,C135)+COUNTIF('Media Dựng'!$G$6:$G$205,C135)+COUNTIF('PR Thương Hiệu'!$G$6:$G$205,C135))</f>
        <v/>
      </c>
      <c r="L135" s="24"/>
    </row>
    <row r="136" ht="15.75" customHeight="1">
      <c r="A136" s="18">
        <f t="shared" si="1"/>
        <v>51</v>
      </c>
      <c r="B136" s="23"/>
      <c r="C136" s="24"/>
      <c r="D136" s="44"/>
      <c r="E136" s="24"/>
      <c r="F136" s="23"/>
      <c r="G136" s="24"/>
      <c r="H136" s="24"/>
      <c r="I136" s="26"/>
      <c r="J136" s="26"/>
      <c r="K136" s="33" t="str">
        <f>IF(C136="","",COUNTIF(ADS!$G$6:$G$319,C136)+COUNTIF('Biên Tập'!$G$6:$G$205,C136)+COUNTIF('Thiết Kế'!$G$6:$G$205,C136)+COUNTIF('Media Dựng'!$G$6:$G$205,C136)+COUNTIF('PR Thương Hiệu'!$G$6:$G$205,C136))</f>
        <v/>
      </c>
      <c r="L136" s="24"/>
    </row>
    <row r="137" ht="15.75" customHeight="1">
      <c r="A137" s="18">
        <f t="shared" si="1"/>
        <v>51</v>
      </c>
      <c r="B137" s="23"/>
      <c r="C137" s="24"/>
      <c r="D137" s="44"/>
      <c r="E137" s="24"/>
      <c r="F137" s="23"/>
      <c r="G137" s="24"/>
      <c r="H137" s="24"/>
      <c r="I137" s="26"/>
      <c r="J137" s="26"/>
      <c r="K137" s="33" t="str">
        <f>IF(C137="","",COUNTIF(ADS!$G$6:$G$319,C137)+COUNTIF('Biên Tập'!$G$6:$G$205,C137)+COUNTIF('Thiết Kế'!$G$6:$G$205,C137)+COUNTIF('Media Dựng'!$G$6:$G$205,C137)+COUNTIF('PR Thương Hiệu'!$G$6:$G$205,C137))</f>
        <v/>
      </c>
      <c r="L137" s="24"/>
    </row>
    <row r="138" ht="15.75" customHeight="1">
      <c r="A138" s="18">
        <f t="shared" si="1"/>
        <v>51</v>
      </c>
      <c r="B138" s="23"/>
      <c r="C138" s="24"/>
      <c r="D138" s="44"/>
      <c r="E138" s="24"/>
      <c r="F138" s="23"/>
      <c r="G138" s="24"/>
      <c r="H138" s="24"/>
      <c r="I138" s="26"/>
      <c r="J138" s="26"/>
      <c r="K138" s="33" t="str">
        <f>IF(C138="","",COUNTIF(ADS!$G$6:$G$319,C138)+COUNTIF('Biên Tập'!$G$6:$G$205,C138)+COUNTIF('Thiết Kế'!$G$6:$G$205,C138)+COUNTIF('Media Dựng'!$G$6:$G$205,C138)+COUNTIF('PR Thương Hiệu'!$G$6:$G$205,C138))</f>
        <v/>
      </c>
      <c r="L138" s="24"/>
    </row>
    <row r="139" ht="15.75" customHeight="1">
      <c r="A139" s="18">
        <f t="shared" si="1"/>
        <v>51</v>
      </c>
      <c r="B139" s="23"/>
      <c r="C139" s="24"/>
      <c r="D139" s="44"/>
      <c r="E139" s="24"/>
      <c r="F139" s="23"/>
      <c r="G139" s="24"/>
      <c r="H139" s="24"/>
      <c r="I139" s="26"/>
      <c r="J139" s="26"/>
      <c r="K139" s="33" t="str">
        <f>IF(C139="","",COUNTIF(ADS!$G$6:$G$319,C139)+COUNTIF('Biên Tập'!$G$6:$G$205,C139)+COUNTIF('Thiết Kế'!$G$6:$G$205,C139)+COUNTIF('Media Dựng'!$G$6:$G$205,C139)+COUNTIF('PR Thương Hiệu'!$G$6:$G$205,C139))</f>
        <v/>
      </c>
      <c r="L139" s="24"/>
    </row>
    <row r="140" ht="15.75" customHeight="1">
      <c r="A140" s="18">
        <f t="shared" si="1"/>
        <v>51</v>
      </c>
      <c r="B140" s="23"/>
      <c r="C140" s="24"/>
      <c r="D140" s="44"/>
      <c r="E140" s="24"/>
      <c r="F140" s="23"/>
      <c r="G140" s="24"/>
      <c r="H140" s="24"/>
      <c r="I140" s="26"/>
      <c r="J140" s="26"/>
      <c r="K140" s="33" t="str">
        <f>IF(C140="","",COUNTIF(ADS!$G$6:$G$319,C140)+COUNTIF('Biên Tập'!$G$6:$G$205,C140)+COUNTIF('Thiết Kế'!$G$6:$G$205,C140)+COUNTIF('Media Dựng'!$G$6:$G$205,C140)+COUNTIF('PR Thương Hiệu'!$G$6:$G$205,C140))</f>
        <v/>
      </c>
      <c r="L140" s="24"/>
    </row>
    <row r="141" ht="15.75" customHeight="1">
      <c r="D141" s="4"/>
    </row>
    <row r="142" ht="15.75" customHeight="1">
      <c r="D142" s="4"/>
    </row>
    <row r="143" ht="15.75" customHeight="1">
      <c r="D143" s="4"/>
    </row>
    <row r="144" ht="15.75" customHeight="1">
      <c r="D144" s="4"/>
    </row>
    <row r="145" ht="15.75" customHeight="1">
      <c r="D145" s="4"/>
    </row>
    <row r="146" ht="15.75" customHeight="1">
      <c r="D146" s="4"/>
    </row>
    <row r="147" ht="15.75" customHeight="1">
      <c r="D147" s="4"/>
    </row>
    <row r="148" ht="15.75" customHeight="1">
      <c r="D148" s="4"/>
    </row>
    <row r="149" ht="15.75" customHeight="1">
      <c r="D149" s="4"/>
    </row>
    <row r="150" ht="15.75" customHeight="1">
      <c r="D150" s="4"/>
    </row>
    <row r="151" ht="15.75" customHeight="1">
      <c r="D151" s="4"/>
    </row>
    <row r="152" ht="15.75" customHeight="1">
      <c r="D152" s="4"/>
    </row>
    <row r="153" ht="15.75" customHeight="1">
      <c r="D153" s="4"/>
    </row>
    <row r="154" ht="15.75" customHeight="1">
      <c r="D154" s="4"/>
    </row>
    <row r="155" ht="15.75" customHeight="1">
      <c r="D155" s="4"/>
    </row>
    <row r="156" ht="15.75" customHeight="1">
      <c r="D156" s="4"/>
    </row>
    <row r="157" ht="15.75" customHeight="1">
      <c r="D157" s="4"/>
    </row>
    <row r="158" ht="15.75" customHeight="1">
      <c r="D158" s="4"/>
    </row>
    <row r="159" ht="15.75" customHeight="1">
      <c r="D159" s="4"/>
    </row>
    <row r="160" ht="15.75" customHeight="1">
      <c r="D160" s="4"/>
    </row>
    <row r="161" ht="15.75" customHeight="1">
      <c r="D161" s="4"/>
    </row>
    <row r="162" ht="15.75" customHeight="1">
      <c r="D162" s="4"/>
    </row>
    <row r="163" ht="15.75" customHeight="1">
      <c r="D163" s="4"/>
    </row>
    <row r="164" ht="15.75" customHeight="1">
      <c r="D164" s="4"/>
    </row>
    <row r="165" ht="15.75" customHeight="1">
      <c r="D165" s="4"/>
    </row>
    <row r="166" ht="15.75" customHeight="1">
      <c r="D166" s="4"/>
    </row>
    <row r="167" ht="15.75" customHeight="1">
      <c r="D167" s="4"/>
    </row>
    <row r="168" ht="15.75" customHeight="1">
      <c r="D168" s="4"/>
    </row>
    <row r="169" ht="15.75" customHeight="1">
      <c r="D169" s="4"/>
    </row>
    <row r="170" ht="15.75" customHeight="1">
      <c r="D170" s="4"/>
    </row>
    <row r="171" ht="15.75" customHeight="1">
      <c r="D171" s="4"/>
    </row>
    <row r="172" ht="15.75" customHeight="1">
      <c r="D172" s="4"/>
    </row>
    <row r="173" ht="15.75" customHeight="1">
      <c r="D173" s="4"/>
    </row>
    <row r="174" ht="15.75" customHeight="1">
      <c r="D174" s="4"/>
    </row>
    <row r="175" ht="15.75" customHeight="1">
      <c r="D175" s="4"/>
    </row>
    <row r="176" ht="15.75" customHeight="1">
      <c r="D176" s="4"/>
    </row>
    <row r="177" ht="15.75" customHeight="1">
      <c r="D177" s="4"/>
    </row>
    <row r="178" ht="15.75" customHeight="1">
      <c r="D178" s="4"/>
    </row>
    <row r="179" ht="15.75" customHeight="1">
      <c r="D179" s="4"/>
    </row>
    <row r="180" ht="15.75" customHeight="1">
      <c r="D180" s="4"/>
    </row>
    <row r="181" ht="15.75" customHeight="1">
      <c r="D181" s="4"/>
    </row>
    <row r="182" ht="15.75" customHeight="1">
      <c r="D182" s="4"/>
    </row>
    <row r="183" ht="15.75" customHeight="1">
      <c r="D183" s="4"/>
    </row>
    <row r="184" ht="15.75" customHeight="1">
      <c r="D184" s="4"/>
    </row>
    <row r="185" ht="15.75" customHeight="1">
      <c r="D185" s="4"/>
    </row>
    <row r="186" ht="15.75" customHeight="1">
      <c r="D186" s="4"/>
    </row>
    <row r="187" ht="15.75" customHeight="1">
      <c r="D187" s="4"/>
    </row>
    <row r="188" ht="15.75" customHeight="1">
      <c r="D188" s="4"/>
    </row>
    <row r="189" ht="15.75" customHeight="1">
      <c r="D189" s="4"/>
    </row>
    <row r="190" ht="15.75" customHeight="1">
      <c r="D190" s="4"/>
    </row>
    <row r="191" ht="15.75" customHeight="1">
      <c r="D191" s="4"/>
    </row>
    <row r="192" ht="15.75" customHeight="1">
      <c r="D192" s="4"/>
    </row>
    <row r="193" ht="15.75" customHeight="1">
      <c r="D193" s="4"/>
    </row>
    <row r="194" ht="15.75" customHeight="1">
      <c r="D194" s="4"/>
    </row>
    <row r="195" ht="15.75" customHeight="1">
      <c r="D195" s="4"/>
    </row>
    <row r="196" ht="15.75" customHeight="1">
      <c r="D196" s="4"/>
    </row>
    <row r="197" ht="15.75" customHeight="1">
      <c r="D197" s="4"/>
    </row>
    <row r="198" ht="15.75" customHeight="1">
      <c r="D198" s="4"/>
    </row>
    <row r="199" ht="15.75" customHeight="1">
      <c r="D199" s="4"/>
    </row>
    <row r="200" ht="15.75" customHeight="1">
      <c r="D200" s="4"/>
    </row>
    <row r="201" ht="15.75" customHeight="1">
      <c r="D201" s="4"/>
    </row>
    <row r="202" ht="15.75" customHeight="1">
      <c r="D202" s="4"/>
    </row>
    <row r="203" ht="15.75" customHeight="1">
      <c r="D203" s="4"/>
    </row>
    <row r="204" ht="15.75" customHeight="1">
      <c r="D204" s="4"/>
    </row>
    <row r="205" ht="15.75" customHeight="1">
      <c r="D205" s="4"/>
    </row>
    <row r="206" ht="15.75" customHeight="1">
      <c r="D206" s="4"/>
    </row>
    <row r="207" ht="15.75" customHeight="1">
      <c r="D207" s="4"/>
    </row>
    <row r="208" ht="15.75" customHeight="1">
      <c r="D208" s="4"/>
    </row>
    <row r="209" ht="15.75" customHeight="1">
      <c r="D209" s="4"/>
    </row>
    <row r="210" ht="15.75" customHeight="1">
      <c r="D210" s="4"/>
    </row>
    <row r="211" ht="15.75" customHeight="1">
      <c r="D211" s="4"/>
    </row>
    <row r="212" ht="15.75" customHeight="1">
      <c r="D212" s="4"/>
    </row>
    <row r="213" ht="15.75" customHeight="1">
      <c r="D213" s="4"/>
    </row>
    <row r="214" ht="15.75" customHeight="1">
      <c r="D214" s="4"/>
    </row>
    <row r="215" ht="15.75" customHeight="1">
      <c r="D215" s="4"/>
    </row>
    <row r="216" ht="15.75" customHeight="1">
      <c r="D216" s="4"/>
    </row>
    <row r="217" ht="15.75" customHeight="1">
      <c r="D217" s="4"/>
    </row>
    <row r="218" ht="15.75" customHeight="1">
      <c r="D218" s="4"/>
    </row>
    <row r="219" ht="15.75" customHeight="1">
      <c r="D219" s="4"/>
    </row>
    <row r="220" ht="15.75" customHeight="1">
      <c r="D220" s="4"/>
    </row>
    <row r="221" ht="15.75" customHeight="1">
      <c r="D221" s="4"/>
    </row>
    <row r="222" ht="15.75" customHeight="1">
      <c r="D222" s="4"/>
    </row>
    <row r="223" ht="15.75" customHeight="1">
      <c r="D223" s="4"/>
    </row>
    <row r="224" ht="15.75" customHeight="1">
      <c r="D224" s="4"/>
    </row>
    <row r="225" ht="15.75" customHeight="1">
      <c r="D225" s="4"/>
    </row>
    <row r="226" ht="15.75" customHeight="1">
      <c r="D226" s="4"/>
    </row>
    <row r="227" ht="15.75" customHeight="1">
      <c r="D227" s="4"/>
    </row>
    <row r="228" ht="15.75" customHeight="1">
      <c r="D228" s="4"/>
    </row>
    <row r="229" ht="15.75" customHeight="1">
      <c r="D229" s="4"/>
    </row>
    <row r="230" ht="15.75" customHeight="1">
      <c r="D230" s="4"/>
    </row>
    <row r="231" ht="15.75" customHeight="1">
      <c r="D231" s="4"/>
    </row>
    <row r="232" ht="15.75" customHeight="1">
      <c r="D232" s="4"/>
    </row>
    <row r="233" ht="15.75" customHeight="1">
      <c r="D233" s="4"/>
    </row>
    <row r="234" ht="15.75" customHeight="1">
      <c r="D234" s="4"/>
    </row>
    <row r="235" ht="15.75" customHeight="1">
      <c r="D235" s="4"/>
    </row>
    <row r="236" ht="15.75" customHeight="1">
      <c r="D236" s="4"/>
    </row>
    <row r="237" ht="15.75" customHeight="1">
      <c r="D237" s="4"/>
    </row>
    <row r="238" ht="15.75" customHeight="1">
      <c r="D238" s="4"/>
    </row>
    <row r="239" ht="15.75" customHeight="1">
      <c r="D239" s="4"/>
    </row>
    <row r="240" ht="15.75" customHeight="1">
      <c r="D240" s="4"/>
    </row>
    <row r="241" ht="15.75" customHeight="1">
      <c r="D241" s="4"/>
    </row>
    <row r="242" ht="15.75" customHeight="1">
      <c r="D242" s="4"/>
    </row>
    <row r="243" ht="15.75" customHeight="1">
      <c r="D243" s="4"/>
    </row>
    <row r="244" ht="15.75" customHeight="1">
      <c r="D244" s="4"/>
    </row>
    <row r="245" ht="15.75" customHeight="1">
      <c r="D245" s="4"/>
    </row>
    <row r="246" ht="15.75" customHeight="1">
      <c r="D246" s="4"/>
    </row>
    <row r="247" ht="15.75" customHeight="1">
      <c r="D247" s="4"/>
    </row>
    <row r="248" ht="15.75" customHeight="1">
      <c r="D248" s="4"/>
    </row>
    <row r="249" ht="15.75" customHeight="1">
      <c r="D249" s="4"/>
    </row>
    <row r="250" ht="15.75" customHeight="1">
      <c r="D250" s="4"/>
    </row>
    <row r="251" ht="15.75" customHeight="1">
      <c r="D251" s="4"/>
    </row>
    <row r="252" ht="15.75" customHeight="1">
      <c r="D252" s="4"/>
    </row>
    <row r="253" ht="15.75" customHeight="1">
      <c r="D253" s="4"/>
    </row>
    <row r="254" ht="15.75" customHeight="1">
      <c r="D254" s="4"/>
    </row>
    <row r="255" ht="15.75" customHeight="1">
      <c r="D255" s="4"/>
    </row>
    <row r="256" ht="15.75" customHeight="1">
      <c r="D256" s="4"/>
    </row>
    <row r="257" ht="15.75" customHeight="1">
      <c r="D257" s="4"/>
    </row>
    <row r="258" ht="15.75" customHeight="1">
      <c r="D258" s="4"/>
    </row>
    <row r="259" ht="15.75" customHeight="1">
      <c r="D259" s="4"/>
    </row>
    <row r="260" ht="15.75" customHeight="1">
      <c r="D260" s="4"/>
    </row>
    <row r="261" ht="15.75" customHeight="1">
      <c r="D261" s="4"/>
    </row>
    <row r="262" ht="15.75" customHeight="1">
      <c r="D262" s="4"/>
    </row>
    <row r="263" ht="15.75" customHeight="1">
      <c r="D263" s="4"/>
    </row>
    <row r="264" ht="15.75" customHeight="1">
      <c r="D264" s="4"/>
    </row>
    <row r="265" ht="15.75" customHeight="1">
      <c r="D265" s="4"/>
    </row>
    <row r="266" ht="15.75" customHeight="1">
      <c r="D266" s="4"/>
    </row>
    <row r="267" ht="15.75" customHeight="1">
      <c r="D267" s="4"/>
    </row>
    <row r="268" ht="15.75" customHeight="1">
      <c r="D268" s="4"/>
    </row>
    <row r="269" ht="15.75" customHeight="1">
      <c r="D269" s="4"/>
    </row>
    <row r="270" ht="15.75" customHeight="1">
      <c r="D270" s="4"/>
    </row>
    <row r="271" ht="15.75" customHeight="1">
      <c r="D271" s="4"/>
    </row>
    <row r="272" ht="15.75" customHeight="1">
      <c r="D272" s="4"/>
    </row>
    <row r="273" ht="15.75" customHeight="1">
      <c r="D273" s="4"/>
    </row>
    <row r="274" ht="15.75" customHeight="1">
      <c r="D274" s="4"/>
    </row>
    <row r="275" ht="15.75" customHeight="1">
      <c r="D275" s="4"/>
    </row>
    <row r="276" ht="15.75" customHeight="1">
      <c r="D276" s="4"/>
    </row>
    <row r="277" ht="15.75" customHeight="1">
      <c r="D277" s="4"/>
    </row>
    <row r="278" ht="15.75" customHeight="1">
      <c r="D278" s="4"/>
    </row>
    <row r="279" ht="15.75" customHeight="1">
      <c r="D279" s="4"/>
    </row>
    <row r="280" ht="15.75" customHeight="1">
      <c r="D280" s="4"/>
    </row>
    <row r="281" ht="15.75" customHeight="1">
      <c r="D281" s="4"/>
    </row>
    <row r="282" ht="15.75" customHeight="1">
      <c r="D282" s="4"/>
    </row>
    <row r="283" ht="15.75" customHeight="1">
      <c r="D283" s="4"/>
    </row>
    <row r="284" ht="15.75" customHeight="1">
      <c r="D284" s="4"/>
    </row>
    <row r="285" ht="15.75" customHeight="1">
      <c r="D285" s="4"/>
    </row>
    <row r="286" ht="15.75" customHeight="1">
      <c r="D286" s="4"/>
    </row>
    <row r="287" ht="15.75" customHeight="1">
      <c r="D287" s="4"/>
    </row>
    <row r="288" ht="15.75" customHeight="1">
      <c r="D288" s="4"/>
    </row>
    <row r="289" ht="15.75" customHeight="1">
      <c r="D289" s="4"/>
    </row>
    <row r="290" ht="15.75" customHeight="1">
      <c r="D290" s="4"/>
    </row>
    <row r="291" ht="15.75" customHeight="1">
      <c r="D291" s="4"/>
    </row>
    <row r="292" ht="15.75" customHeight="1">
      <c r="D292" s="4"/>
    </row>
    <row r="293" ht="15.75" customHeight="1">
      <c r="D293" s="4"/>
    </row>
    <row r="294" ht="15.75" customHeight="1">
      <c r="D294" s="4"/>
    </row>
    <row r="295" ht="15.75" customHeight="1">
      <c r="D295" s="4"/>
    </row>
    <row r="296" ht="15.75" customHeight="1">
      <c r="D296" s="4"/>
    </row>
    <row r="297" ht="15.75" customHeight="1">
      <c r="D297" s="4"/>
    </row>
    <row r="298" ht="15.75" customHeight="1">
      <c r="D298" s="4"/>
    </row>
    <row r="299" ht="15.75" customHeight="1">
      <c r="D299" s="4"/>
    </row>
    <row r="300" ht="15.75" customHeight="1">
      <c r="D300" s="4"/>
    </row>
    <row r="301" ht="15.75" customHeight="1">
      <c r="D301" s="4"/>
    </row>
    <row r="302" ht="15.75" customHeight="1">
      <c r="D302" s="4"/>
    </row>
    <row r="303" ht="15.75" customHeight="1">
      <c r="D303" s="4"/>
    </row>
    <row r="304" ht="15.75" customHeight="1">
      <c r="D304" s="4"/>
    </row>
    <row r="305" ht="15.75" customHeight="1">
      <c r="D305" s="4"/>
    </row>
    <row r="306" ht="15.75" customHeight="1">
      <c r="D306" s="4"/>
    </row>
    <row r="307" ht="15.75" customHeight="1">
      <c r="D307" s="4"/>
    </row>
    <row r="308" ht="15.75" customHeight="1">
      <c r="D308" s="4"/>
    </row>
    <row r="309" ht="15.75" customHeight="1">
      <c r="D309" s="4"/>
    </row>
    <row r="310" ht="15.75" customHeight="1">
      <c r="D310" s="4"/>
    </row>
    <row r="311" ht="15.75" customHeight="1">
      <c r="D311" s="4"/>
    </row>
    <row r="312" ht="15.75" customHeight="1">
      <c r="D312" s="4"/>
    </row>
    <row r="313" ht="15.75" customHeight="1">
      <c r="D313" s="4"/>
    </row>
    <row r="314" ht="15.75" customHeight="1">
      <c r="D314" s="4"/>
    </row>
    <row r="315" ht="15.75" customHeight="1">
      <c r="D315" s="4"/>
    </row>
    <row r="316" ht="15.75" customHeight="1">
      <c r="D316" s="4"/>
    </row>
    <row r="317" ht="15.75" customHeight="1">
      <c r="D317" s="4"/>
    </row>
    <row r="318" ht="15.75" customHeight="1">
      <c r="D318" s="4"/>
    </row>
    <row r="319" ht="15.75" customHeight="1">
      <c r="D319" s="4"/>
    </row>
    <row r="320" ht="15.75" customHeight="1">
      <c r="D320" s="4"/>
    </row>
    <row r="321" ht="15.75" customHeight="1">
      <c r="D321" s="4"/>
    </row>
    <row r="322" ht="15.75" customHeight="1">
      <c r="D322" s="4"/>
    </row>
    <row r="323" ht="15.75" customHeight="1">
      <c r="D323" s="4"/>
    </row>
    <row r="324" ht="15.75" customHeight="1">
      <c r="D324" s="4"/>
    </row>
    <row r="325" ht="15.75" customHeight="1">
      <c r="D325" s="4"/>
    </row>
    <row r="326" ht="15.75" customHeight="1">
      <c r="D326" s="4"/>
    </row>
    <row r="327" ht="15.75" customHeight="1">
      <c r="D327" s="4"/>
    </row>
    <row r="328" ht="15.75" customHeight="1">
      <c r="D328" s="4"/>
    </row>
    <row r="329" ht="15.75" customHeight="1">
      <c r="D329" s="4"/>
    </row>
    <row r="330" ht="15.75" customHeight="1">
      <c r="D330" s="4"/>
    </row>
    <row r="331" ht="15.75" customHeight="1">
      <c r="D331" s="4"/>
    </row>
    <row r="332" ht="15.75" customHeight="1">
      <c r="D332" s="4"/>
    </row>
    <row r="333" ht="15.75" customHeight="1">
      <c r="D333" s="4"/>
    </row>
    <row r="334" ht="15.75" customHeight="1">
      <c r="D334" s="4"/>
    </row>
    <row r="335" ht="15.75" customHeight="1">
      <c r="D335" s="4"/>
    </row>
    <row r="336" ht="15.75" customHeight="1">
      <c r="D336" s="4"/>
    </row>
    <row r="337" ht="15.75" customHeight="1">
      <c r="D337" s="4"/>
    </row>
    <row r="338" ht="15.75" customHeight="1">
      <c r="D338" s="4"/>
    </row>
    <row r="339" ht="15.75" customHeight="1">
      <c r="D339" s="4"/>
    </row>
    <row r="340" ht="15.75" customHeight="1">
      <c r="D340" s="4"/>
    </row>
    <row r="341" ht="15.75" customHeight="1">
      <c r="D341" s="4"/>
    </row>
    <row r="342" ht="15.75" customHeight="1">
      <c r="D342" s="4"/>
    </row>
    <row r="343" ht="15.75" customHeight="1">
      <c r="D343" s="4"/>
    </row>
    <row r="344" ht="15.75" customHeight="1">
      <c r="D344" s="4"/>
    </row>
    <row r="345" ht="15.75" customHeight="1">
      <c r="D345" s="4"/>
    </row>
    <row r="346" ht="15.75" customHeight="1">
      <c r="D346" s="4"/>
    </row>
    <row r="347" ht="15.75" customHeight="1">
      <c r="D347" s="4"/>
    </row>
    <row r="348" ht="15.75" customHeight="1">
      <c r="D348" s="4"/>
    </row>
    <row r="349" ht="15.75" customHeight="1">
      <c r="D349" s="4"/>
    </row>
    <row r="350" ht="15.75" customHeight="1">
      <c r="D350" s="4"/>
    </row>
    <row r="351" ht="15.75" customHeight="1">
      <c r="D351" s="4"/>
    </row>
    <row r="352" ht="15.75" customHeight="1">
      <c r="D352" s="4"/>
    </row>
    <row r="353" ht="15.75" customHeight="1">
      <c r="D353" s="4"/>
    </row>
    <row r="354" ht="15.75" customHeight="1">
      <c r="D354" s="4"/>
    </row>
    <row r="355" ht="15.75" customHeight="1">
      <c r="D355" s="4"/>
    </row>
    <row r="356" ht="15.75" customHeight="1">
      <c r="D356" s="4"/>
    </row>
    <row r="357" ht="15.75" customHeight="1">
      <c r="D357" s="4"/>
    </row>
    <row r="358" ht="15.75" customHeight="1">
      <c r="D358" s="4"/>
    </row>
    <row r="359" ht="15.75" customHeight="1">
      <c r="D359" s="4"/>
    </row>
    <row r="360" ht="15.75" customHeight="1">
      <c r="D360" s="4"/>
    </row>
    <row r="361" ht="15.75" customHeight="1">
      <c r="D361" s="4"/>
    </row>
    <row r="362" ht="15.75" customHeight="1">
      <c r="D362" s="4"/>
    </row>
    <row r="363" ht="15.75" customHeight="1">
      <c r="D363" s="4"/>
    </row>
    <row r="364" ht="15.75" customHeight="1">
      <c r="D364" s="4"/>
    </row>
    <row r="365" ht="15.75" customHeight="1">
      <c r="D365" s="4"/>
    </row>
    <row r="366" ht="15.75" customHeight="1">
      <c r="D366" s="4"/>
    </row>
    <row r="367" ht="15.75" customHeight="1">
      <c r="D367" s="4"/>
    </row>
    <row r="368" ht="15.75" customHeight="1">
      <c r="D368" s="4"/>
    </row>
    <row r="369" ht="15.75" customHeight="1">
      <c r="D369" s="4"/>
    </row>
    <row r="370" ht="15.75" customHeight="1">
      <c r="D370" s="4"/>
    </row>
    <row r="371" ht="15.75" customHeight="1">
      <c r="D371" s="4"/>
    </row>
    <row r="372" ht="15.75" customHeight="1">
      <c r="D372" s="4"/>
    </row>
    <row r="373" ht="15.75" customHeight="1">
      <c r="D373" s="4"/>
    </row>
    <row r="374" ht="15.75" customHeight="1">
      <c r="D374" s="4"/>
    </row>
    <row r="375" ht="15.75" customHeight="1">
      <c r="D375" s="4"/>
    </row>
    <row r="376" ht="15.75" customHeight="1">
      <c r="D376" s="4"/>
    </row>
    <row r="377" ht="15.75" customHeight="1">
      <c r="D377" s="4"/>
    </row>
    <row r="378" ht="15.75" customHeight="1">
      <c r="D378" s="4"/>
    </row>
    <row r="379" ht="15.75" customHeight="1">
      <c r="D379" s="4"/>
    </row>
    <row r="380" ht="15.75" customHeight="1">
      <c r="D380" s="4"/>
    </row>
    <row r="381" ht="15.75" customHeight="1">
      <c r="D381" s="4"/>
    </row>
    <row r="382" ht="15.75" customHeight="1">
      <c r="D382" s="4"/>
    </row>
    <row r="383" ht="15.75" customHeight="1">
      <c r="D383" s="4"/>
    </row>
    <row r="384" ht="15.75" customHeight="1">
      <c r="D384" s="4"/>
    </row>
    <row r="385" ht="15.75" customHeight="1">
      <c r="D385" s="4"/>
    </row>
    <row r="386" ht="15.75" customHeight="1">
      <c r="D386" s="4"/>
    </row>
    <row r="387" ht="15.75" customHeight="1">
      <c r="D387" s="4"/>
    </row>
    <row r="388" ht="15.75" customHeight="1">
      <c r="D388" s="4"/>
    </row>
    <row r="389" ht="15.75" customHeight="1">
      <c r="D389" s="4"/>
    </row>
    <row r="390" ht="15.75" customHeight="1">
      <c r="D390" s="4"/>
    </row>
    <row r="391" ht="15.75" customHeight="1">
      <c r="D391" s="4"/>
    </row>
    <row r="392" ht="15.75" customHeight="1">
      <c r="D392" s="4"/>
    </row>
    <row r="393" ht="15.75" customHeight="1">
      <c r="D393" s="4"/>
    </row>
    <row r="394" ht="15.75" customHeight="1">
      <c r="D394" s="4"/>
    </row>
    <row r="395" ht="15.75" customHeight="1">
      <c r="D395" s="4"/>
    </row>
    <row r="396" ht="15.75" customHeight="1">
      <c r="D396" s="4"/>
    </row>
    <row r="397" ht="15.75" customHeight="1">
      <c r="D397" s="4"/>
    </row>
    <row r="398" ht="15.75" customHeight="1">
      <c r="D398" s="4"/>
    </row>
    <row r="399" ht="15.75" customHeight="1">
      <c r="D399" s="4"/>
    </row>
    <row r="400" ht="15.75" customHeight="1">
      <c r="D400" s="4"/>
    </row>
    <row r="401" ht="15.75" customHeight="1">
      <c r="D401" s="4"/>
    </row>
    <row r="402" ht="15.75" customHeight="1">
      <c r="D402" s="4"/>
    </row>
    <row r="403" ht="15.75" customHeight="1">
      <c r="D403" s="4"/>
    </row>
    <row r="404" ht="15.75" customHeight="1">
      <c r="D404" s="4"/>
    </row>
    <row r="405" ht="15.75" customHeight="1">
      <c r="D405" s="4"/>
    </row>
    <row r="406" ht="15.75" customHeight="1">
      <c r="D406" s="4"/>
    </row>
    <row r="407" ht="15.75" customHeight="1">
      <c r="D407" s="4"/>
    </row>
    <row r="408" ht="15.75" customHeight="1">
      <c r="D408" s="4"/>
    </row>
    <row r="409" ht="15.75" customHeight="1">
      <c r="D409" s="4"/>
    </row>
    <row r="410" ht="15.75" customHeight="1">
      <c r="D410" s="4"/>
    </row>
    <row r="411" ht="15.75" customHeight="1">
      <c r="D411" s="4"/>
    </row>
    <row r="412" ht="15.75" customHeight="1">
      <c r="D412" s="4"/>
    </row>
    <row r="413" ht="15.75" customHeight="1">
      <c r="D413" s="4"/>
    </row>
    <row r="414" ht="15.75" customHeight="1">
      <c r="D414" s="4"/>
    </row>
    <row r="415" ht="15.75" customHeight="1">
      <c r="D415" s="4"/>
    </row>
    <row r="416" ht="15.75" customHeight="1">
      <c r="D416" s="4"/>
    </row>
    <row r="417" ht="15.75" customHeight="1">
      <c r="D417" s="4"/>
    </row>
    <row r="418" ht="15.75" customHeight="1">
      <c r="D418" s="4"/>
    </row>
    <row r="419" ht="15.75" customHeight="1">
      <c r="D419" s="4"/>
    </row>
    <row r="420" ht="15.75" customHeight="1">
      <c r="D420" s="4"/>
    </row>
    <row r="421" ht="15.75" customHeight="1">
      <c r="D421" s="4"/>
    </row>
    <row r="422" ht="15.75" customHeight="1">
      <c r="D422" s="4"/>
    </row>
    <row r="423" ht="15.75" customHeight="1">
      <c r="D423" s="4"/>
    </row>
    <row r="424" ht="15.75" customHeight="1">
      <c r="D424" s="4"/>
    </row>
    <row r="425" ht="15.75" customHeight="1">
      <c r="D425" s="4"/>
    </row>
    <row r="426" ht="15.75" customHeight="1">
      <c r="D426" s="4"/>
    </row>
    <row r="427" ht="15.75" customHeight="1">
      <c r="D427" s="4"/>
    </row>
    <row r="428" ht="15.75" customHeight="1">
      <c r="D428" s="4"/>
    </row>
    <row r="429" ht="15.75" customHeight="1">
      <c r="D429" s="4"/>
    </row>
    <row r="430" ht="15.75" customHeight="1">
      <c r="D430" s="4"/>
    </row>
    <row r="431" ht="15.75" customHeight="1">
      <c r="D431" s="4"/>
    </row>
    <row r="432" ht="15.75" customHeight="1">
      <c r="D432" s="4"/>
    </row>
    <row r="433" ht="15.75" customHeight="1">
      <c r="D433" s="4"/>
    </row>
    <row r="434" ht="15.75" customHeight="1">
      <c r="D434" s="4"/>
    </row>
    <row r="435" ht="15.75" customHeight="1">
      <c r="D435" s="4"/>
    </row>
    <row r="436" ht="15.75" customHeight="1">
      <c r="D436" s="4"/>
    </row>
    <row r="437" ht="15.75" customHeight="1">
      <c r="D437" s="4"/>
    </row>
    <row r="438" ht="15.75" customHeight="1">
      <c r="D438" s="4"/>
    </row>
    <row r="439" ht="15.75" customHeight="1">
      <c r="D439" s="4"/>
    </row>
    <row r="440" ht="15.75" customHeight="1">
      <c r="D440" s="4"/>
    </row>
    <row r="441" ht="15.75" customHeight="1">
      <c r="D441" s="4"/>
    </row>
    <row r="442" ht="15.75" customHeight="1">
      <c r="D442" s="4"/>
    </row>
    <row r="443" ht="15.75" customHeight="1">
      <c r="D443" s="4"/>
    </row>
    <row r="444" ht="15.75" customHeight="1">
      <c r="D444" s="4"/>
    </row>
    <row r="445" ht="15.75" customHeight="1">
      <c r="D445" s="4"/>
    </row>
    <row r="446" ht="15.75" customHeight="1">
      <c r="D446" s="4"/>
    </row>
    <row r="447" ht="15.75" customHeight="1">
      <c r="D447" s="4"/>
    </row>
    <row r="448" ht="15.75" customHeight="1">
      <c r="D448" s="4"/>
    </row>
    <row r="449" ht="15.75" customHeight="1">
      <c r="D449" s="4"/>
    </row>
    <row r="450" ht="15.75" customHeight="1">
      <c r="D450" s="4"/>
    </row>
    <row r="451" ht="15.75" customHeight="1">
      <c r="D451" s="4"/>
    </row>
    <row r="452" ht="15.75" customHeight="1">
      <c r="D452" s="4"/>
    </row>
    <row r="453" ht="15.75" customHeight="1">
      <c r="D453" s="4"/>
    </row>
    <row r="454" ht="15.75" customHeight="1">
      <c r="D454" s="4"/>
    </row>
    <row r="455" ht="15.75" customHeight="1">
      <c r="D455" s="4"/>
    </row>
    <row r="456" ht="15.75" customHeight="1">
      <c r="D456" s="4"/>
    </row>
    <row r="457" ht="15.75" customHeight="1">
      <c r="D457" s="4"/>
    </row>
    <row r="458" ht="15.75" customHeight="1">
      <c r="D458" s="4"/>
    </row>
    <row r="459" ht="15.75" customHeight="1">
      <c r="D459" s="4"/>
    </row>
    <row r="460" ht="15.75" customHeight="1">
      <c r="D460" s="4"/>
    </row>
    <row r="461" ht="15.75" customHeight="1">
      <c r="D461" s="4"/>
    </row>
    <row r="462" ht="15.75" customHeight="1">
      <c r="D462" s="4"/>
    </row>
    <row r="463" ht="15.75" customHeight="1">
      <c r="D463" s="4"/>
    </row>
    <row r="464" ht="15.75" customHeight="1">
      <c r="D464" s="4"/>
    </row>
    <row r="465" ht="15.75" customHeight="1">
      <c r="D465" s="4"/>
    </row>
    <row r="466" ht="15.75" customHeight="1">
      <c r="D466" s="4"/>
    </row>
    <row r="467" ht="15.75" customHeight="1">
      <c r="D467" s="4"/>
    </row>
    <row r="468" ht="15.75" customHeight="1">
      <c r="D468" s="4"/>
    </row>
    <row r="469" ht="15.75" customHeight="1">
      <c r="D469" s="4"/>
    </row>
    <row r="470" ht="15.75" customHeight="1">
      <c r="D470" s="4"/>
    </row>
    <row r="471" ht="15.75" customHeight="1">
      <c r="D471" s="4"/>
    </row>
    <row r="472" ht="15.75" customHeight="1">
      <c r="D472" s="4"/>
    </row>
    <row r="473" ht="15.75" customHeight="1">
      <c r="D473" s="4"/>
    </row>
    <row r="474" ht="15.75" customHeight="1">
      <c r="D474" s="4"/>
    </row>
    <row r="475" ht="15.75" customHeight="1">
      <c r="D475" s="4"/>
    </row>
    <row r="476" ht="15.75" customHeight="1">
      <c r="D476" s="4"/>
    </row>
    <row r="477" ht="15.75" customHeight="1">
      <c r="D477" s="4"/>
    </row>
    <row r="478" ht="15.75" customHeight="1">
      <c r="D478" s="4"/>
    </row>
    <row r="479" ht="15.75" customHeight="1">
      <c r="D479" s="4"/>
    </row>
    <row r="480" ht="15.75" customHeight="1">
      <c r="D480" s="4"/>
    </row>
    <row r="481" ht="15.75" customHeight="1">
      <c r="D481" s="4"/>
    </row>
    <row r="482" ht="15.75" customHeight="1">
      <c r="D482" s="4"/>
    </row>
    <row r="483" ht="15.75" customHeight="1">
      <c r="D483" s="4"/>
    </row>
    <row r="484" ht="15.75" customHeight="1">
      <c r="D484" s="4"/>
    </row>
    <row r="485" ht="15.75" customHeight="1">
      <c r="D485" s="4"/>
    </row>
    <row r="486" ht="15.75" customHeight="1">
      <c r="D486" s="4"/>
    </row>
    <row r="487" ht="15.75" customHeight="1">
      <c r="D487" s="4"/>
    </row>
    <row r="488" ht="15.75" customHeight="1">
      <c r="D488" s="4"/>
    </row>
    <row r="489" ht="15.75" customHeight="1">
      <c r="D489" s="4"/>
    </row>
    <row r="490" ht="15.75" customHeight="1">
      <c r="D490" s="4"/>
    </row>
    <row r="491" ht="15.75" customHeight="1">
      <c r="D491" s="4"/>
    </row>
    <row r="492" ht="15.75" customHeight="1">
      <c r="D492" s="4"/>
    </row>
    <row r="493" ht="15.75" customHeight="1">
      <c r="D493" s="4"/>
    </row>
    <row r="494" ht="15.75" customHeight="1">
      <c r="D494" s="4"/>
    </row>
    <row r="495" ht="15.75" customHeight="1">
      <c r="D495" s="4"/>
    </row>
    <row r="496" ht="15.75" customHeight="1">
      <c r="D496" s="4"/>
    </row>
    <row r="497" ht="15.75" customHeight="1">
      <c r="D497" s="4"/>
    </row>
    <row r="498" ht="15.75" customHeight="1">
      <c r="D498" s="4"/>
    </row>
    <row r="499" ht="15.75" customHeight="1">
      <c r="D499" s="4"/>
    </row>
    <row r="500" ht="15.75" customHeight="1">
      <c r="D500" s="4"/>
    </row>
    <row r="501" ht="15.75" customHeight="1">
      <c r="D501" s="4"/>
    </row>
    <row r="502" ht="15.75" customHeight="1">
      <c r="D502" s="4"/>
    </row>
    <row r="503" ht="15.75" customHeight="1">
      <c r="D503" s="4"/>
    </row>
    <row r="504" ht="15.75" customHeight="1">
      <c r="D504" s="4"/>
    </row>
    <row r="505" ht="15.75" customHeight="1">
      <c r="D505" s="4"/>
    </row>
    <row r="506" ht="15.75" customHeight="1">
      <c r="D506" s="4"/>
    </row>
    <row r="507" ht="15.75" customHeight="1">
      <c r="D507" s="4"/>
    </row>
    <row r="508" ht="15.75" customHeight="1">
      <c r="D508" s="4"/>
    </row>
    <row r="509" ht="15.75" customHeight="1">
      <c r="D509" s="4"/>
    </row>
    <row r="510" ht="15.75" customHeight="1">
      <c r="D510" s="4"/>
    </row>
    <row r="511" ht="15.75" customHeight="1">
      <c r="D511" s="4"/>
    </row>
    <row r="512" ht="15.75" customHeight="1">
      <c r="D512" s="4"/>
    </row>
    <row r="513" ht="15.75" customHeight="1">
      <c r="D513" s="4"/>
    </row>
    <row r="514" ht="15.75" customHeight="1">
      <c r="D514" s="4"/>
    </row>
    <row r="515" ht="15.75" customHeight="1">
      <c r="D515" s="4"/>
    </row>
    <row r="516" ht="15.75" customHeight="1">
      <c r="D516" s="4"/>
    </row>
    <row r="517" ht="15.75" customHeight="1">
      <c r="D517" s="4"/>
    </row>
    <row r="518" ht="15.75" customHeight="1">
      <c r="D518" s="4"/>
    </row>
    <row r="519" ht="15.75" customHeight="1">
      <c r="D519" s="4"/>
    </row>
    <row r="520" ht="15.75" customHeight="1">
      <c r="D520" s="4"/>
    </row>
    <row r="521" ht="15.75" customHeight="1">
      <c r="D521" s="4"/>
    </row>
    <row r="522" ht="15.75" customHeight="1">
      <c r="D522" s="4"/>
    </row>
    <row r="523" ht="15.75" customHeight="1">
      <c r="D523" s="4"/>
    </row>
    <row r="524" ht="15.75" customHeight="1">
      <c r="D524" s="4"/>
    </row>
    <row r="525" ht="15.75" customHeight="1">
      <c r="D525" s="4"/>
    </row>
    <row r="526" ht="15.75" customHeight="1">
      <c r="D526" s="4"/>
    </row>
    <row r="527" ht="15.75" customHeight="1">
      <c r="D527" s="4"/>
    </row>
    <row r="528" ht="15.75" customHeight="1">
      <c r="D528" s="4"/>
    </row>
    <row r="529" ht="15.75" customHeight="1">
      <c r="D529" s="4"/>
    </row>
    <row r="530" ht="15.75" customHeight="1">
      <c r="D530" s="4"/>
    </row>
    <row r="531" ht="15.75" customHeight="1">
      <c r="D531" s="4"/>
    </row>
    <row r="532" ht="15.75" customHeight="1">
      <c r="D532" s="4"/>
    </row>
    <row r="533" ht="15.75" customHeight="1">
      <c r="D533" s="4"/>
    </row>
    <row r="534" ht="15.75" customHeight="1">
      <c r="D534" s="4"/>
    </row>
    <row r="535" ht="15.75" customHeight="1">
      <c r="D535" s="4"/>
    </row>
    <row r="536" ht="15.75" customHeight="1">
      <c r="D536" s="4"/>
    </row>
    <row r="537" ht="15.75" customHeight="1">
      <c r="D537" s="4"/>
    </row>
    <row r="538" ht="15.75" customHeight="1">
      <c r="D538" s="4"/>
    </row>
    <row r="539" ht="15.75" customHeight="1">
      <c r="D539" s="4"/>
    </row>
    <row r="540" ht="15.75" customHeight="1">
      <c r="D540" s="4"/>
    </row>
    <row r="541" ht="15.75" customHeight="1">
      <c r="D541" s="4"/>
    </row>
    <row r="542" ht="15.75" customHeight="1">
      <c r="D542" s="4"/>
    </row>
    <row r="543" ht="15.75" customHeight="1">
      <c r="D543" s="4"/>
    </row>
    <row r="544" ht="15.75" customHeight="1">
      <c r="D544" s="4"/>
    </row>
    <row r="545" ht="15.75" customHeight="1">
      <c r="D545" s="4"/>
    </row>
    <row r="546" ht="15.75" customHeight="1">
      <c r="D546" s="4"/>
    </row>
    <row r="547" ht="15.75" customHeight="1">
      <c r="D547" s="4"/>
    </row>
    <row r="548" ht="15.75" customHeight="1">
      <c r="D548" s="4"/>
    </row>
    <row r="549" ht="15.75" customHeight="1">
      <c r="D549" s="4"/>
    </row>
    <row r="550" ht="15.75" customHeight="1">
      <c r="D550" s="4"/>
    </row>
    <row r="551" ht="15.75" customHeight="1">
      <c r="D551" s="4"/>
    </row>
    <row r="552" ht="15.75" customHeight="1">
      <c r="D552" s="4"/>
    </row>
    <row r="553" ht="15.75" customHeight="1">
      <c r="D553" s="4"/>
    </row>
    <row r="554" ht="15.75" customHeight="1">
      <c r="D554" s="4"/>
    </row>
    <row r="555" ht="15.75" customHeight="1">
      <c r="D555" s="4"/>
    </row>
    <row r="556" ht="15.75" customHeight="1">
      <c r="D556" s="4"/>
    </row>
    <row r="557" ht="15.75" customHeight="1">
      <c r="D557" s="4"/>
    </row>
    <row r="558" ht="15.75" customHeight="1">
      <c r="D558" s="4"/>
    </row>
    <row r="559" ht="15.75" customHeight="1">
      <c r="D559" s="4"/>
    </row>
    <row r="560" ht="15.75" customHeight="1">
      <c r="D560" s="4"/>
    </row>
    <row r="561" ht="15.75" customHeight="1">
      <c r="D561" s="4"/>
    </row>
    <row r="562" ht="15.75" customHeight="1">
      <c r="D562" s="4"/>
    </row>
    <row r="563" ht="15.75" customHeight="1">
      <c r="D563" s="4"/>
    </row>
    <row r="564" ht="15.75" customHeight="1">
      <c r="D564" s="4"/>
    </row>
    <row r="565" ht="15.75" customHeight="1">
      <c r="D565" s="4"/>
    </row>
    <row r="566" ht="15.75" customHeight="1">
      <c r="D566" s="4"/>
    </row>
    <row r="567" ht="15.75" customHeight="1">
      <c r="D567" s="4"/>
    </row>
    <row r="568" ht="15.75" customHeight="1">
      <c r="D568" s="4"/>
    </row>
    <row r="569" ht="15.75" customHeight="1">
      <c r="D569" s="4"/>
    </row>
    <row r="570" ht="15.75" customHeight="1">
      <c r="D570" s="4"/>
    </row>
    <row r="571" ht="15.75" customHeight="1">
      <c r="D571" s="4"/>
    </row>
    <row r="572" ht="15.75" customHeight="1">
      <c r="D572" s="4"/>
    </row>
    <row r="573" ht="15.75" customHeight="1">
      <c r="D573" s="4"/>
    </row>
    <row r="574" ht="15.75" customHeight="1">
      <c r="D574" s="4"/>
    </row>
    <row r="575" ht="15.75" customHeight="1">
      <c r="D575" s="4"/>
    </row>
    <row r="576" ht="15.75" customHeight="1">
      <c r="D576" s="4"/>
    </row>
    <row r="577" ht="15.75" customHeight="1">
      <c r="D577" s="4"/>
    </row>
    <row r="578" ht="15.75" customHeight="1">
      <c r="D578" s="4"/>
    </row>
    <row r="579" ht="15.75" customHeight="1">
      <c r="D579" s="4"/>
    </row>
    <row r="580" ht="15.75" customHeight="1">
      <c r="D580" s="4"/>
    </row>
    <row r="581" ht="15.75" customHeight="1">
      <c r="D581" s="4"/>
    </row>
    <row r="582" ht="15.75" customHeight="1">
      <c r="D582" s="4"/>
    </row>
    <row r="583" ht="15.75" customHeight="1">
      <c r="D583" s="4"/>
    </row>
    <row r="584" ht="15.75" customHeight="1">
      <c r="D584" s="4"/>
    </row>
    <row r="585" ht="15.75" customHeight="1">
      <c r="D585" s="4"/>
    </row>
    <row r="586" ht="15.75" customHeight="1">
      <c r="D586" s="4"/>
    </row>
    <row r="587" ht="15.75" customHeight="1">
      <c r="D587" s="4"/>
    </row>
    <row r="588" ht="15.75" customHeight="1">
      <c r="D588" s="4"/>
    </row>
    <row r="589" ht="15.75" customHeight="1">
      <c r="D589" s="4"/>
    </row>
    <row r="590" ht="15.75" customHeight="1">
      <c r="D590" s="4"/>
    </row>
    <row r="591" ht="15.75" customHeight="1">
      <c r="D591" s="4"/>
    </row>
    <row r="592" ht="15.75" customHeight="1">
      <c r="D592" s="4"/>
    </row>
    <row r="593" ht="15.75" customHeight="1">
      <c r="D593" s="4"/>
    </row>
    <row r="594" ht="15.75" customHeight="1">
      <c r="D594" s="4"/>
    </row>
    <row r="595" ht="15.75" customHeight="1">
      <c r="D595" s="4"/>
    </row>
    <row r="596" ht="15.75" customHeight="1">
      <c r="D596" s="4"/>
    </row>
    <row r="597" ht="15.75" customHeight="1">
      <c r="D597" s="4"/>
    </row>
    <row r="598" ht="15.75" customHeight="1">
      <c r="D598" s="4"/>
    </row>
    <row r="599" ht="15.75" customHeight="1">
      <c r="D599" s="4"/>
    </row>
    <row r="600" ht="15.75" customHeight="1">
      <c r="D600" s="4"/>
    </row>
    <row r="601" ht="15.75" customHeight="1">
      <c r="D601" s="4"/>
    </row>
    <row r="602" ht="15.75" customHeight="1">
      <c r="D602" s="4"/>
    </row>
    <row r="603" ht="15.75" customHeight="1">
      <c r="D603" s="4"/>
    </row>
    <row r="604" ht="15.75" customHeight="1">
      <c r="D604" s="4"/>
    </row>
    <row r="605" ht="15.75" customHeight="1">
      <c r="D605" s="4"/>
    </row>
    <row r="606" ht="15.75" customHeight="1">
      <c r="D606" s="4"/>
    </row>
    <row r="607" ht="15.75" customHeight="1">
      <c r="D607" s="4"/>
    </row>
    <row r="608" ht="15.75" customHeight="1">
      <c r="D608" s="4"/>
    </row>
    <row r="609" ht="15.75" customHeight="1">
      <c r="D609" s="4"/>
    </row>
    <row r="610" ht="15.75" customHeight="1">
      <c r="D610" s="4"/>
    </row>
    <row r="611" ht="15.75" customHeight="1">
      <c r="D611" s="4"/>
    </row>
    <row r="612" ht="15.75" customHeight="1">
      <c r="D612" s="4"/>
    </row>
    <row r="613" ht="15.75" customHeight="1">
      <c r="D613" s="4"/>
    </row>
    <row r="614" ht="15.75" customHeight="1">
      <c r="D614" s="4"/>
    </row>
    <row r="615" ht="15.75" customHeight="1">
      <c r="D615" s="4"/>
    </row>
    <row r="616" ht="15.75" customHeight="1">
      <c r="D616" s="4"/>
    </row>
    <row r="617" ht="15.75" customHeight="1">
      <c r="D617" s="4"/>
    </row>
    <row r="618" ht="15.75" customHeight="1">
      <c r="D618" s="4"/>
    </row>
    <row r="619" ht="15.75" customHeight="1">
      <c r="D619" s="4"/>
    </row>
    <row r="620" ht="15.75" customHeight="1">
      <c r="D620" s="4"/>
    </row>
    <row r="621" ht="15.75" customHeight="1">
      <c r="D621" s="4"/>
    </row>
    <row r="622" ht="15.75" customHeight="1">
      <c r="D622" s="4"/>
    </row>
    <row r="623" ht="15.75" customHeight="1">
      <c r="D623" s="4"/>
    </row>
    <row r="624" ht="15.75" customHeight="1">
      <c r="D624" s="4"/>
    </row>
    <row r="625" ht="15.75" customHeight="1">
      <c r="D625" s="4"/>
    </row>
    <row r="626" ht="15.75" customHeight="1">
      <c r="D626" s="4"/>
    </row>
    <row r="627" ht="15.75" customHeight="1">
      <c r="D627" s="4"/>
    </row>
    <row r="628" ht="15.75" customHeight="1">
      <c r="D628" s="4"/>
    </row>
    <row r="629" ht="15.75" customHeight="1">
      <c r="D629" s="4"/>
    </row>
    <row r="630" ht="15.75" customHeight="1">
      <c r="D630" s="4"/>
    </row>
    <row r="631" ht="15.75" customHeight="1">
      <c r="D631" s="4"/>
    </row>
    <row r="632" ht="15.75" customHeight="1">
      <c r="D632" s="4"/>
    </row>
    <row r="633" ht="15.75" customHeight="1">
      <c r="D633" s="4"/>
    </row>
    <row r="634" ht="15.75" customHeight="1">
      <c r="D634" s="4"/>
    </row>
    <row r="635" ht="15.75" customHeight="1">
      <c r="D635" s="4"/>
    </row>
    <row r="636" ht="15.75" customHeight="1">
      <c r="D636" s="4"/>
    </row>
    <row r="637" ht="15.75" customHeight="1">
      <c r="D637" s="4"/>
    </row>
    <row r="638" ht="15.75" customHeight="1">
      <c r="D638" s="4"/>
    </row>
    <row r="639" ht="15.75" customHeight="1">
      <c r="D639" s="4"/>
    </row>
    <row r="640" ht="15.75" customHeight="1">
      <c r="D640" s="4"/>
    </row>
    <row r="641" ht="15.75" customHeight="1">
      <c r="D641" s="4"/>
    </row>
    <row r="642" ht="15.75" customHeight="1">
      <c r="D642" s="4"/>
    </row>
    <row r="643" ht="15.75" customHeight="1">
      <c r="D643" s="4"/>
    </row>
    <row r="644" ht="15.75" customHeight="1">
      <c r="D644" s="4"/>
    </row>
    <row r="645" ht="15.75" customHeight="1">
      <c r="D645" s="4"/>
    </row>
    <row r="646" ht="15.75" customHeight="1">
      <c r="D646" s="4"/>
    </row>
    <row r="647" ht="15.75" customHeight="1">
      <c r="D647" s="4"/>
    </row>
    <row r="648" ht="15.75" customHeight="1">
      <c r="D648" s="4"/>
    </row>
    <row r="649" ht="15.75" customHeight="1">
      <c r="D649" s="4"/>
    </row>
    <row r="650" ht="15.75" customHeight="1">
      <c r="D650" s="4"/>
    </row>
    <row r="651" ht="15.75" customHeight="1">
      <c r="D651" s="4"/>
    </row>
    <row r="652" ht="15.75" customHeight="1">
      <c r="D652" s="4"/>
    </row>
    <row r="653" ht="15.75" customHeight="1">
      <c r="D653" s="4"/>
    </row>
    <row r="654" ht="15.75" customHeight="1">
      <c r="D654" s="4"/>
    </row>
    <row r="655" ht="15.75" customHeight="1">
      <c r="D655" s="4"/>
    </row>
    <row r="656" ht="15.75" customHeight="1">
      <c r="D656" s="4"/>
    </row>
    <row r="657" ht="15.75" customHeight="1">
      <c r="D657" s="4"/>
    </row>
    <row r="658" ht="15.75" customHeight="1">
      <c r="D658" s="4"/>
    </row>
    <row r="659" ht="15.75" customHeight="1">
      <c r="D659" s="4"/>
    </row>
    <row r="660" ht="15.75" customHeight="1">
      <c r="D660" s="4"/>
    </row>
    <row r="661" ht="15.75" customHeight="1">
      <c r="D661" s="4"/>
    </row>
    <row r="662" ht="15.75" customHeight="1">
      <c r="D662" s="4"/>
    </row>
    <row r="663" ht="15.75" customHeight="1">
      <c r="D663" s="4"/>
    </row>
    <row r="664" ht="15.75" customHeight="1">
      <c r="D664" s="4"/>
    </row>
    <row r="665" ht="15.75" customHeight="1">
      <c r="D665" s="4"/>
    </row>
  </sheetData>
  <autoFilter ref="$A$4:$L$140"/>
  <conditionalFormatting sqref="H5:H140">
    <cfRule type="expression" dxfId="3" priority="1">
      <formula>$H5="Đang làm"</formula>
    </cfRule>
  </conditionalFormatting>
  <conditionalFormatting sqref="H5:H140">
    <cfRule type="expression" dxfId="4" priority="2">
      <formula>$H5="Thử việc"</formula>
    </cfRule>
  </conditionalFormatting>
  <conditionalFormatting sqref="H5:H140">
    <cfRule type="expression" dxfId="5" priority="3">
      <formula>$H5="Tạm nghỉ"</formula>
    </cfRule>
  </conditionalFormatting>
  <conditionalFormatting sqref="H5:H140">
    <cfRule type="expression" dxfId="6" priority="4">
      <formula>$H5="Chuyển ban"</formula>
    </cfRule>
  </conditionalFormatting>
  <conditionalFormatting sqref="H5:H140">
    <cfRule type="expression" dxfId="7" priority="5">
      <formula>$H5="Đã nghỉ việc"</formula>
    </cfRule>
  </conditionalFormatting>
  <conditionalFormatting sqref="A5:L140">
    <cfRule type="expression" dxfId="8" priority="6">
      <formula>AND(OR($H5="Đã nghỉ việc",$H5="Chuyển ban"),N($K5)&gt;0)</formula>
    </cfRule>
  </conditionalFormatting>
  <dataValidations>
    <dataValidation type="list" allowBlank="1" showInputMessage="1" showErrorMessage="1" prompt="Nhấp và nhập một giá trị trong dải ô" sqref="D5:D140">
      <formula1>'Danh mục'!$G$2:$G$10</formula1>
    </dataValidation>
    <dataValidation type="list" allowBlank="1" showInputMessage="1" showErrorMessage="1" prompt="Kiểm tra lại - Vui lòng chọn trong danh sách." sqref="H5:H140">
      <formula1>'Danh mục'!$H$2:$H$6</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AFEA"/>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6.0"/>
    <col customWidth="1" min="2" max="2" width="13.0"/>
    <col customWidth="1" min="3" max="3" width="14.0"/>
    <col customWidth="1" min="4" max="4" width="22.0"/>
    <col customWidth="1" min="5" max="5" width="28.0"/>
    <col customWidth="1" min="6" max="6" width="30.0"/>
    <col customWidth="1" min="7" max="7" width="22.0"/>
    <col customWidth="1" min="8" max="9" width="16.0"/>
    <col customWidth="1" min="10" max="10" width="22.0"/>
    <col customWidth="1" min="11" max="11" width="27.43"/>
    <col customWidth="1" min="12" max="12" width="14.0"/>
    <col customWidth="1" min="13" max="13" width="12.0"/>
    <col customWidth="1" min="14" max="14" width="20.0"/>
    <col customWidth="1" min="15" max="15" width="18.0"/>
    <col customWidth="1" min="16" max="16" width="14.0"/>
    <col customWidth="1" min="17" max="17" width="26.0"/>
    <col customWidth="1" min="18" max="18" width="18.0"/>
    <col customWidth="1" min="19" max="19" width="28.0"/>
    <col customWidth="1" min="20" max="31" width="12.0"/>
  </cols>
  <sheetData>
    <row r="1">
      <c r="A1" s="1" t="s">
        <v>77</v>
      </c>
      <c r="E1" s="25"/>
    </row>
    <row r="2">
      <c r="A2" s="8" t="s">
        <v>94</v>
      </c>
      <c r="C2" s="27"/>
      <c r="D2" s="27"/>
      <c r="E2" s="28" t="s">
        <v>99</v>
      </c>
      <c r="G2" s="29"/>
    </row>
    <row r="3">
      <c r="A3" s="7" t="s">
        <v>105</v>
      </c>
      <c r="E3" s="25"/>
    </row>
    <row r="4" ht="15.0" customHeight="1">
      <c r="A4" s="31" t="s">
        <v>108</v>
      </c>
      <c r="B4" s="32"/>
      <c r="C4" s="32"/>
      <c r="D4" s="32"/>
      <c r="E4" s="32"/>
      <c r="F4" s="32"/>
      <c r="G4" s="32"/>
      <c r="H4" s="32"/>
      <c r="I4" s="32"/>
      <c r="J4" s="32"/>
      <c r="K4" s="32"/>
      <c r="L4" s="32"/>
      <c r="M4" s="32"/>
      <c r="N4" s="32"/>
      <c r="O4" s="32"/>
      <c r="P4" s="32"/>
      <c r="Q4" s="32"/>
      <c r="R4" s="32"/>
      <c r="S4" s="34"/>
      <c r="T4" s="37" t="s">
        <v>110</v>
      </c>
      <c r="U4" s="32"/>
      <c r="V4" s="32"/>
      <c r="W4" s="32"/>
      <c r="X4" s="32"/>
      <c r="Y4" s="32"/>
      <c r="Z4" s="32"/>
      <c r="AA4" s="32"/>
      <c r="AB4" s="32"/>
      <c r="AC4" s="32"/>
      <c r="AD4" s="32"/>
      <c r="AE4" s="34"/>
    </row>
    <row r="5" ht="33.75" customHeight="1">
      <c r="A5" s="11" t="s">
        <v>11</v>
      </c>
      <c r="B5" s="11" t="s">
        <v>65</v>
      </c>
      <c r="C5" s="12" t="s">
        <v>66</v>
      </c>
      <c r="D5" s="12" t="s">
        <v>67</v>
      </c>
      <c r="E5" s="12" t="s">
        <v>68</v>
      </c>
      <c r="F5" s="12" t="s">
        <v>69</v>
      </c>
      <c r="G5" s="12" t="s">
        <v>71</v>
      </c>
      <c r="H5" s="38" t="s">
        <v>112</v>
      </c>
      <c r="I5" s="11" t="s">
        <v>72</v>
      </c>
      <c r="J5" s="12" t="s">
        <v>73</v>
      </c>
      <c r="K5" s="12" t="s">
        <v>74</v>
      </c>
      <c r="L5" s="12" t="s">
        <v>75</v>
      </c>
      <c r="M5" s="12" t="s">
        <v>76</v>
      </c>
      <c r="N5" s="12" t="s">
        <v>78</v>
      </c>
      <c r="O5" s="12" t="s">
        <v>79</v>
      </c>
      <c r="P5" s="12" t="s">
        <v>80</v>
      </c>
      <c r="Q5" s="12" t="s">
        <v>81</v>
      </c>
      <c r="R5" s="39" t="s">
        <v>82</v>
      </c>
      <c r="S5" s="12" t="s">
        <v>36</v>
      </c>
      <c r="T5" s="39" t="s">
        <v>113</v>
      </c>
      <c r="U5" s="39" t="s">
        <v>114</v>
      </c>
      <c r="V5" s="39" t="s">
        <v>115</v>
      </c>
      <c r="W5" s="39" t="s">
        <v>116</v>
      </c>
      <c r="X5" s="39" t="s">
        <v>117</v>
      </c>
      <c r="Y5" s="39" t="s">
        <v>118</v>
      </c>
      <c r="Z5" s="39" t="s">
        <v>119</v>
      </c>
      <c r="AA5" s="39" t="s">
        <v>120</v>
      </c>
      <c r="AB5" s="39" t="s">
        <v>121</v>
      </c>
      <c r="AC5" s="39" t="s">
        <v>122</v>
      </c>
      <c r="AD5" s="39" t="s">
        <v>123</v>
      </c>
      <c r="AE5" s="39" t="s">
        <v>124</v>
      </c>
    </row>
    <row r="6">
      <c r="A6" s="40">
        <f t="shared" ref="A6:A14" si="1">IF(C6="","",ROW()-5)</f>
        <v>1</v>
      </c>
      <c r="B6" s="40" t="str">
        <f t="shared" ref="B6:B14" si="2">IF(C6="","","ADS-"&amp;TEXT(ROW()-5,"000"))</f>
        <v>ADS-001</v>
      </c>
      <c r="C6" s="19" t="s">
        <v>101</v>
      </c>
      <c r="D6" s="41" t="s">
        <v>127</v>
      </c>
      <c r="E6" s="42" t="s">
        <v>128</v>
      </c>
      <c r="F6" s="45" t="s">
        <v>130</v>
      </c>
      <c r="G6" s="19" t="s">
        <v>51</v>
      </c>
      <c r="H6" s="48" t="str">
        <f t="array" ref="H6:H1230">IFERROR(_xlfn.XLOOKUP(G6:G1230,'Người sử dụng'!$C$4:$C1230,'Người sử dụng'!$B$4:$B1230),"")</f>
        <v>M062HUY</v>
      </c>
      <c r="I6" s="40" t="str">
        <f t="array" ref="I6">IF(G6="","",IFERROR(INDEX('Người sử dụng'!$H$5:$H$140,MATCH(G6,'Người sử dụng'!$C$5:$C$140,0)),"Chưa có trong DS"))</f>
        <v>Đang làm</v>
      </c>
      <c r="J6" s="19" t="s">
        <v>89</v>
      </c>
      <c r="K6" s="24"/>
      <c r="L6" s="23"/>
      <c r="M6" s="24"/>
      <c r="N6" s="24"/>
      <c r="O6" s="19" t="s">
        <v>143</v>
      </c>
      <c r="P6" s="26"/>
      <c r="Q6" s="42" t="s">
        <v>146</v>
      </c>
      <c r="R6" s="50" t="s">
        <v>150</v>
      </c>
      <c r="S6" s="51"/>
      <c r="T6" s="46"/>
      <c r="U6" s="46"/>
      <c r="V6" s="46"/>
      <c r="W6" s="46"/>
      <c r="X6" s="46"/>
      <c r="Y6" s="46"/>
      <c r="Z6" s="46"/>
      <c r="AA6" s="46"/>
      <c r="AB6" s="46"/>
      <c r="AC6" s="46"/>
      <c r="AD6" s="46"/>
      <c r="AE6" s="46"/>
    </row>
    <row r="7">
      <c r="A7" s="40">
        <f t="shared" si="1"/>
        <v>2</v>
      </c>
      <c r="B7" s="40" t="str">
        <f t="shared" si="2"/>
        <v>ADS-002</v>
      </c>
      <c r="C7" s="19" t="s">
        <v>103</v>
      </c>
      <c r="D7" s="41" t="s">
        <v>158</v>
      </c>
      <c r="E7" s="42" t="s">
        <v>159</v>
      </c>
      <c r="F7" s="51"/>
      <c r="G7" s="19" t="s">
        <v>111</v>
      </c>
      <c r="H7" s="40" t="s">
        <v>109</v>
      </c>
      <c r="I7" s="40" t="str">
        <f t="array" ref="I7">IF(G7="","",IFERROR(INDEX('Người sử dụng'!$H$5:$H$140,MATCH(G7,'Người sử dụng'!$C$5:$C$140,0)),"Chưa có trong DS"))</f>
        <v>Đang làm</v>
      </c>
      <c r="J7" s="24"/>
      <c r="K7" s="24"/>
      <c r="L7" s="23"/>
      <c r="M7" s="24"/>
      <c r="N7" s="24"/>
      <c r="O7" s="24"/>
      <c r="P7" s="26"/>
      <c r="Q7" s="51"/>
      <c r="R7" s="46"/>
      <c r="S7" s="51"/>
      <c r="T7" s="46"/>
      <c r="U7" s="46"/>
      <c r="V7" s="46"/>
      <c r="W7" s="46"/>
      <c r="X7" s="46"/>
      <c r="Y7" s="46"/>
      <c r="Z7" s="46"/>
      <c r="AA7" s="46"/>
      <c r="AB7" s="46"/>
      <c r="AC7" s="46"/>
      <c r="AD7" s="46"/>
      <c r="AE7" s="46"/>
    </row>
    <row r="8">
      <c r="A8" s="40">
        <f t="shared" si="1"/>
        <v>3</v>
      </c>
      <c r="B8" s="40" t="str">
        <f t="shared" si="2"/>
        <v>ADS-003</v>
      </c>
      <c r="C8" s="19" t="s">
        <v>84</v>
      </c>
      <c r="D8" s="41" t="s">
        <v>162</v>
      </c>
      <c r="E8" s="42" t="s">
        <v>163</v>
      </c>
      <c r="F8" s="42" t="s">
        <v>164</v>
      </c>
      <c r="G8" s="19" t="s">
        <v>111</v>
      </c>
      <c r="H8" s="40" t="s">
        <v>109</v>
      </c>
      <c r="I8" s="40" t="str">
        <f t="array" ref="I8">IF(G8="","",IFERROR(INDEX('Người sử dụng'!$H$5:$H$140,MATCH(G8,'Người sử dụng'!$C$5:$C$140,0)),"Chưa có trong DS"))</f>
        <v>Đang làm</v>
      </c>
      <c r="J8" s="19" t="s">
        <v>89</v>
      </c>
      <c r="K8" s="24"/>
      <c r="L8" s="23"/>
      <c r="M8" s="24"/>
      <c r="N8" s="24"/>
      <c r="O8" s="19" t="s">
        <v>167</v>
      </c>
      <c r="P8" s="26"/>
      <c r="Q8" s="42" t="s">
        <v>168</v>
      </c>
      <c r="R8" s="50" t="s">
        <v>96</v>
      </c>
      <c r="S8" s="51"/>
      <c r="T8" s="46"/>
      <c r="U8" s="46"/>
      <c r="V8" s="46"/>
      <c r="W8" s="46"/>
      <c r="X8" s="46"/>
      <c r="Y8" s="46"/>
      <c r="Z8" s="46"/>
      <c r="AA8" s="46"/>
      <c r="AB8" s="46"/>
      <c r="AC8" s="46"/>
      <c r="AD8" s="46"/>
      <c r="AE8" s="46"/>
    </row>
    <row r="9">
      <c r="A9" s="40">
        <f t="shared" si="1"/>
        <v>4</v>
      </c>
      <c r="B9" s="40" t="str">
        <f t="shared" si="2"/>
        <v>ADS-004</v>
      </c>
      <c r="C9" s="19" t="s">
        <v>102</v>
      </c>
      <c r="D9" s="23"/>
      <c r="E9" s="51"/>
      <c r="F9" s="51"/>
      <c r="G9" s="24"/>
      <c r="H9" s="40"/>
      <c r="I9" s="40" t="str">
        <f t="array" ref="I9">IF(G9="","",IFERROR(INDEX('Người sử dụng'!$H$5:$H$140,MATCH(G9,'Người sử dụng'!$C$5:$C$140,0)),"Chưa có trong DS"))</f>
        <v/>
      </c>
      <c r="J9" s="24"/>
      <c r="K9" s="24"/>
      <c r="L9" s="23"/>
      <c r="M9" s="24"/>
      <c r="N9" s="24"/>
      <c r="O9" s="24"/>
      <c r="P9" s="26"/>
      <c r="Q9" s="51"/>
      <c r="R9" s="46"/>
      <c r="S9" s="51"/>
      <c r="T9" s="46"/>
      <c r="U9" s="46"/>
      <c r="V9" s="46"/>
      <c r="W9" s="46"/>
      <c r="X9" s="46"/>
      <c r="Y9" s="46"/>
      <c r="Z9" s="46"/>
      <c r="AA9" s="46"/>
      <c r="AB9" s="46"/>
      <c r="AC9" s="46"/>
      <c r="AD9" s="46"/>
      <c r="AE9" s="46"/>
    </row>
    <row r="10">
      <c r="A10" s="40">
        <f t="shared" si="1"/>
        <v>5</v>
      </c>
      <c r="B10" s="40" t="str">
        <f t="shared" si="2"/>
        <v>ADS-005</v>
      </c>
      <c r="C10" s="19" t="s">
        <v>101</v>
      </c>
      <c r="D10" s="41" t="s">
        <v>175</v>
      </c>
      <c r="E10" s="42" t="s">
        <v>101</v>
      </c>
      <c r="F10" s="53" t="s">
        <v>176</v>
      </c>
      <c r="G10" s="19" t="s">
        <v>156</v>
      </c>
      <c r="H10" s="40" t="s">
        <v>155</v>
      </c>
      <c r="I10" s="40" t="str">
        <f t="array" ref="I10">IF(G10="","",IFERROR(INDEX('Người sử dụng'!$H$5:$H$140,MATCH(G10,'Người sử dụng'!$C$5:$C$140,0)),"Chưa có trong DS"))</f>
        <v>Đang làm</v>
      </c>
      <c r="J10" s="19" t="s">
        <v>89</v>
      </c>
      <c r="K10" s="24"/>
      <c r="L10" s="23"/>
      <c r="M10" s="19" t="s">
        <v>91</v>
      </c>
      <c r="N10" s="19" t="s">
        <v>183</v>
      </c>
      <c r="O10" s="19" t="s">
        <v>143</v>
      </c>
      <c r="P10" s="54">
        <v>46220.0</v>
      </c>
      <c r="Q10" s="42" t="s">
        <v>184</v>
      </c>
      <c r="R10" s="50" t="s">
        <v>96</v>
      </c>
      <c r="S10" s="51"/>
      <c r="T10" s="46"/>
      <c r="U10" s="46"/>
      <c r="V10" s="46"/>
      <c r="W10" s="46"/>
      <c r="X10" s="46"/>
      <c r="Y10" s="46"/>
      <c r="Z10" s="46"/>
      <c r="AA10" s="46"/>
      <c r="AB10" s="46"/>
      <c r="AC10" s="46"/>
      <c r="AD10" s="46"/>
      <c r="AE10" s="46"/>
    </row>
    <row r="11" ht="18.75" customHeight="1">
      <c r="A11" s="40">
        <f t="shared" si="1"/>
        <v>6</v>
      </c>
      <c r="B11" s="40" t="str">
        <f t="shared" si="2"/>
        <v>ADS-006</v>
      </c>
      <c r="C11" s="19" t="s">
        <v>101</v>
      </c>
      <c r="D11" s="41" t="s">
        <v>190</v>
      </c>
      <c r="E11" s="42" t="s">
        <v>101</v>
      </c>
      <c r="F11" s="53" t="s">
        <v>191</v>
      </c>
      <c r="G11" s="19" t="s">
        <v>156</v>
      </c>
      <c r="H11" s="40" t="s">
        <v>155</v>
      </c>
      <c r="I11" s="40" t="str">
        <f t="array" ref="I11">IF(G11="","",IFERROR(INDEX('Người sử dụng'!$H$5:$H$140,MATCH(G11,'Người sử dụng'!$C$5:$C$140,0)),"Chưa có trong DS"))</f>
        <v>Đang làm</v>
      </c>
      <c r="J11" s="19" t="s">
        <v>89</v>
      </c>
      <c r="K11" s="24"/>
      <c r="L11" s="23"/>
      <c r="M11" s="19" t="s">
        <v>91</v>
      </c>
      <c r="N11" s="19" t="s">
        <v>183</v>
      </c>
      <c r="O11" s="19" t="s">
        <v>143</v>
      </c>
      <c r="P11" s="26"/>
      <c r="Q11" s="42" t="s">
        <v>184</v>
      </c>
      <c r="R11" s="50" t="s">
        <v>96</v>
      </c>
      <c r="S11" s="51"/>
      <c r="T11" s="46"/>
      <c r="U11" s="46"/>
      <c r="V11" s="46"/>
      <c r="W11" s="46"/>
      <c r="X11" s="46"/>
      <c r="Y11" s="46"/>
      <c r="Z11" s="46"/>
      <c r="AA11" s="46"/>
      <c r="AB11" s="46"/>
      <c r="AC11" s="46"/>
      <c r="AD11" s="46"/>
      <c r="AE11" s="46"/>
    </row>
    <row r="12">
      <c r="A12" s="40" t="str">
        <f t="shared" si="1"/>
        <v/>
      </c>
      <c r="B12" s="40" t="str">
        <f t="shared" si="2"/>
        <v/>
      </c>
      <c r="C12" s="24"/>
      <c r="D12" s="41" t="s">
        <v>201</v>
      </c>
      <c r="E12" s="42" t="s">
        <v>101</v>
      </c>
      <c r="F12" s="53" t="s">
        <v>202</v>
      </c>
      <c r="G12" s="19" t="s">
        <v>156</v>
      </c>
      <c r="H12" s="40" t="s">
        <v>155</v>
      </c>
      <c r="I12" s="40" t="str">
        <f t="array" ref="I12">IF(G12="","",IFERROR(INDEX('Người sử dụng'!$H$5:$H$140,MATCH(G12,'Người sử dụng'!$C$5:$C$140,0)),"Chưa có trong DS"))</f>
        <v>Đang làm</v>
      </c>
      <c r="J12" s="19" t="s">
        <v>89</v>
      </c>
      <c r="K12" s="24"/>
      <c r="L12" s="23"/>
      <c r="M12" s="19" t="s">
        <v>91</v>
      </c>
      <c r="N12" s="19" t="s">
        <v>183</v>
      </c>
      <c r="O12" s="19" t="s">
        <v>143</v>
      </c>
      <c r="P12" s="54">
        <v>46276.0</v>
      </c>
      <c r="Q12" s="42" t="s">
        <v>184</v>
      </c>
      <c r="R12" s="50" t="s">
        <v>96</v>
      </c>
      <c r="S12" s="51"/>
      <c r="T12" s="46"/>
      <c r="U12" s="46"/>
      <c r="V12" s="46"/>
      <c r="W12" s="46"/>
      <c r="X12" s="46"/>
      <c r="Y12" s="46"/>
      <c r="Z12" s="46"/>
      <c r="AA12" s="46"/>
      <c r="AB12" s="46"/>
      <c r="AC12" s="46"/>
      <c r="AD12" s="46"/>
      <c r="AE12" s="46"/>
    </row>
    <row r="13">
      <c r="A13" s="40">
        <f t="shared" si="1"/>
        <v>8</v>
      </c>
      <c r="B13" s="40" t="str">
        <f t="shared" si="2"/>
        <v>ADS-008</v>
      </c>
      <c r="C13" s="19" t="s">
        <v>84</v>
      </c>
      <c r="D13" s="41" t="s">
        <v>207</v>
      </c>
      <c r="E13" s="42" t="s">
        <v>208</v>
      </c>
      <c r="F13" s="53" t="s">
        <v>209</v>
      </c>
      <c r="G13" s="19" t="s">
        <v>156</v>
      </c>
      <c r="H13" s="40" t="s">
        <v>155</v>
      </c>
      <c r="I13" s="40" t="str">
        <f t="array" ref="I13">IF(G13="","",IFERROR(INDEX('Người sử dụng'!$H$5:$H$140,MATCH(G13,'Người sử dụng'!$C$5:$C$140,0)),"Chưa có trong DS"))</f>
        <v>Đang làm</v>
      </c>
      <c r="J13" s="19" t="s">
        <v>89</v>
      </c>
      <c r="K13" s="24"/>
      <c r="L13" s="23"/>
      <c r="M13" s="19"/>
      <c r="N13" s="19"/>
      <c r="O13" s="19" t="s">
        <v>143</v>
      </c>
      <c r="P13" s="26"/>
      <c r="Q13" s="42" t="s">
        <v>214</v>
      </c>
      <c r="R13" s="50" t="s">
        <v>96</v>
      </c>
      <c r="S13" s="42" t="s">
        <v>215</v>
      </c>
      <c r="T13" s="46"/>
      <c r="U13" s="46"/>
      <c r="V13" s="46"/>
      <c r="W13" s="46"/>
      <c r="X13" s="46"/>
      <c r="Y13" s="46"/>
      <c r="Z13" s="46"/>
      <c r="AA13" s="46"/>
      <c r="AB13" s="46"/>
      <c r="AC13" s="46"/>
      <c r="AD13" s="46"/>
      <c r="AE13" s="46"/>
    </row>
    <row r="14">
      <c r="A14" s="40">
        <f t="shared" si="1"/>
        <v>9</v>
      </c>
      <c r="B14" s="40" t="str">
        <f t="shared" si="2"/>
        <v>ADS-009</v>
      </c>
      <c r="C14" s="19" t="s">
        <v>84</v>
      </c>
      <c r="D14" s="41" t="s">
        <v>220</v>
      </c>
      <c r="E14" s="42" t="s">
        <v>208</v>
      </c>
      <c r="F14" s="45" t="s">
        <v>221</v>
      </c>
      <c r="G14" s="19" t="s">
        <v>156</v>
      </c>
      <c r="H14" s="40" t="s">
        <v>155</v>
      </c>
      <c r="I14" s="40" t="str">
        <f t="array" ref="I14">IF(G14="","",IFERROR(INDEX('Người sử dụng'!$H$5:$H$140,MATCH(G14,'Người sử dụng'!$C$5:$C$140,0)),"Chưa có trong DS"))</f>
        <v>Đang làm</v>
      </c>
      <c r="J14" s="19" t="s">
        <v>89</v>
      </c>
      <c r="K14" s="24"/>
      <c r="L14" s="23"/>
      <c r="M14" s="24"/>
      <c r="N14" s="24"/>
      <c r="O14" s="19" t="s">
        <v>143</v>
      </c>
      <c r="P14" s="26"/>
      <c r="Q14" s="42" t="s">
        <v>214</v>
      </c>
      <c r="R14" s="50" t="s">
        <v>96</v>
      </c>
      <c r="S14" s="42" t="s">
        <v>215</v>
      </c>
      <c r="T14" s="46"/>
      <c r="U14" s="46"/>
      <c r="V14" s="46"/>
      <c r="W14" s="46"/>
      <c r="X14" s="46"/>
      <c r="Y14" s="46"/>
      <c r="Z14" s="46"/>
      <c r="AA14" s="46"/>
      <c r="AB14" s="46"/>
      <c r="AC14" s="46"/>
      <c r="AD14" s="46"/>
      <c r="AE14" s="46"/>
    </row>
    <row r="15">
      <c r="A15" s="40"/>
      <c r="B15" s="40"/>
      <c r="C15" s="19" t="s">
        <v>84</v>
      </c>
      <c r="D15" s="41" t="s">
        <v>229</v>
      </c>
      <c r="E15" s="42" t="s">
        <v>208</v>
      </c>
      <c r="F15" s="45" t="s">
        <v>231</v>
      </c>
      <c r="G15" s="19" t="s">
        <v>156</v>
      </c>
      <c r="H15" s="40" t="s">
        <v>155</v>
      </c>
      <c r="I15" s="40" t="str">
        <f t="array" ref="I15">IF(G15="","",IFERROR(INDEX('Người sử dụng'!$H$5:$H$140,MATCH(G15,'Người sử dụng'!$C$5:$C$140,0)),"Chưa có trong DS"))</f>
        <v>Đang làm</v>
      </c>
      <c r="J15" s="19" t="s">
        <v>89</v>
      </c>
      <c r="K15" s="24"/>
      <c r="L15" s="23"/>
      <c r="M15" s="24"/>
      <c r="N15" s="24"/>
      <c r="O15" s="19" t="s">
        <v>143</v>
      </c>
      <c r="P15" s="26"/>
      <c r="Q15" s="42" t="s">
        <v>214</v>
      </c>
      <c r="R15" s="50" t="s">
        <v>96</v>
      </c>
      <c r="S15" s="42" t="s">
        <v>232</v>
      </c>
      <c r="T15" s="46"/>
      <c r="U15" s="46"/>
      <c r="V15" s="46"/>
      <c r="W15" s="46"/>
      <c r="X15" s="46"/>
      <c r="Y15" s="46"/>
      <c r="Z15" s="46"/>
      <c r="AA15" s="46"/>
      <c r="AB15" s="46"/>
      <c r="AC15" s="46"/>
      <c r="AD15" s="46"/>
      <c r="AE15" s="46"/>
    </row>
    <row r="16">
      <c r="A16" s="40"/>
      <c r="B16" s="40"/>
      <c r="C16" s="19" t="s">
        <v>84</v>
      </c>
      <c r="D16" s="41" t="s">
        <v>237</v>
      </c>
      <c r="E16" s="42" t="s">
        <v>208</v>
      </c>
      <c r="F16" s="45" t="s">
        <v>238</v>
      </c>
      <c r="G16" s="19" t="s">
        <v>156</v>
      </c>
      <c r="H16" s="40" t="s">
        <v>155</v>
      </c>
      <c r="I16" s="40" t="str">
        <f t="array" ref="I16">IF(G16="","",IFERROR(INDEX('Người sử dụng'!$H$5:$H$140,MATCH(G16,'Người sử dụng'!$C$5:$C$140,0)),"Chưa có trong DS"))</f>
        <v>Đang làm</v>
      </c>
      <c r="J16" s="19" t="s">
        <v>89</v>
      </c>
      <c r="K16" s="24"/>
      <c r="L16" s="23"/>
      <c r="M16" s="24"/>
      <c r="N16" s="24"/>
      <c r="O16" s="19" t="s">
        <v>143</v>
      </c>
      <c r="P16" s="26"/>
      <c r="Q16" s="42" t="s">
        <v>214</v>
      </c>
      <c r="R16" s="50" t="s">
        <v>96</v>
      </c>
      <c r="S16" s="42" t="s">
        <v>232</v>
      </c>
      <c r="T16" s="46"/>
      <c r="U16" s="46"/>
      <c r="V16" s="46"/>
      <c r="W16" s="46"/>
      <c r="X16" s="46"/>
      <c r="Y16" s="46"/>
      <c r="Z16" s="46"/>
      <c r="AA16" s="46"/>
      <c r="AB16" s="46"/>
      <c r="AC16" s="46"/>
      <c r="AD16" s="46"/>
      <c r="AE16" s="46"/>
    </row>
    <row r="17">
      <c r="A17" s="40"/>
      <c r="B17" s="40"/>
      <c r="C17" s="19" t="s">
        <v>84</v>
      </c>
      <c r="D17" s="41" t="s">
        <v>248</v>
      </c>
      <c r="E17" s="42" t="s">
        <v>208</v>
      </c>
      <c r="F17" s="45" t="s">
        <v>249</v>
      </c>
      <c r="G17" s="19" t="s">
        <v>156</v>
      </c>
      <c r="H17" s="40" t="s">
        <v>155</v>
      </c>
      <c r="I17" s="40" t="str">
        <f t="array" ref="I17">IF(G17="","",IFERROR(INDEX('Người sử dụng'!$H$5:$H$140,MATCH(G17,'Người sử dụng'!$C$5:$C$140,0)),"Chưa có trong DS"))</f>
        <v>Đang làm</v>
      </c>
      <c r="J17" s="19" t="s">
        <v>89</v>
      </c>
      <c r="K17" s="24"/>
      <c r="L17" s="23"/>
      <c r="M17" s="24"/>
      <c r="N17" s="24"/>
      <c r="O17" s="19" t="s">
        <v>143</v>
      </c>
      <c r="P17" s="26"/>
      <c r="Q17" s="42" t="s">
        <v>214</v>
      </c>
      <c r="R17" s="50" t="s">
        <v>96</v>
      </c>
      <c r="S17" s="42" t="s">
        <v>232</v>
      </c>
      <c r="T17" s="46"/>
      <c r="U17" s="46"/>
      <c r="V17" s="46"/>
      <c r="W17" s="46"/>
      <c r="X17" s="46"/>
      <c r="Y17" s="46"/>
      <c r="Z17" s="46"/>
      <c r="AA17" s="46"/>
      <c r="AB17" s="46"/>
      <c r="AC17" s="46"/>
      <c r="AD17" s="46"/>
      <c r="AE17" s="46"/>
    </row>
    <row r="18">
      <c r="A18" s="40"/>
      <c r="B18" s="40"/>
      <c r="C18" s="19" t="s">
        <v>84</v>
      </c>
      <c r="D18" s="41" t="s">
        <v>254</v>
      </c>
      <c r="E18" s="42" t="s">
        <v>208</v>
      </c>
      <c r="F18" s="45" t="s">
        <v>256</v>
      </c>
      <c r="G18" s="19" t="s">
        <v>156</v>
      </c>
      <c r="H18" s="40" t="s">
        <v>155</v>
      </c>
      <c r="I18" s="40" t="str">
        <f t="array" ref="I18">IF(G18="","",IFERROR(INDEX('Người sử dụng'!$H$5:$H$140,MATCH(G18,'Người sử dụng'!$C$5:$C$140,0)),"Chưa có trong DS"))</f>
        <v>Đang làm</v>
      </c>
      <c r="J18" s="19" t="s">
        <v>89</v>
      </c>
      <c r="K18" s="24"/>
      <c r="L18" s="23"/>
      <c r="M18" s="24"/>
      <c r="N18" s="24"/>
      <c r="O18" s="19" t="s">
        <v>143</v>
      </c>
      <c r="P18" s="26"/>
      <c r="Q18" s="42" t="s">
        <v>214</v>
      </c>
      <c r="R18" s="50" t="s">
        <v>96</v>
      </c>
      <c r="S18" s="42" t="s">
        <v>232</v>
      </c>
      <c r="T18" s="46"/>
      <c r="U18" s="46"/>
      <c r="V18" s="46"/>
      <c r="W18" s="46"/>
      <c r="X18" s="46"/>
      <c r="Y18" s="46"/>
      <c r="Z18" s="46"/>
      <c r="AA18" s="46"/>
      <c r="AB18" s="46"/>
      <c r="AC18" s="46"/>
      <c r="AD18" s="46"/>
      <c r="AE18" s="46"/>
    </row>
    <row r="19">
      <c r="A19" s="40"/>
      <c r="B19" s="40"/>
      <c r="C19" s="19" t="s">
        <v>84</v>
      </c>
      <c r="D19" s="41" t="s">
        <v>260</v>
      </c>
      <c r="E19" s="42" t="s">
        <v>208</v>
      </c>
      <c r="F19" s="45" t="s">
        <v>261</v>
      </c>
      <c r="G19" s="19" t="s">
        <v>156</v>
      </c>
      <c r="H19" s="40" t="s">
        <v>155</v>
      </c>
      <c r="I19" s="40" t="str">
        <f t="array" ref="I19">IF(G19="","",IFERROR(INDEX('Người sử dụng'!$H$5:$H$140,MATCH(G19,'Người sử dụng'!$C$5:$C$140,0)),"Chưa có trong DS"))</f>
        <v>Đang làm</v>
      </c>
      <c r="J19" s="19" t="s">
        <v>89</v>
      </c>
      <c r="K19" s="24"/>
      <c r="L19" s="23"/>
      <c r="M19" s="24"/>
      <c r="N19" s="24"/>
      <c r="O19" s="19" t="s">
        <v>143</v>
      </c>
      <c r="P19" s="26"/>
      <c r="Q19" s="42" t="s">
        <v>214</v>
      </c>
      <c r="R19" s="50" t="s">
        <v>96</v>
      </c>
      <c r="S19" s="42" t="s">
        <v>232</v>
      </c>
      <c r="T19" s="46"/>
      <c r="U19" s="46"/>
      <c r="V19" s="46"/>
      <c r="W19" s="46"/>
      <c r="X19" s="46"/>
      <c r="Y19" s="46"/>
      <c r="Z19" s="46"/>
      <c r="AA19" s="46"/>
      <c r="AB19" s="46"/>
      <c r="AC19" s="46"/>
      <c r="AD19" s="46"/>
      <c r="AE19" s="46"/>
    </row>
    <row r="20">
      <c r="A20" s="40"/>
      <c r="B20" s="40"/>
      <c r="C20" s="19" t="s">
        <v>84</v>
      </c>
      <c r="D20" s="41" t="s">
        <v>264</v>
      </c>
      <c r="E20" s="42" t="s">
        <v>208</v>
      </c>
      <c r="F20" s="45" t="s">
        <v>265</v>
      </c>
      <c r="G20" s="19" t="s">
        <v>156</v>
      </c>
      <c r="H20" s="40" t="s">
        <v>155</v>
      </c>
      <c r="I20" s="40" t="str">
        <f t="array" ref="I20">IF(G20="","",IFERROR(INDEX('Người sử dụng'!$H$5:$H$140,MATCH(G20,'Người sử dụng'!$C$5:$C$140,0)),"Chưa có trong DS"))</f>
        <v>Đang làm</v>
      </c>
      <c r="J20" s="19" t="s">
        <v>89</v>
      </c>
      <c r="K20" s="24"/>
      <c r="L20" s="23"/>
      <c r="M20" s="24"/>
      <c r="N20" s="24"/>
      <c r="O20" s="19" t="s">
        <v>143</v>
      </c>
      <c r="P20" s="26"/>
      <c r="Q20" s="42" t="s">
        <v>214</v>
      </c>
      <c r="R20" s="50" t="s">
        <v>96</v>
      </c>
      <c r="S20" s="42" t="s">
        <v>232</v>
      </c>
      <c r="T20" s="46"/>
      <c r="U20" s="46"/>
      <c r="V20" s="46"/>
      <c r="W20" s="46"/>
      <c r="X20" s="46"/>
      <c r="Y20" s="46"/>
      <c r="Z20" s="46"/>
      <c r="AA20" s="46"/>
      <c r="AB20" s="46"/>
      <c r="AC20" s="46"/>
      <c r="AD20" s="46"/>
      <c r="AE20" s="46"/>
    </row>
    <row r="21">
      <c r="A21" s="40"/>
      <c r="B21" s="40"/>
      <c r="C21" s="19" t="s">
        <v>103</v>
      </c>
      <c r="D21" s="41"/>
      <c r="E21" s="42" t="s">
        <v>274</v>
      </c>
      <c r="F21" s="58"/>
      <c r="G21" s="19" t="s">
        <v>156</v>
      </c>
      <c r="H21" s="40" t="s">
        <v>155</v>
      </c>
      <c r="I21" s="40" t="str">
        <f t="array" ref="I21">IF(G21="","",IFERROR(INDEX('Người sử dụng'!$H$5:$H$140,MATCH(G21,'Người sử dụng'!$C$5:$C$140,0)),"Chưa có trong DS"))</f>
        <v>Đang làm</v>
      </c>
      <c r="J21" s="19" t="s">
        <v>89</v>
      </c>
      <c r="K21" s="19" t="s">
        <v>279</v>
      </c>
      <c r="L21" s="23"/>
      <c r="M21" s="24"/>
      <c r="N21" s="24"/>
      <c r="O21" s="19" t="s">
        <v>92</v>
      </c>
      <c r="P21" s="26"/>
      <c r="Q21" s="42"/>
      <c r="R21" s="50" t="s">
        <v>96</v>
      </c>
      <c r="S21" s="51"/>
      <c r="T21" s="46"/>
      <c r="U21" s="46"/>
      <c r="V21" s="46"/>
      <c r="W21" s="46"/>
      <c r="X21" s="46"/>
      <c r="Y21" s="46"/>
      <c r="Z21" s="46"/>
      <c r="AA21" s="46"/>
      <c r="AB21" s="46"/>
      <c r="AC21" s="46"/>
      <c r="AD21" s="46"/>
      <c r="AE21" s="46"/>
    </row>
    <row r="22">
      <c r="A22" s="40"/>
      <c r="B22" s="40"/>
      <c r="C22" s="19"/>
      <c r="D22" s="41"/>
      <c r="E22" s="42"/>
      <c r="F22" s="58"/>
      <c r="G22" s="19"/>
      <c r="H22" s="40"/>
      <c r="I22" s="40"/>
      <c r="J22" s="19"/>
      <c r="K22" s="24"/>
      <c r="L22" s="23"/>
      <c r="M22" s="24"/>
      <c r="N22" s="24"/>
      <c r="O22" s="19"/>
      <c r="P22" s="26"/>
      <c r="Q22" s="42"/>
      <c r="R22" s="50"/>
      <c r="S22" s="51"/>
      <c r="T22" s="46"/>
      <c r="U22" s="46"/>
      <c r="V22" s="46"/>
      <c r="W22" s="46"/>
      <c r="X22" s="46"/>
      <c r="Y22" s="46"/>
      <c r="Z22" s="46"/>
      <c r="AA22" s="46"/>
      <c r="AB22" s="46"/>
      <c r="AC22" s="46"/>
      <c r="AD22" s="46"/>
      <c r="AE22" s="46"/>
    </row>
    <row r="23">
      <c r="A23" s="40">
        <f t="shared" ref="A23:A87" si="3">IF(C23="","",ROW()-5)</f>
        <v>18</v>
      </c>
      <c r="B23" s="40" t="str">
        <f t="shared" ref="B23:B87" si="4">IF(C23="","","ADS-"&amp;TEXT(ROW()-5,"000"))</f>
        <v>ADS-018</v>
      </c>
      <c r="C23" s="19" t="s">
        <v>101</v>
      </c>
      <c r="D23" s="41" t="s">
        <v>284</v>
      </c>
      <c r="E23" s="42" t="s">
        <v>101</v>
      </c>
      <c r="F23" s="45" t="s">
        <v>285</v>
      </c>
      <c r="G23" s="19" t="s">
        <v>111</v>
      </c>
      <c r="H23" s="40" t="s">
        <v>109</v>
      </c>
      <c r="I23" s="40" t="str">
        <f t="array" ref="I23">IF(G23="","",IFERROR(INDEX('Người sử dụng'!$H$5:$H$140,MATCH(G23,'Người sử dụng'!$C$5:$C$140,0)),"Chưa có trong DS"))</f>
        <v>Đang làm</v>
      </c>
      <c r="J23" s="19" t="s">
        <v>89</v>
      </c>
      <c r="K23" s="24"/>
      <c r="L23" s="23"/>
      <c r="M23" s="19" t="s">
        <v>91</v>
      </c>
      <c r="N23" s="19" t="s">
        <v>288</v>
      </c>
      <c r="O23" s="19" t="s">
        <v>143</v>
      </c>
      <c r="P23" s="26"/>
      <c r="Q23" s="42" t="s">
        <v>184</v>
      </c>
      <c r="R23" s="50" t="s">
        <v>150</v>
      </c>
      <c r="S23" s="51"/>
      <c r="T23" s="46"/>
      <c r="U23" s="46"/>
      <c r="V23" s="46"/>
      <c r="W23" s="46"/>
      <c r="X23" s="46"/>
      <c r="Y23" s="46"/>
      <c r="Z23" s="46"/>
      <c r="AA23" s="46"/>
      <c r="AB23" s="46"/>
      <c r="AC23" s="46"/>
      <c r="AD23" s="46"/>
      <c r="AE23" s="46"/>
    </row>
    <row r="24">
      <c r="A24" s="40">
        <f t="shared" si="3"/>
        <v>19</v>
      </c>
      <c r="B24" s="40" t="str">
        <f t="shared" si="4"/>
        <v>ADS-019</v>
      </c>
      <c r="C24" s="19" t="s">
        <v>101</v>
      </c>
      <c r="D24" s="41" t="s">
        <v>291</v>
      </c>
      <c r="E24" s="42" t="s">
        <v>101</v>
      </c>
      <c r="F24" s="53" t="s">
        <v>292</v>
      </c>
      <c r="G24" s="19" t="s">
        <v>111</v>
      </c>
      <c r="H24" s="40" t="s">
        <v>109</v>
      </c>
      <c r="I24" s="40" t="str">
        <f t="array" ref="I24">IF(G24="","",IFERROR(INDEX('Người sử dụng'!$H$5:$H$140,MATCH(G24,'Người sử dụng'!$C$5:$C$140,0)),"Chưa có trong DS"))</f>
        <v>Đang làm</v>
      </c>
      <c r="J24" s="19" t="s">
        <v>89</v>
      </c>
      <c r="K24" s="24"/>
      <c r="L24" s="23"/>
      <c r="M24" s="19" t="s">
        <v>91</v>
      </c>
      <c r="N24" s="19" t="s">
        <v>288</v>
      </c>
      <c r="O24" s="19" t="s">
        <v>143</v>
      </c>
      <c r="P24" s="26"/>
      <c r="Q24" s="42" t="s">
        <v>184</v>
      </c>
      <c r="R24" s="50" t="s">
        <v>150</v>
      </c>
      <c r="S24" s="51"/>
      <c r="T24" s="46"/>
      <c r="U24" s="46"/>
      <c r="V24" s="46"/>
      <c r="W24" s="46"/>
      <c r="X24" s="46"/>
      <c r="Y24" s="46"/>
      <c r="Z24" s="46"/>
      <c r="AA24" s="46"/>
      <c r="AB24" s="46"/>
      <c r="AC24" s="46"/>
      <c r="AD24" s="46"/>
      <c r="AE24" s="46"/>
    </row>
    <row r="25">
      <c r="A25" s="40">
        <f t="shared" si="3"/>
        <v>20</v>
      </c>
      <c r="B25" s="40" t="str">
        <f t="shared" si="4"/>
        <v>ADS-020</v>
      </c>
      <c r="C25" s="19" t="s">
        <v>101</v>
      </c>
      <c r="D25" s="41" t="s">
        <v>297</v>
      </c>
      <c r="E25" s="42" t="s">
        <v>101</v>
      </c>
      <c r="F25" s="53" t="s">
        <v>298</v>
      </c>
      <c r="G25" s="19" t="s">
        <v>111</v>
      </c>
      <c r="H25" s="40" t="s">
        <v>109</v>
      </c>
      <c r="I25" s="40" t="str">
        <f t="array" ref="I25">IF(G25="","",IFERROR(INDEX('Người sử dụng'!$H$5:$H$140,MATCH(G25,'Người sử dụng'!$C$5:$C$140,0)),"Chưa có trong DS"))</f>
        <v>Đang làm</v>
      </c>
      <c r="J25" s="19" t="s">
        <v>89</v>
      </c>
      <c r="K25" s="24"/>
      <c r="L25" s="23"/>
      <c r="M25" s="19" t="s">
        <v>91</v>
      </c>
      <c r="N25" s="19" t="s">
        <v>288</v>
      </c>
      <c r="O25" s="19" t="s">
        <v>143</v>
      </c>
      <c r="P25" s="26"/>
      <c r="Q25" s="42" t="s">
        <v>184</v>
      </c>
      <c r="R25" s="50" t="s">
        <v>150</v>
      </c>
      <c r="S25" s="51"/>
      <c r="T25" s="46"/>
      <c r="U25" s="46"/>
      <c r="V25" s="46"/>
      <c r="W25" s="46"/>
      <c r="X25" s="46"/>
      <c r="Y25" s="46"/>
      <c r="Z25" s="46"/>
      <c r="AA25" s="46"/>
      <c r="AB25" s="46"/>
      <c r="AC25" s="46"/>
      <c r="AD25" s="46"/>
      <c r="AE25" s="46"/>
    </row>
    <row r="26">
      <c r="A26" s="40">
        <f t="shared" si="3"/>
        <v>21</v>
      </c>
      <c r="B26" s="40" t="str">
        <f t="shared" si="4"/>
        <v>ADS-021</v>
      </c>
      <c r="C26" s="19" t="s">
        <v>84</v>
      </c>
      <c r="D26" s="23"/>
      <c r="E26" s="42" t="s">
        <v>303</v>
      </c>
      <c r="F26" s="45" t="s">
        <v>304</v>
      </c>
      <c r="G26" s="19" t="s">
        <v>111</v>
      </c>
      <c r="H26" s="40" t="s">
        <v>109</v>
      </c>
      <c r="I26" s="40" t="str">
        <f t="array" ref="I26">IF(G26="","",IFERROR(INDEX('Người sử dụng'!$H$5:$H$140,MATCH(G26,'Người sử dụng'!$C$5:$C$140,0)),"Chưa có trong DS"))</f>
        <v>Đang làm</v>
      </c>
      <c r="J26" s="19" t="s">
        <v>89</v>
      </c>
      <c r="K26" s="24"/>
      <c r="L26" s="23"/>
      <c r="M26" s="24"/>
      <c r="N26" s="19" t="s">
        <v>288</v>
      </c>
      <c r="O26" s="19" t="s">
        <v>143</v>
      </c>
      <c r="P26" s="26"/>
      <c r="Q26" s="42" t="s">
        <v>215</v>
      </c>
      <c r="R26" s="50" t="s">
        <v>150</v>
      </c>
      <c r="S26" s="51"/>
      <c r="T26" s="46"/>
      <c r="U26" s="46"/>
      <c r="V26" s="46"/>
      <c r="W26" s="46"/>
      <c r="X26" s="46"/>
      <c r="Y26" s="46"/>
      <c r="Z26" s="46"/>
      <c r="AA26" s="46"/>
      <c r="AB26" s="46"/>
      <c r="AC26" s="46"/>
      <c r="AD26" s="46"/>
      <c r="AE26" s="46"/>
    </row>
    <row r="27">
      <c r="A27" s="40">
        <f t="shared" si="3"/>
        <v>22</v>
      </c>
      <c r="B27" s="40" t="str">
        <f t="shared" si="4"/>
        <v>ADS-022</v>
      </c>
      <c r="C27" s="19" t="s">
        <v>84</v>
      </c>
      <c r="D27" s="23"/>
      <c r="E27" s="42" t="s">
        <v>303</v>
      </c>
      <c r="F27" s="45" t="s">
        <v>304</v>
      </c>
      <c r="G27" s="19" t="s">
        <v>111</v>
      </c>
      <c r="H27" s="40" t="s">
        <v>109</v>
      </c>
      <c r="I27" s="40" t="str">
        <f t="array" ref="I27">IF(G27="","",IFERROR(INDEX('Người sử dụng'!$H$5:$H$140,MATCH(G27,'Người sử dụng'!$C$5:$C$140,0)),"Chưa có trong DS"))</f>
        <v>Đang làm</v>
      </c>
      <c r="J27" s="19" t="s">
        <v>89</v>
      </c>
      <c r="K27" s="24"/>
      <c r="L27" s="23"/>
      <c r="M27" s="24"/>
      <c r="N27" s="19" t="s">
        <v>288</v>
      </c>
      <c r="O27" s="19" t="s">
        <v>143</v>
      </c>
      <c r="P27" s="26"/>
      <c r="Q27" s="42" t="s">
        <v>215</v>
      </c>
      <c r="R27" s="50" t="s">
        <v>150</v>
      </c>
      <c r="S27" s="51"/>
      <c r="T27" s="46"/>
      <c r="U27" s="46"/>
      <c r="V27" s="46"/>
      <c r="W27" s="46"/>
      <c r="X27" s="46"/>
      <c r="Y27" s="46"/>
      <c r="Z27" s="46"/>
      <c r="AA27" s="46"/>
      <c r="AB27" s="46"/>
      <c r="AC27" s="46"/>
      <c r="AD27" s="46"/>
      <c r="AE27" s="46"/>
    </row>
    <row r="28">
      <c r="A28" s="40">
        <f t="shared" si="3"/>
        <v>23</v>
      </c>
      <c r="B28" s="40" t="str">
        <f t="shared" si="4"/>
        <v>ADS-023</v>
      </c>
      <c r="C28" s="19" t="s">
        <v>310</v>
      </c>
      <c r="D28" s="41" t="s">
        <v>311</v>
      </c>
      <c r="E28" s="42" t="s">
        <v>312</v>
      </c>
      <c r="F28" s="51"/>
      <c r="G28" s="19" t="s">
        <v>111</v>
      </c>
      <c r="H28" s="40" t="s">
        <v>109</v>
      </c>
      <c r="I28" s="40" t="str">
        <f t="array" ref="I28">IF(G28="","",IFERROR(INDEX('Người sử dụng'!$H$5:$H$140,MATCH(G28,'Người sử dụng'!$C$5:$C$140,0)),"Chưa có trong DS"))</f>
        <v>Đang làm</v>
      </c>
      <c r="J28" s="19" t="s">
        <v>89</v>
      </c>
      <c r="K28" s="24"/>
      <c r="L28" s="23"/>
      <c r="M28" s="24"/>
      <c r="N28" s="19" t="s">
        <v>288</v>
      </c>
      <c r="O28" s="19" t="s">
        <v>143</v>
      </c>
      <c r="P28" s="26"/>
      <c r="Q28" s="42" t="s">
        <v>313</v>
      </c>
      <c r="R28" s="50" t="s">
        <v>150</v>
      </c>
      <c r="S28" s="51"/>
      <c r="T28" s="46"/>
      <c r="U28" s="46"/>
      <c r="V28" s="46"/>
      <c r="W28" s="46"/>
      <c r="X28" s="46"/>
      <c r="Y28" s="46"/>
      <c r="Z28" s="46"/>
      <c r="AA28" s="46"/>
      <c r="AB28" s="46"/>
      <c r="AC28" s="46"/>
      <c r="AD28" s="46"/>
      <c r="AE28" s="46"/>
    </row>
    <row r="29" ht="15.75" customHeight="1">
      <c r="A29" s="40">
        <f t="shared" si="3"/>
        <v>24</v>
      </c>
      <c r="B29" s="40" t="str">
        <f t="shared" si="4"/>
        <v>ADS-024</v>
      </c>
      <c r="C29" s="19" t="s">
        <v>316</v>
      </c>
      <c r="D29" s="23"/>
      <c r="E29" s="42" t="s">
        <v>317</v>
      </c>
      <c r="F29" s="45" t="s">
        <v>318</v>
      </c>
      <c r="G29" s="19" t="s">
        <v>111</v>
      </c>
      <c r="H29" s="40" t="s">
        <v>109</v>
      </c>
      <c r="I29" s="40" t="str">
        <f t="array" ref="I29">IF(G29="","",IFERROR(INDEX('Người sử dụng'!$H$5:$H$140,MATCH(G29,'Người sử dụng'!$C$5:$C$140,0)),"Chưa có trong DS"))</f>
        <v>Đang làm</v>
      </c>
      <c r="J29" s="19" t="s">
        <v>89</v>
      </c>
      <c r="K29" s="24"/>
      <c r="L29" s="23"/>
      <c r="M29" s="24"/>
      <c r="N29" s="19" t="s">
        <v>288</v>
      </c>
      <c r="O29" s="19" t="s">
        <v>143</v>
      </c>
      <c r="P29" s="26"/>
      <c r="Q29" s="42" t="s">
        <v>232</v>
      </c>
      <c r="R29" s="50" t="s">
        <v>150</v>
      </c>
      <c r="S29" s="51"/>
      <c r="T29" s="46"/>
      <c r="U29" s="46"/>
      <c r="V29" s="46"/>
      <c r="W29" s="46"/>
      <c r="X29" s="46"/>
      <c r="Y29" s="46"/>
      <c r="Z29" s="46"/>
      <c r="AA29" s="46"/>
      <c r="AB29" s="46"/>
      <c r="AC29" s="46"/>
      <c r="AD29" s="46"/>
      <c r="AE29" s="46"/>
    </row>
    <row r="30" ht="15.75" customHeight="1">
      <c r="A30" s="40">
        <f t="shared" si="3"/>
        <v>25</v>
      </c>
      <c r="B30" s="40" t="str">
        <f t="shared" si="4"/>
        <v>ADS-025</v>
      </c>
      <c r="C30" s="19" t="s">
        <v>323</v>
      </c>
      <c r="D30" s="23"/>
      <c r="E30" s="42" t="s">
        <v>317</v>
      </c>
      <c r="F30" s="45" t="s">
        <v>324</v>
      </c>
      <c r="G30" s="19" t="s">
        <v>111</v>
      </c>
      <c r="H30" s="40" t="s">
        <v>109</v>
      </c>
      <c r="I30" s="40" t="str">
        <f t="array" ref="I30">IF(G30="","",IFERROR(INDEX('Người sử dụng'!$H$5:$H$140,MATCH(G30,'Người sử dụng'!$C$5:$C$140,0)),"Chưa có trong DS"))</f>
        <v>Đang làm</v>
      </c>
      <c r="J30" s="19" t="s">
        <v>89</v>
      </c>
      <c r="K30" s="24"/>
      <c r="L30" s="23"/>
      <c r="M30" s="24"/>
      <c r="N30" s="19" t="s">
        <v>288</v>
      </c>
      <c r="O30" s="19" t="s">
        <v>143</v>
      </c>
      <c r="P30" s="26"/>
      <c r="Q30" s="42" t="s">
        <v>232</v>
      </c>
      <c r="R30" s="50" t="s">
        <v>150</v>
      </c>
      <c r="S30" s="51"/>
      <c r="T30" s="46"/>
      <c r="U30" s="46"/>
      <c r="V30" s="46"/>
      <c r="W30" s="46"/>
      <c r="X30" s="46"/>
      <c r="Y30" s="46"/>
      <c r="Z30" s="46"/>
      <c r="AA30" s="46"/>
      <c r="AB30" s="46"/>
      <c r="AC30" s="46"/>
      <c r="AD30" s="46"/>
      <c r="AE30" s="46"/>
    </row>
    <row r="31" ht="15.75" customHeight="1">
      <c r="A31" s="40">
        <f t="shared" si="3"/>
        <v>26</v>
      </c>
      <c r="B31" s="40" t="str">
        <f t="shared" si="4"/>
        <v>ADS-026</v>
      </c>
      <c r="C31" s="19" t="s">
        <v>316</v>
      </c>
      <c r="D31" s="23"/>
      <c r="E31" s="42" t="s">
        <v>327</v>
      </c>
      <c r="F31" s="45" t="s">
        <v>328</v>
      </c>
      <c r="G31" s="19" t="s">
        <v>111</v>
      </c>
      <c r="H31" s="40" t="s">
        <v>109</v>
      </c>
      <c r="I31" s="40" t="str">
        <f t="array" ref="I31">IF(G31="","",IFERROR(INDEX('Người sử dụng'!$H$5:$H$140,MATCH(G31,'Người sử dụng'!$C$5:$C$140,0)),"Chưa có trong DS"))</f>
        <v>Đang làm</v>
      </c>
      <c r="J31" s="19" t="s">
        <v>89</v>
      </c>
      <c r="K31" s="24"/>
      <c r="L31" s="23"/>
      <c r="M31" s="24"/>
      <c r="N31" s="19" t="s">
        <v>288</v>
      </c>
      <c r="O31" s="19" t="s">
        <v>143</v>
      </c>
      <c r="P31" s="26"/>
      <c r="Q31" s="42" t="s">
        <v>215</v>
      </c>
      <c r="R31" s="50" t="s">
        <v>150</v>
      </c>
      <c r="S31" s="51"/>
      <c r="T31" s="46"/>
      <c r="U31" s="46"/>
      <c r="V31" s="46"/>
      <c r="W31" s="46"/>
      <c r="X31" s="46"/>
      <c r="Y31" s="46"/>
      <c r="Z31" s="46"/>
      <c r="AA31" s="46"/>
      <c r="AB31" s="46"/>
      <c r="AC31" s="46"/>
      <c r="AD31" s="46"/>
      <c r="AE31" s="46"/>
    </row>
    <row r="32" ht="15.75" customHeight="1">
      <c r="A32" s="40">
        <f t="shared" si="3"/>
        <v>27</v>
      </c>
      <c r="B32" s="40" t="str">
        <f t="shared" si="4"/>
        <v>ADS-027</v>
      </c>
      <c r="C32" s="19" t="s">
        <v>316</v>
      </c>
      <c r="D32" s="23"/>
      <c r="E32" s="42" t="s">
        <v>327</v>
      </c>
      <c r="F32" s="45" t="s">
        <v>331</v>
      </c>
      <c r="G32" s="19" t="s">
        <v>111</v>
      </c>
      <c r="H32" s="40" t="s">
        <v>109</v>
      </c>
      <c r="I32" s="40" t="str">
        <f t="array" ref="I32">IF(G32="","",IFERROR(INDEX('Người sử dụng'!$H$5:$H$140,MATCH(G32,'Người sử dụng'!$C$5:$C$140,0)),"Chưa có trong DS"))</f>
        <v>Đang làm</v>
      </c>
      <c r="J32" s="19" t="s">
        <v>89</v>
      </c>
      <c r="K32" s="24"/>
      <c r="L32" s="23"/>
      <c r="M32" s="24"/>
      <c r="N32" s="19" t="s">
        <v>288</v>
      </c>
      <c r="O32" s="19" t="s">
        <v>143</v>
      </c>
      <c r="P32" s="26"/>
      <c r="Q32" s="42" t="s">
        <v>215</v>
      </c>
      <c r="R32" s="50" t="s">
        <v>150</v>
      </c>
      <c r="S32" s="51"/>
      <c r="T32" s="46"/>
      <c r="U32" s="46"/>
      <c r="V32" s="46"/>
      <c r="W32" s="46"/>
      <c r="X32" s="46"/>
      <c r="Y32" s="46"/>
      <c r="Z32" s="46"/>
      <c r="AA32" s="46"/>
      <c r="AB32" s="46"/>
      <c r="AC32" s="46"/>
      <c r="AD32" s="46"/>
      <c r="AE32" s="46"/>
    </row>
    <row r="33" ht="15.75" customHeight="1">
      <c r="A33" s="40">
        <f t="shared" si="3"/>
        <v>28</v>
      </c>
      <c r="B33" s="40" t="str">
        <f t="shared" si="4"/>
        <v>ADS-028</v>
      </c>
      <c r="C33" s="19" t="s">
        <v>334</v>
      </c>
      <c r="D33" s="41" t="s">
        <v>335</v>
      </c>
      <c r="E33" s="42" t="s">
        <v>335</v>
      </c>
      <c r="F33" s="58"/>
      <c r="G33" s="19" t="s">
        <v>111</v>
      </c>
      <c r="H33" s="40" t="s">
        <v>109</v>
      </c>
      <c r="I33" s="40" t="str">
        <f t="array" ref="I33">IF(G33="","",IFERROR(INDEX('Người sử dụng'!$H$5:$H$140,MATCH(G33,'Người sử dụng'!$C$5:$C$140,0)),"Chưa có trong DS"))</f>
        <v>Đang làm</v>
      </c>
      <c r="J33" s="19" t="s">
        <v>89</v>
      </c>
      <c r="K33" s="24"/>
      <c r="L33" s="23"/>
      <c r="M33" s="24"/>
      <c r="N33" s="19" t="s">
        <v>288</v>
      </c>
      <c r="O33" s="19" t="s">
        <v>143</v>
      </c>
      <c r="P33" s="26"/>
      <c r="Q33" s="42"/>
      <c r="R33" s="50" t="s">
        <v>150</v>
      </c>
      <c r="S33" s="51"/>
      <c r="T33" s="46"/>
      <c r="U33" s="46"/>
      <c r="V33" s="46"/>
      <c r="W33" s="46"/>
      <c r="X33" s="46"/>
      <c r="Y33" s="46"/>
      <c r="Z33" s="46"/>
      <c r="AA33" s="46"/>
      <c r="AB33" s="46"/>
      <c r="AC33" s="46"/>
      <c r="AD33" s="46"/>
      <c r="AE33" s="46"/>
    </row>
    <row r="34" ht="15.75" customHeight="1">
      <c r="A34" s="40">
        <f t="shared" si="3"/>
        <v>29</v>
      </c>
      <c r="B34" s="40" t="str">
        <f t="shared" si="4"/>
        <v>ADS-029</v>
      </c>
      <c r="C34" s="19" t="s">
        <v>104</v>
      </c>
      <c r="D34" s="41" t="s">
        <v>336</v>
      </c>
      <c r="E34" s="42" t="s">
        <v>337</v>
      </c>
      <c r="F34" s="58"/>
      <c r="G34" s="19" t="s">
        <v>111</v>
      </c>
      <c r="H34" s="40" t="s">
        <v>109</v>
      </c>
      <c r="I34" s="40" t="str">
        <f t="array" ref="I34">IF(G34="","",IFERROR(INDEX('Người sử dụng'!$H$5:$H$140,MATCH(G34,'Người sử dụng'!$C$5:$C$140,0)),"Chưa có trong DS"))</f>
        <v>Đang làm</v>
      </c>
      <c r="J34" s="19" t="s">
        <v>89</v>
      </c>
      <c r="K34" s="24"/>
      <c r="L34" s="23"/>
      <c r="M34" s="24"/>
      <c r="N34" s="19" t="s">
        <v>288</v>
      </c>
      <c r="O34" s="19" t="s">
        <v>143</v>
      </c>
      <c r="P34" s="26"/>
      <c r="Q34" s="42" t="s">
        <v>215</v>
      </c>
      <c r="R34" s="50" t="s">
        <v>150</v>
      </c>
      <c r="S34" s="51"/>
      <c r="T34" s="46"/>
      <c r="U34" s="46"/>
      <c r="V34" s="46"/>
      <c r="W34" s="46"/>
      <c r="X34" s="46"/>
      <c r="Y34" s="46"/>
      <c r="Z34" s="46"/>
      <c r="AA34" s="46"/>
      <c r="AB34" s="46"/>
      <c r="AC34" s="46"/>
      <c r="AD34" s="46"/>
      <c r="AE34" s="46"/>
    </row>
    <row r="35" ht="15.75" customHeight="1">
      <c r="A35" s="40">
        <f t="shared" si="3"/>
        <v>30</v>
      </c>
      <c r="B35" s="40" t="str">
        <f t="shared" si="4"/>
        <v>ADS-030</v>
      </c>
      <c r="C35" s="19" t="s">
        <v>104</v>
      </c>
      <c r="D35" s="41" t="s">
        <v>338</v>
      </c>
      <c r="E35" s="42" t="s">
        <v>337</v>
      </c>
      <c r="F35" s="58"/>
      <c r="G35" s="19" t="s">
        <v>111</v>
      </c>
      <c r="H35" s="40" t="s">
        <v>109</v>
      </c>
      <c r="I35" s="40" t="str">
        <f t="array" ref="I35">IF(G35="","",IFERROR(INDEX('Người sử dụng'!$H$5:$H$140,MATCH(G35,'Người sử dụng'!$C$5:$C$140,0)),"Chưa có trong DS"))</f>
        <v>Đang làm</v>
      </c>
      <c r="J35" s="19" t="s">
        <v>89</v>
      </c>
      <c r="K35" s="24"/>
      <c r="L35" s="23"/>
      <c r="M35" s="24"/>
      <c r="N35" s="19" t="s">
        <v>288</v>
      </c>
      <c r="O35" s="19" t="s">
        <v>143</v>
      </c>
      <c r="P35" s="26"/>
      <c r="Q35" s="42" t="s">
        <v>215</v>
      </c>
      <c r="R35" s="50" t="s">
        <v>150</v>
      </c>
      <c r="S35" s="51"/>
      <c r="T35" s="46"/>
      <c r="U35" s="46"/>
      <c r="V35" s="46"/>
      <c r="W35" s="46"/>
      <c r="X35" s="46"/>
      <c r="Y35" s="46"/>
      <c r="Z35" s="46"/>
      <c r="AA35" s="46"/>
      <c r="AB35" s="46"/>
      <c r="AC35" s="46"/>
      <c r="AD35" s="46"/>
      <c r="AE35" s="46"/>
    </row>
    <row r="36" ht="15.75" customHeight="1">
      <c r="A36" s="40">
        <f t="shared" si="3"/>
        <v>31</v>
      </c>
      <c r="B36" s="40" t="str">
        <f t="shared" si="4"/>
        <v>ADS-031</v>
      </c>
      <c r="C36" s="19" t="s">
        <v>104</v>
      </c>
      <c r="D36" s="41" t="s">
        <v>339</v>
      </c>
      <c r="E36" s="42" t="s">
        <v>337</v>
      </c>
      <c r="F36" s="58"/>
      <c r="G36" s="19" t="s">
        <v>111</v>
      </c>
      <c r="H36" s="40" t="s">
        <v>109</v>
      </c>
      <c r="I36" s="40" t="str">
        <f t="array" ref="I36">IF(G36="","",IFERROR(INDEX('Người sử dụng'!$H$5:$H$140,MATCH(G36,'Người sử dụng'!$C$5:$C$140,0)),"Chưa có trong DS"))</f>
        <v>Đang làm</v>
      </c>
      <c r="J36" s="19" t="s">
        <v>89</v>
      </c>
      <c r="K36" s="24"/>
      <c r="L36" s="23"/>
      <c r="M36" s="24"/>
      <c r="N36" s="19" t="s">
        <v>288</v>
      </c>
      <c r="O36" s="19" t="s">
        <v>143</v>
      </c>
      <c r="P36" s="26"/>
      <c r="Q36" s="42" t="s">
        <v>215</v>
      </c>
      <c r="R36" s="50" t="s">
        <v>150</v>
      </c>
      <c r="S36" s="51"/>
      <c r="T36" s="46"/>
      <c r="U36" s="46"/>
      <c r="V36" s="46"/>
      <c r="W36" s="46"/>
      <c r="X36" s="46"/>
      <c r="Y36" s="46"/>
      <c r="Z36" s="46"/>
      <c r="AA36" s="46"/>
      <c r="AB36" s="46"/>
      <c r="AC36" s="46"/>
      <c r="AD36" s="46"/>
      <c r="AE36" s="46"/>
    </row>
    <row r="37" ht="15.75" customHeight="1">
      <c r="A37" s="40">
        <f t="shared" si="3"/>
        <v>32</v>
      </c>
      <c r="B37" s="40" t="str">
        <f t="shared" si="4"/>
        <v>ADS-032</v>
      </c>
      <c r="C37" s="19" t="s">
        <v>104</v>
      </c>
      <c r="D37" s="41" t="s">
        <v>340</v>
      </c>
      <c r="E37" s="42" t="s">
        <v>337</v>
      </c>
      <c r="F37" s="58"/>
      <c r="G37" s="19" t="s">
        <v>111</v>
      </c>
      <c r="H37" s="40" t="s">
        <v>109</v>
      </c>
      <c r="I37" s="40" t="str">
        <f t="array" ref="I37">IF(G37="","",IFERROR(INDEX('Người sử dụng'!$H$5:$H$140,MATCH(G37,'Người sử dụng'!$C$5:$C$140,0)),"Chưa có trong DS"))</f>
        <v>Đang làm</v>
      </c>
      <c r="J37" s="19" t="s">
        <v>89</v>
      </c>
      <c r="K37" s="24"/>
      <c r="L37" s="23"/>
      <c r="M37" s="24"/>
      <c r="N37" s="19" t="s">
        <v>288</v>
      </c>
      <c r="O37" s="19" t="s">
        <v>143</v>
      </c>
      <c r="P37" s="26"/>
      <c r="Q37" s="42" t="s">
        <v>215</v>
      </c>
      <c r="R37" s="50" t="s">
        <v>150</v>
      </c>
      <c r="S37" s="51"/>
      <c r="T37" s="46"/>
      <c r="U37" s="46"/>
      <c r="V37" s="46"/>
      <c r="W37" s="46"/>
      <c r="X37" s="46"/>
      <c r="Y37" s="46"/>
      <c r="Z37" s="46"/>
      <c r="AA37" s="46"/>
      <c r="AB37" s="46"/>
      <c r="AC37" s="46"/>
      <c r="AD37" s="46"/>
      <c r="AE37" s="46"/>
    </row>
    <row r="38" ht="15.75" customHeight="1">
      <c r="A38" s="40">
        <f t="shared" si="3"/>
        <v>33</v>
      </c>
      <c r="B38" s="40" t="str">
        <f t="shared" si="4"/>
        <v>ADS-033</v>
      </c>
      <c r="C38" s="19" t="s">
        <v>104</v>
      </c>
      <c r="D38" s="41" t="s">
        <v>341</v>
      </c>
      <c r="E38" s="42" t="s">
        <v>337</v>
      </c>
      <c r="F38" s="58"/>
      <c r="G38" s="19" t="s">
        <v>111</v>
      </c>
      <c r="H38" s="40" t="s">
        <v>109</v>
      </c>
      <c r="I38" s="40" t="str">
        <f t="array" ref="I38">IF(G38="","",IFERROR(INDEX('Người sử dụng'!$H$5:$H$140,MATCH(G38,'Người sử dụng'!$C$5:$C$140,0)),"Chưa có trong DS"))</f>
        <v>Đang làm</v>
      </c>
      <c r="J38" s="19" t="s">
        <v>89</v>
      </c>
      <c r="K38" s="24"/>
      <c r="L38" s="23"/>
      <c r="M38" s="24"/>
      <c r="N38" s="19" t="s">
        <v>288</v>
      </c>
      <c r="O38" s="19" t="s">
        <v>143</v>
      </c>
      <c r="P38" s="26"/>
      <c r="Q38" s="42" t="s">
        <v>215</v>
      </c>
      <c r="R38" s="50" t="s">
        <v>150</v>
      </c>
      <c r="S38" s="51"/>
      <c r="T38" s="46"/>
      <c r="U38" s="46"/>
      <c r="V38" s="46"/>
      <c r="W38" s="46"/>
      <c r="X38" s="46"/>
      <c r="Y38" s="46"/>
      <c r="Z38" s="46"/>
      <c r="AA38" s="46"/>
      <c r="AB38" s="46"/>
      <c r="AC38" s="46"/>
      <c r="AD38" s="46"/>
      <c r="AE38" s="46"/>
    </row>
    <row r="39" ht="15.75" customHeight="1">
      <c r="A39" s="40">
        <f t="shared" si="3"/>
        <v>34</v>
      </c>
      <c r="B39" s="40" t="str">
        <f t="shared" si="4"/>
        <v>ADS-034</v>
      </c>
      <c r="C39" s="19" t="s">
        <v>104</v>
      </c>
      <c r="D39" s="41" t="s">
        <v>342</v>
      </c>
      <c r="E39" s="42" t="s">
        <v>337</v>
      </c>
      <c r="F39" s="58"/>
      <c r="G39" s="19" t="s">
        <v>111</v>
      </c>
      <c r="H39" s="40" t="s">
        <v>109</v>
      </c>
      <c r="I39" s="40" t="str">
        <f t="array" ref="I39">IF(G39="","",IFERROR(INDEX('Người sử dụng'!$H$5:$H$140,MATCH(G39,'Người sử dụng'!$C$5:$C$140,0)),"Chưa có trong DS"))</f>
        <v>Đang làm</v>
      </c>
      <c r="J39" s="19" t="s">
        <v>89</v>
      </c>
      <c r="K39" s="24"/>
      <c r="L39" s="23"/>
      <c r="M39" s="24"/>
      <c r="N39" s="19" t="s">
        <v>288</v>
      </c>
      <c r="O39" s="19" t="s">
        <v>143</v>
      </c>
      <c r="P39" s="26"/>
      <c r="Q39" s="42" t="s">
        <v>215</v>
      </c>
      <c r="R39" s="50" t="s">
        <v>150</v>
      </c>
      <c r="S39" s="51"/>
      <c r="T39" s="46"/>
      <c r="U39" s="46"/>
      <c r="V39" s="46"/>
      <c r="W39" s="46"/>
      <c r="X39" s="46"/>
      <c r="Y39" s="46"/>
      <c r="Z39" s="46"/>
      <c r="AA39" s="46"/>
      <c r="AB39" s="46"/>
      <c r="AC39" s="46"/>
      <c r="AD39" s="46"/>
      <c r="AE39" s="46"/>
    </row>
    <row r="40" ht="15.75" customHeight="1">
      <c r="A40" s="40">
        <f t="shared" si="3"/>
        <v>35</v>
      </c>
      <c r="B40" s="40" t="str">
        <f t="shared" si="4"/>
        <v>ADS-035</v>
      </c>
      <c r="C40" s="19" t="s">
        <v>104</v>
      </c>
      <c r="D40" s="41" t="s">
        <v>343</v>
      </c>
      <c r="E40" s="42" t="s">
        <v>337</v>
      </c>
      <c r="F40" s="58"/>
      <c r="G40" s="19" t="s">
        <v>111</v>
      </c>
      <c r="H40" s="40" t="s">
        <v>109</v>
      </c>
      <c r="I40" s="40" t="str">
        <f t="array" ref="I40">IF(G40="","",IFERROR(INDEX('Người sử dụng'!$H$5:$H$140,MATCH(G40,'Người sử dụng'!$C$5:$C$140,0)),"Chưa có trong DS"))</f>
        <v>Đang làm</v>
      </c>
      <c r="J40" s="19" t="s">
        <v>89</v>
      </c>
      <c r="K40" s="24"/>
      <c r="L40" s="23"/>
      <c r="M40" s="24"/>
      <c r="N40" s="19" t="s">
        <v>288</v>
      </c>
      <c r="O40" s="19" t="s">
        <v>143</v>
      </c>
      <c r="P40" s="26"/>
      <c r="Q40" s="42" t="s">
        <v>215</v>
      </c>
      <c r="R40" s="50" t="s">
        <v>150</v>
      </c>
      <c r="S40" s="51"/>
      <c r="T40" s="46"/>
      <c r="U40" s="46"/>
      <c r="V40" s="46"/>
      <c r="W40" s="46"/>
      <c r="X40" s="46"/>
      <c r="Y40" s="46"/>
      <c r="Z40" s="46"/>
      <c r="AA40" s="46"/>
      <c r="AB40" s="46"/>
      <c r="AC40" s="46"/>
      <c r="AD40" s="46"/>
      <c r="AE40" s="46"/>
    </row>
    <row r="41" ht="15.75" customHeight="1">
      <c r="A41" s="40">
        <f t="shared" si="3"/>
        <v>36</v>
      </c>
      <c r="B41" s="40" t="str">
        <f t="shared" si="4"/>
        <v>ADS-036</v>
      </c>
      <c r="C41" s="19" t="s">
        <v>104</v>
      </c>
      <c r="D41" s="41" t="s">
        <v>344</v>
      </c>
      <c r="E41" s="42" t="s">
        <v>337</v>
      </c>
      <c r="F41" s="58"/>
      <c r="G41" s="19" t="s">
        <v>111</v>
      </c>
      <c r="H41" s="40" t="s">
        <v>109</v>
      </c>
      <c r="I41" s="40" t="str">
        <f t="array" ref="I41">IF(G41="","",IFERROR(INDEX('Người sử dụng'!$H$5:$H$140,MATCH(G41,'Người sử dụng'!$C$5:$C$140,0)),"Chưa có trong DS"))</f>
        <v>Đang làm</v>
      </c>
      <c r="J41" s="19" t="s">
        <v>89</v>
      </c>
      <c r="K41" s="24"/>
      <c r="L41" s="23"/>
      <c r="M41" s="24"/>
      <c r="N41" s="19" t="s">
        <v>288</v>
      </c>
      <c r="O41" s="19" t="s">
        <v>143</v>
      </c>
      <c r="P41" s="26"/>
      <c r="Q41" s="42" t="s">
        <v>215</v>
      </c>
      <c r="R41" s="50" t="s">
        <v>150</v>
      </c>
      <c r="S41" s="51"/>
      <c r="T41" s="46"/>
      <c r="U41" s="46"/>
      <c r="V41" s="46"/>
      <c r="W41" s="46"/>
      <c r="X41" s="46"/>
      <c r="Y41" s="46"/>
      <c r="Z41" s="46"/>
      <c r="AA41" s="46"/>
      <c r="AB41" s="46"/>
      <c r="AC41" s="46"/>
      <c r="AD41" s="46"/>
      <c r="AE41" s="46"/>
    </row>
    <row r="42" ht="15.75" customHeight="1">
      <c r="A42" s="40">
        <f t="shared" si="3"/>
        <v>37</v>
      </c>
      <c r="B42" s="40" t="str">
        <f t="shared" si="4"/>
        <v>ADS-037</v>
      </c>
      <c r="C42" s="19" t="s">
        <v>104</v>
      </c>
      <c r="D42" s="41" t="s">
        <v>345</v>
      </c>
      <c r="E42" s="42" t="s">
        <v>337</v>
      </c>
      <c r="F42" s="58"/>
      <c r="G42" s="19" t="s">
        <v>111</v>
      </c>
      <c r="H42" s="40" t="s">
        <v>109</v>
      </c>
      <c r="I42" s="40" t="str">
        <f t="array" ref="I42">IF(G42="","",IFERROR(INDEX('Người sử dụng'!$H$5:$H$140,MATCH(G42,'Người sử dụng'!$C$5:$C$140,0)),"Chưa có trong DS"))</f>
        <v>Đang làm</v>
      </c>
      <c r="J42" s="19" t="s">
        <v>89</v>
      </c>
      <c r="K42" s="24"/>
      <c r="L42" s="23"/>
      <c r="M42" s="24"/>
      <c r="N42" s="19" t="s">
        <v>288</v>
      </c>
      <c r="O42" s="19" t="s">
        <v>143</v>
      </c>
      <c r="P42" s="26"/>
      <c r="Q42" s="42" t="s">
        <v>215</v>
      </c>
      <c r="R42" s="50" t="s">
        <v>150</v>
      </c>
      <c r="S42" s="51"/>
      <c r="T42" s="46"/>
      <c r="U42" s="46"/>
      <c r="V42" s="46"/>
      <c r="W42" s="46"/>
      <c r="X42" s="46"/>
      <c r="Y42" s="46"/>
      <c r="Z42" s="46"/>
      <c r="AA42" s="46"/>
      <c r="AB42" s="46"/>
      <c r="AC42" s="46"/>
      <c r="AD42" s="46"/>
      <c r="AE42" s="46"/>
    </row>
    <row r="43" ht="15.75" customHeight="1">
      <c r="A43" s="40">
        <f t="shared" si="3"/>
        <v>38</v>
      </c>
      <c r="B43" s="40" t="str">
        <f t="shared" si="4"/>
        <v>ADS-038</v>
      </c>
      <c r="C43" s="19" t="s">
        <v>104</v>
      </c>
      <c r="D43" s="41" t="s">
        <v>346</v>
      </c>
      <c r="E43" s="42" t="s">
        <v>337</v>
      </c>
      <c r="F43" s="58"/>
      <c r="G43" s="19" t="s">
        <v>111</v>
      </c>
      <c r="H43" s="40" t="s">
        <v>109</v>
      </c>
      <c r="I43" s="40" t="str">
        <f t="array" ref="I43">IF(G43="","",IFERROR(INDEX('Người sử dụng'!$H$5:$H$140,MATCH(G43,'Người sử dụng'!$C$5:$C$140,0)),"Chưa có trong DS"))</f>
        <v>Đang làm</v>
      </c>
      <c r="J43" s="19" t="s">
        <v>89</v>
      </c>
      <c r="K43" s="24"/>
      <c r="L43" s="23"/>
      <c r="M43" s="24"/>
      <c r="N43" s="19" t="s">
        <v>288</v>
      </c>
      <c r="O43" s="19" t="s">
        <v>143</v>
      </c>
      <c r="P43" s="26"/>
      <c r="Q43" s="42" t="s">
        <v>215</v>
      </c>
      <c r="R43" s="50" t="s">
        <v>150</v>
      </c>
      <c r="S43" s="51"/>
      <c r="T43" s="46"/>
      <c r="U43" s="46"/>
      <c r="V43" s="46"/>
      <c r="W43" s="46"/>
      <c r="X43" s="46"/>
      <c r="Y43" s="46"/>
      <c r="Z43" s="46"/>
      <c r="AA43" s="46"/>
      <c r="AB43" s="46"/>
      <c r="AC43" s="46"/>
      <c r="AD43" s="46"/>
      <c r="AE43" s="46"/>
    </row>
    <row r="44" ht="15.75" customHeight="1">
      <c r="A44" s="40">
        <f t="shared" si="3"/>
        <v>39</v>
      </c>
      <c r="B44" s="40" t="str">
        <f t="shared" si="4"/>
        <v>ADS-039</v>
      </c>
      <c r="C44" s="19" t="s">
        <v>347</v>
      </c>
      <c r="D44" s="41" t="s">
        <v>348</v>
      </c>
      <c r="E44" s="42" t="s">
        <v>349</v>
      </c>
      <c r="F44" s="58"/>
      <c r="G44" s="19" t="s">
        <v>111</v>
      </c>
      <c r="H44" s="40" t="s">
        <v>109</v>
      </c>
      <c r="I44" s="40" t="str">
        <f t="array" ref="I44">IF(G44="","",IFERROR(INDEX('Người sử dụng'!$H$5:$H$140,MATCH(G44,'Người sử dụng'!$C$5:$C$140,0)),"Chưa có trong DS"))</f>
        <v>Đang làm</v>
      </c>
      <c r="J44" s="19" t="s">
        <v>89</v>
      </c>
      <c r="K44" s="19" t="s">
        <v>350</v>
      </c>
      <c r="L44" s="23"/>
      <c r="M44" s="24"/>
      <c r="N44" s="19" t="s">
        <v>288</v>
      </c>
      <c r="O44" s="19" t="s">
        <v>143</v>
      </c>
      <c r="P44" s="26"/>
      <c r="Q44" s="42" t="s">
        <v>232</v>
      </c>
      <c r="R44" s="50" t="s">
        <v>150</v>
      </c>
      <c r="S44" s="51"/>
      <c r="T44" s="46"/>
      <c r="U44" s="46"/>
      <c r="V44" s="46"/>
      <c r="W44" s="46"/>
      <c r="X44" s="46"/>
      <c r="Y44" s="46"/>
      <c r="Z44" s="46"/>
      <c r="AA44" s="46"/>
      <c r="AB44" s="46"/>
      <c r="AC44" s="46"/>
      <c r="AD44" s="46"/>
      <c r="AE44" s="46"/>
    </row>
    <row r="45" ht="15.75" customHeight="1">
      <c r="A45" s="40">
        <f t="shared" si="3"/>
        <v>40</v>
      </c>
      <c r="B45" s="40" t="str">
        <f t="shared" si="4"/>
        <v>ADS-040</v>
      </c>
      <c r="C45" s="19" t="s">
        <v>347</v>
      </c>
      <c r="D45" s="41" t="s">
        <v>351</v>
      </c>
      <c r="E45" s="42" t="s">
        <v>352</v>
      </c>
      <c r="F45" s="58"/>
      <c r="G45" s="19" t="s">
        <v>111</v>
      </c>
      <c r="H45" s="40" t="s">
        <v>109</v>
      </c>
      <c r="I45" s="40" t="str">
        <f t="array" ref="I45">IF(G45="","",IFERROR(INDEX('Người sử dụng'!$H$5:$H$140,MATCH(G45,'Người sử dụng'!$C$5:$C$140,0)),"Chưa có trong DS"))</f>
        <v>Đang làm</v>
      </c>
      <c r="J45" s="19" t="s">
        <v>89</v>
      </c>
      <c r="K45" s="19" t="s">
        <v>353</v>
      </c>
      <c r="L45" s="23"/>
      <c r="M45" s="24"/>
      <c r="N45" s="19" t="s">
        <v>288</v>
      </c>
      <c r="O45" s="19" t="s">
        <v>143</v>
      </c>
      <c r="P45" s="26"/>
      <c r="Q45" s="42" t="s">
        <v>232</v>
      </c>
      <c r="R45" s="50" t="s">
        <v>150</v>
      </c>
      <c r="S45" s="51"/>
      <c r="T45" s="46"/>
      <c r="U45" s="46"/>
      <c r="V45" s="46"/>
      <c r="W45" s="46"/>
      <c r="X45" s="46"/>
      <c r="Y45" s="46"/>
      <c r="Z45" s="46"/>
      <c r="AA45" s="46"/>
      <c r="AB45" s="46"/>
      <c r="AC45" s="46"/>
      <c r="AD45" s="46"/>
      <c r="AE45" s="46"/>
    </row>
    <row r="46" ht="15.75" customHeight="1">
      <c r="A46" s="40">
        <f t="shared" si="3"/>
        <v>41</v>
      </c>
      <c r="B46" s="40" t="str">
        <f t="shared" si="4"/>
        <v>ADS-041</v>
      </c>
      <c r="C46" s="19" t="s">
        <v>347</v>
      </c>
      <c r="D46" s="41" t="s">
        <v>354</v>
      </c>
      <c r="E46" s="42" t="s">
        <v>355</v>
      </c>
      <c r="F46" s="58"/>
      <c r="G46" s="19" t="s">
        <v>111</v>
      </c>
      <c r="H46" s="40" t="s">
        <v>109</v>
      </c>
      <c r="I46" s="40" t="str">
        <f t="array" ref="I46">IF(G46="","",IFERROR(INDEX('Người sử dụng'!$H$5:$H$140,MATCH(G46,'Người sử dụng'!$C$5:$C$140,0)),"Chưa có trong DS"))</f>
        <v>Đang làm</v>
      </c>
      <c r="J46" s="19" t="s">
        <v>89</v>
      </c>
      <c r="K46" s="19" t="s">
        <v>356</v>
      </c>
      <c r="L46" s="23"/>
      <c r="M46" s="24"/>
      <c r="N46" s="19" t="s">
        <v>288</v>
      </c>
      <c r="O46" s="19" t="s">
        <v>143</v>
      </c>
      <c r="P46" s="26"/>
      <c r="Q46" s="42" t="s">
        <v>232</v>
      </c>
      <c r="R46" s="50" t="s">
        <v>150</v>
      </c>
      <c r="S46" s="51"/>
      <c r="T46" s="46"/>
      <c r="U46" s="46"/>
      <c r="V46" s="46"/>
      <c r="W46" s="46"/>
      <c r="X46" s="46"/>
      <c r="Y46" s="46"/>
      <c r="Z46" s="46"/>
      <c r="AA46" s="46"/>
      <c r="AB46" s="46"/>
      <c r="AC46" s="46"/>
      <c r="AD46" s="46"/>
      <c r="AE46" s="46"/>
    </row>
    <row r="47" ht="15.75" customHeight="1">
      <c r="A47" s="40">
        <f t="shared" si="3"/>
        <v>42</v>
      </c>
      <c r="B47" s="40" t="str">
        <f t="shared" si="4"/>
        <v>ADS-042</v>
      </c>
      <c r="C47" s="19" t="s">
        <v>347</v>
      </c>
      <c r="D47" s="41" t="s">
        <v>357</v>
      </c>
      <c r="E47" s="42" t="s">
        <v>358</v>
      </c>
      <c r="F47" s="58"/>
      <c r="G47" s="19" t="s">
        <v>111</v>
      </c>
      <c r="H47" s="40" t="s">
        <v>109</v>
      </c>
      <c r="I47" s="40" t="str">
        <f t="array" ref="I47">IF(G47="","",IFERROR(INDEX('Người sử dụng'!$H$5:$H$140,MATCH(G47,'Người sử dụng'!$C$5:$C$140,0)),"Chưa có trong DS"))</f>
        <v>Đang làm</v>
      </c>
      <c r="J47" s="19" t="s">
        <v>89</v>
      </c>
      <c r="K47" s="19" t="s">
        <v>356</v>
      </c>
      <c r="L47" s="23"/>
      <c r="M47" s="24"/>
      <c r="N47" s="19" t="s">
        <v>288</v>
      </c>
      <c r="O47" s="19" t="s">
        <v>143</v>
      </c>
      <c r="P47" s="26"/>
      <c r="Q47" s="42" t="s">
        <v>215</v>
      </c>
      <c r="R47" s="50" t="s">
        <v>150</v>
      </c>
      <c r="S47" s="51"/>
      <c r="T47" s="46"/>
      <c r="U47" s="46"/>
      <c r="V47" s="46"/>
      <c r="W47" s="46"/>
      <c r="X47" s="46"/>
      <c r="Y47" s="46"/>
      <c r="Z47" s="46"/>
      <c r="AA47" s="46"/>
      <c r="AB47" s="46"/>
      <c r="AC47" s="46"/>
      <c r="AD47" s="46"/>
      <c r="AE47" s="46"/>
    </row>
    <row r="48" ht="15.75" customHeight="1">
      <c r="A48" s="40">
        <f t="shared" si="3"/>
        <v>43</v>
      </c>
      <c r="B48" s="40" t="str">
        <f t="shared" si="4"/>
        <v>ADS-043</v>
      </c>
      <c r="C48" s="19" t="s">
        <v>347</v>
      </c>
      <c r="D48" s="41" t="s">
        <v>359</v>
      </c>
      <c r="E48" s="42" t="s">
        <v>360</v>
      </c>
      <c r="F48" s="58"/>
      <c r="G48" s="19" t="s">
        <v>111</v>
      </c>
      <c r="H48" s="40" t="s">
        <v>109</v>
      </c>
      <c r="I48" s="40" t="str">
        <f t="array" ref="I48">IF(G48="","",IFERROR(INDEX('Người sử dụng'!$H$5:$H$140,MATCH(G48,'Người sử dụng'!$C$5:$C$140,0)),"Chưa có trong DS"))</f>
        <v>Đang làm</v>
      </c>
      <c r="J48" s="19" t="s">
        <v>89</v>
      </c>
      <c r="K48" s="19" t="s">
        <v>356</v>
      </c>
      <c r="L48" s="23"/>
      <c r="M48" s="24"/>
      <c r="N48" s="19" t="s">
        <v>288</v>
      </c>
      <c r="O48" s="19" t="s">
        <v>143</v>
      </c>
      <c r="P48" s="26"/>
      <c r="Q48" s="42" t="s">
        <v>232</v>
      </c>
      <c r="R48" s="50" t="s">
        <v>150</v>
      </c>
      <c r="S48" s="51"/>
      <c r="T48" s="46"/>
      <c r="U48" s="46"/>
      <c r="V48" s="46"/>
      <c r="W48" s="46"/>
      <c r="X48" s="46"/>
      <c r="Y48" s="46"/>
      <c r="Z48" s="46"/>
      <c r="AA48" s="46"/>
      <c r="AB48" s="46"/>
      <c r="AC48" s="46"/>
      <c r="AD48" s="46"/>
      <c r="AE48" s="46"/>
    </row>
    <row r="49" ht="15.75" customHeight="1">
      <c r="A49" s="40">
        <f t="shared" si="3"/>
        <v>44</v>
      </c>
      <c r="B49" s="40" t="str">
        <f t="shared" si="4"/>
        <v>ADS-044</v>
      </c>
      <c r="C49" s="19" t="s">
        <v>347</v>
      </c>
      <c r="D49" s="41" t="s">
        <v>361</v>
      </c>
      <c r="E49" s="42" t="s">
        <v>362</v>
      </c>
      <c r="F49" s="58"/>
      <c r="G49" s="19" t="s">
        <v>111</v>
      </c>
      <c r="H49" s="40" t="s">
        <v>109</v>
      </c>
      <c r="I49" s="40" t="str">
        <f t="array" ref="I49">IF(G49="","",IFERROR(INDEX('Người sử dụng'!$H$5:$H$140,MATCH(G49,'Người sử dụng'!$C$5:$C$140,0)),"Chưa có trong DS"))</f>
        <v>Đang làm</v>
      </c>
      <c r="J49" s="19" t="s">
        <v>89</v>
      </c>
      <c r="K49" s="19" t="s">
        <v>363</v>
      </c>
      <c r="L49" s="23"/>
      <c r="M49" s="24"/>
      <c r="N49" s="19" t="s">
        <v>288</v>
      </c>
      <c r="O49" s="19" t="s">
        <v>143</v>
      </c>
      <c r="P49" s="26"/>
      <c r="Q49" s="42" t="s">
        <v>232</v>
      </c>
      <c r="R49" s="50" t="s">
        <v>150</v>
      </c>
      <c r="S49" s="51"/>
      <c r="T49" s="46"/>
      <c r="U49" s="46"/>
      <c r="V49" s="46"/>
      <c r="W49" s="46"/>
      <c r="X49" s="46"/>
      <c r="Y49" s="46"/>
      <c r="Z49" s="46"/>
      <c r="AA49" s="46"/>
      <c r="AB49" s="46"/>
      <c r="AC49" s="46"/>
      <c r="AD49" s="46"/>
      <c r="AE49" s="46"/>
    </row>
    <row r="50" ht="15.75" customHeight="1">
      <c r="A50" s="40">
        <f t="shared" si="3"/>
        <v>45</v>
      </c>
      <c r="B50" s="40" t="str">
        <f t="shared" si="4"/>
        <v>ADS-045</v>
      </c>
      <c r="C50" s="19" t="s">
        <v>347</v>
      </c>
      <c r="D50" s="41" t="s">
        <v>364</v>
      </c>
      <c r="E50" s="42" t="s">
        <v>365</v>
      </c>
      <c r="F50" s="58"/>
      <c r="G50" s="19" t="s">
        <v>111</v>
      </c>
      <c r="H50" s="40" t="s">
        <v>109</v>
      </c>
      <c r="I50" s="40" t="str">
        <f t="array" ref="I50">IF(G50="","",IFERROR(INDEX('Người sử dụng'!$H$5:$H$140,MATCH(G50,'Người sử dụng'!$C$5:$C$140,0)),"Chưa có trong DS"))</f>
        <v>Đang làm</v>
      </c>
      <c r="J50" s="19" t="s">
        <v>89</v>
      </c>
      <c r="K50" s="19" t="s">
        <v>366</v>
      </c>
      <c r="L50" s="23"/>
      <c r="M50" s="24"/>
      <c r="N50" s="19" t="s">
        <v>288</v>
      </c>
      <c r="O50" s="19" t="s">
        <v>143</v>
      </c>
      <c r="P50" s="26"/>
      <c r="Q50" s="42" t="s">
        <v>215</v>
      </c>
      <c r="R50" s="50" t="s">
        <v>150</v>
      </c>
      <c r="S50" s="51"/>
      <c r="T50" s="46"/>
      <c r="U50" s="46"/>
      <c r="V50" s="46"/>
      <c r="W50" s="46"/>
      <c r="X50" s="46"/>
      <c r="Y50" s="46"/>
      <c r="Z50" s="46"/>
      <c r="AA50" s="46"/>
      <c r="AB50" s="46"/>
      <c r="AC50" s="46"/>
      <c r="AD50" s="46"/>
      <c r="AE50" s="46"/>
    </row>
    <row r="51" ht="15.75" customHeight="1">
      <c r="A51" s="40">
        <f t="shared" si="3"/>
        <v>46</v>
      </c>
      <c r="B51" s="40" t="str">
        <f t="shared" si="4"/>
        <v>ADS-046</v>
      </c>
      <c r="C51" s="19" t="s">
        <v>101</v>
      </c>
      <c r="D51" s="41" t="s">
        <v>367</v>
      </c>
      <c r="E51" s="42" t="s">
        <v>101</v>
      </c>
      <c r="F51" s="58"/>
      <c r="G51" s="19" t="s">
        <v>132</v>
      </c>
      <c r="H51" s="40" t="s">
        <v>131</v>
      </c>
      <c r="I51" s="40" t="str">
        <f t="array" ref="I51">IF(G51="","",IFERROR(INDEX('Người sử dụng'!$H$5:$H$140,MATCH(G51,'Người sử dụng'!$C$5:$C$140,0)),"Chưa có trong DS"))</f>
        <v>Đang làm</v>
      </c>
      <c r="J51" s="19" t="s">
        <v>89</v>
      </c>
      <c r="K51" s="24"/>
      <c r="L51" s="23"/>
      <c r="M51" s="24"/>
      <c r="N51" s="19" t="s">
        <v>368</v>
      </c>
      <c r="O51" s="19" t="s">
        <v>143</v>
      </c>
      <c r="P51" s="26"/>
      <c r="Q51" s="42" t="s">
        <v>215</v>
      </c>
      <c r="R51" s="50"/>
      <c r="S51" s="51"/>
      <c r="T51" s="46"/>
      <c r="U51" s="46"/>
      <c r="V51" s="46"/>
      <c r="W51" s="46"/>
      <c r="X51" s="46"/>
      <c r="Y51" s="46"/>
      <c r="Z51" s="46"/>
      <c r="AA51" s="46"/>
      <c r="AB51" s="46"/>
      <c r="AC51" s="46"/>
      <c r="AD51" s="46"/>
      <c r="AE51" s="46"/>
    </row>
    <row r="52" ht="15.75" customHeight="1">
      <c r="A52" s="40">
        <f t="shared" si="3"/>
        <v>47</v>
      </c>
      <c r="B52" s="40" t="str">
        <f t="shared" si="4"/>
        <v>ADS-047</v>
      </c>
      <c r="C52" s="19" t="s">
        <v>101</v>
      </c>
      <c r="D52" s="41" t="s">
        <v>369</v>
      </c>
      <c r="E52" s="42" t="s">
        <v>101</v>
      </c>
      <c r="F52" s="58"/>
      <c r="G52" s="19" t="s">
        <v>132</v>
      </c>
      <c r="H52" s="40" t="s">
        <v>131</v>
      </c>
      <c r="I52" s="40" t="str">
        <f t="array" ref="I52">IF(G52="","",IFERROR(INDEX('Người sử dụng'!$H$5:$H$140,MATCH(G52,'Người sử dụng'!$C$5:$C$140,0)),"Chưa có trong DS"))</f>
        <v>Đang làm</v>
      </c>
      <c r="J52" s="19" t="s">
        <v>89</v>
      </c>
      <c r="K52" s="24"/>
      <c r="L52" s="23"/>
      <c r="M52" s="24"/>
      <c r="N52" s="19" t="s">
        <v>368</v>
      </c>
      <c r="O52" s="19" t="s">
        <v>143</v>
      </c>
      <c r="P52" s="26"/>
      <c r="Q52" s="42" t="s">
        <v>215</v>
      </c>
      <c r="R52" s="50"/>
      <c r="S52" s="51"/>
      <c r="T52" s="46"/>
      <c r="U52" s="46"/>
      <c r="V52" s="46"/>
      <c r="W52" s="46"/>
      <c r="X52" s="46"/>
      <c r="Y52" s="46"/>
      <c r="Z52" s="46"/>
      <c r="AA52" s="46"/>
      <c r="AB52" s="46"/>
      <c r="AC52" s="46"/>
      <c r="AD52" s="46"/>
      <c r="AE52" s="46"/>
    </row>
    <row r="53" ht="15.75" customHeight="1">
      <c r="A53" s="40">
        <f t="shared" si="3"/>
        <v>48</v>
      </c>
      <c r="B53" s="40" t="str">
        <f t="shared" si="4"/>
        <v>ADS-048</v>
      </c>
      <c r="C53" s="19" t="s">
        <v>101</v>
      </c>
      <c r="D53" s="41" t="s">
        <v>370</v>
      </c>
      <c r="E53" s="42" t="s">
        <v>101</v>
      </c>
      <c r="F53" s="58"/>
      <c r="G53" s="19" t="s">
        <v>132</v>
      </c>
      <c r="H53" s="40" t="s">
        <v>131</v>
      </c>
      <c r="I53" s="40" t="str">
        <f t="array" ref="I53">IF(G53="","",IFERROR(INDEX('Người sử dụng'!$H$5:$H$140,MATCH(G53,'Người sử dụng'!$C$5:$C$140,0)),"Chưa có trong DS"))</f>
        <v>Đang làm</v>
      </c>
      <c r="J53" s="19" t="s">
        <v>89</v>
      </c>
      <c r="K53" s="24"/>
      <c r="L53" s="23"/>
      <c r="M53" s="24"/>
      <c r="N53" s="19" t="s">
        <v>368</v>
      </c>
      <c r="O53" s="19" t="s">
        <v>143</v>
      </c>
      <c r="P53" s="26"/>
      <c r="Q53" s="42" t="s">
        <v>215</v>
      </c>
      <c r="R53" s="50"/>
      <c r="S53" s="51"/>
      <c r="T53" s="46"/>
      <c r="U53" s="46"/>
      <c r="V53" s="46"/>
      <c r="W53" s="46"/>
      <c r="X53" s="46"/>
      <c r="Y53" s="46"/>
      <c r="Z53" s="46"/>
      <c r="AA53" s="46"/>
      <c r="AB53" s="46"/>
      <c r="AC53" s="46"/>
      <c r="AD53" s="46"/>
      <c r="AE53" s="46"/>
    </row>
    <row r="54" ht="15.75" customHeight="1">
      <c r="A54" s="40">
        <f t="shared" si="3"/>
        <v>49</v>
      </c>
      <c r="B54" s="40" t="str">
        <f t="shared" si="4"/>
        <v>ADS-049</v>
      </c>
      <c r="C54" s="19" t="s">
        <v>101</v>
      </c>
      <c r="D54" s="41" t="s">
        <v>371</v>
      </c>
      <c r="E54" s="42" t="s">
        <v>101</v>
      </c>
      <c r="F54" s="58"/>
      <c r="G54" s="19" t="s">
        <v>132</v>
      </c>
      <c r="H54" s="40" t="s">
        <v>131</v>
      </c>
      <c r="I54" s="40" t="str">
        <f t="array" ref="I54">IF(G54="","",IFERROR(INDEX('Người sử dụng'!$H$5:$H$140,MATCH(G54,'Người sử dụng'!$C$5:$C$140,0)),"Chưa có trong DS"))</f>
        <v>Đang làm</v>
      </c>
      <c r="J54" s="19" t="s">
        <v>89</v>
      </c>
      <c r="K54" s="24"/>
      <c r="L54" s="23"/>
      <c r="M54" s="24"/>
      <c r="N54" s="19" t="s">
        <v>368</v>
      </c>
      <c r="O54" s="19" t="s">
        <v>143</v>
      </c>
      <c r="P54" s="26"/>
      <c r="Q54" s="42" t="s">
        <v>215</v>
      </c>
      <c r="R54" s="50"/>
      <c r="S54" s="51"/>
      <c r="T54" s="46"/>
      <c r="U54" s="46"/>
      <c r="V54" s="46"/>
      <c r="W54" s="46"/>
      <c r="X54" s="46"/>
      <c r="Y54" s="46"/>
      <c r="Z54" s="46"/>
      <c r="AA54" s="46"/>
      <c r="AB54" s="46"/>
      <c r="AC54" s="46"/>
      <c r="AD54" s="46"/>
      <c r="AE54" s="46"/>
    </row>
    <row r="55" ht="15.75" customHeight="1">
      <c r="A55" s="40">
        <f t="shared" si="3"/>
        <v>50</v>
      </c>
      <c r="B55" s="40" t="str">
        <f t="shared" si="4"/>
        <v>ADS-050</v>
      </c>
      <c r="C55" s="19" t="s">
        <v>101</v>
      </c>
      <c r="D55" s="41" t="s">
        <v>372</v>
      </c>
      <c r="E55" s="42" t="s">
        <v>101</v>
      </c>
      <c r="F55" s="58"/>
      <c r="G55" s="19" t="s">
        <v>132</v>
      </c>
      <c r="H55" s="40" t="s">
        <v>131</v>
      </c>
      <c r="I55" s="40" t="str">
        <f t="array" ref="I55">IF(G55="","",IFERROR(INDEX('Người sử dụng'!$H$5:$H$140,MATCH(G55,'Người sử dụng'!$C$5:$C$140,0)),"Chưa có trong DS"))</f>
        <v>Đang làm</v>
      </c>
      <c r="J55" s="19" t="s">
        <v>89</v>
      </c>
      <c r="K55" s="24"/>
      <c r="L55" s="23"/>
      <c r="M55" s="24"/>
      <c r="N55" s="19" t="s">
        <v>368</v>
      </c>
      <c r="O55" s="19" t="s">
        <v>143</v>
      </c>
      <c r="P55" s="26"/>
      <c r="Q55" s="42" t="s">
        <v>215</v>
      </c>
      <c r="R55" s="50"/>
      <c r="S55" s="51"/>
      <c r="T55" s="46"/>
      <c r="U55" s="46"/>
      <c r="V55" s="46"/>
      <c r="W55" s="46"/>
      <c r="X55" s="46"/>
      <c r="Y55" s="46"/>
      <c r="Z55" s="46"/>
      <c r="AA55" s="46"/>
      <c r="AB55" s="46"/>
      <c r="AC55" s="46"/>
      <c r="AD55" s="46"/>
      <c r="AE55" s="46"/>
    </row>
    <row r="56" ht="15.75" customHeight="1">
      <c r="A56" s="40">
        <f t="shared" si="3"/>
        <v>51</v>
      </c>
      <c r="B56" s="40" t="str">
        <f t="shared" si="4"/>
        <v>ADS-051</v>
      </c>
      <c r="C56" s="19" t="s">
        <v>101</v>
      </c>
      <c r="D56" s="41" t="s">
        <v>373</v>
      </c>
      <c r="E56" s="42" t="s">
        <v>101</v>
      </c>
      <c r="F56" s="58"/>
      <c r="G56" s="19" t="s">
        <v>135</v>
      </c>
      <c r="H56" s="40" t="s">
        <v>134</v>
      </c>
      <c r="I56" s="40" t="str">
        <f t="array" ref="I56">IF(G56="","",IFERROR(INDEX('Người sử dụng'!$H$5:$H$140,MATCH(G56,'Người sử dụng'!$C$5:$C$140,0)),"Chưa có trong DS"))</f>
        <v>Đang làm</v>
      </c>
      <c r="J56" s="19" t="s">
        <v>89</v>
      </c>
      <c r="K56" s="24"/>
      <c r="L56" s="23"/>
      <c r="M56" s="24"/>
      <c r="N56" s="19" t="s">
        <v>368</v>
      </c>
      <c r="O56" s="19" t="s">
        <v>143</v>
      </c>
      <c r="P56" s="26"/>
      <c r="Q56" s="42" t="s">
        <v>215</v>
      </c>
      <c r="R56" s="50"/>
      <c r="S56" s="51"/>
      <c r="T56" s="46"/>
      <c r="U56" s="46"/>
      <c r="V56" s="46"/>
      <c r="W56" s="46"/>
      <c r="X56" s="46"/>
      <c r="Y56" s="46"/>
      <c r="Z56" s="46"/>
      <c r="AA56" s="46"/>
      <c r="AB56" s="46"/>
      <c r="AC56" s="46"/>
      <c r="AD56" s="46"/>
      <c r="AE56" s="46"/>
    </row>
    <row r="57" ht="15.75" customHeight="1">
      <c r="A57" s="40">
        <f t="shared" si="3"/>
        <v>52</v>
      </c>
      <c r="B57" s="40" t="str">
        <f t="shared" si="4"/>
        <v>ADS-052</v>
      </c>
      <c r="C57" s="19" t="s">
        <v>101</v>
      </c>
      <c r="D57" s="41" t="s">
        <v>374</v>
      </c>
      <c r="E57" s="42" t="s">
        <v>101</v>
      </c>
      <c r="F57" s="58"/>
      <c r="G57" s="19" t="s">
        <v>135</v>
      </c>
      <c r="H57" s="40" t="s">
        <v>134</v>
      </c>
      <c r="I57" s="40" t="str">
        <f t="array" ref="I57">IF(G57="","",IFERROR(INDEX('Người sử dụng'!$H$5:$H$140,MATCH(G57,'Người sử dụng'!$C$5:$C$140,0)),"Chưa có trong DS"))</f>
        <v>Đang làm</v>
      </c>
      <c r="J57" s="19" t="s">
        <v>89</v>
      </c>
      <c r="K57" s="24"/>
      <c r="L57" s="23"/>
      <c r="M57" s="24"/>
      <c r="N57" s="19" t="s">
        <v>368</v>
      </c>
      <c r="O57" s="19" t="s">
        <v>143</v>
      </c>
      <c r="P57" s="26"/>
      <c r="Q57" s="42" t="s">
        <v>215</v>
      </c>
      <c r="R57" s="50"/>
      <c r="S57" s="51"/>
      <c r="T57" s="46"/>
      <c r="U57" s="46"/>
      <c r="V57" s="46"/>
      <c r="W57" s="46"/>
      <c r="X57" s="46"/>
      <c r="Y57" s="46"/>
      <c r="Z57" s="46"/>
      <c r="AA57" s="46"/>
      <c r="AB57" s="46"/>
      <c r="AC57" s="46"/>
      <c r="AD57" s="46"/>
      <c r="AE57" s="46"/>
    </row>
    <row r="58" ht="15.75" customHeight="1">
      <c r="A58" s="40">
        <f t="shared" si="3"/>
        <v>53</v>
      </c>
      <c r="B58" s="40" t="str">
        <f t="shared" si="4"/>
        <v>ADS-053</v>
      </c>
      <c r="C58" s="19" t="s">
        <v>101</v>
      </c>
      <c r="D58" s="41" t="s">
        <v>375</v>
      </c>
      <c r="E58" s="42" t="s">
        <v>101</v>
      </c>
      <c r="F58" s="58"/>
      <c r="G58" s="19" t="s">
        <v>132</v>
      </c>
      <c r="H58" s="40" t="s">
        <v>131</v>
      </c>
      <c r="I58" s="40" t="str">
        <f t="array" ref="I58">IF(G58="","",IFERROR(INDEX('Người sử dụng'!$H$5:$H$140,MATCH(G58,'Người sử dụng'!$C$5:$C$140,0)),"Chưa có trong DS"))</f>
        <v>Đang làm</v>
      </c>
      <c r="J58" s="19" t="s">
        <v>89</v>
      </c>
      <c r="K58" s="24"/>
      <c r="L58" s="23"/>
      <c r="M58" s="24"/>
      <c r="N58" s="19" t="s">
        <v>368</v>
      </c>
      <c r="O58" s="19" t="s">
        <v>143</v>
      </c>
      <c r="P58" s="26"/>
      <c r="Q58" s="42" t="s">
        <v>215</v>
      </c>
      <c r="R58" s="50"/>
      <c r="S58" s="51"/>
      <c r="T58" s="46"/>
      <c r="U58" s="46"/>
      <c r="V58" s="46"/>
      <c r="W58" s="46"/>
      <c r="X58" s="46"/>
      <c r="Y58" s="46"/>
      <c r="Z58" s="46"/>
      <c r="AA58" s="46"/>
      <c r="AB58" s="46"/>
      <c r="AC58" s="46"/>
      <c r="AD58" s="46"/>
      <c r="AE58" s="46"/>
    </row>
    <row r="59" ht="15.75" customHeight="1">
      <c r="A59" s="40">
        <f t="shared" si="3"/>
        <v>54</v>
      </c>
      <c r="B59" s="40" t="str">
        <f t="shared" si="4"/>
        <v>ADS-054</v>
      </c>
      <c r="C59" s="19" t="s">
        <v>101</v>
      </c>
      <c r="D59" s="41" t="s">
        <v>376</v>
      </c>
      <c r="E59" s="42" t="s">
        <v>101</v>
      </c>
      <c r="F59" s="58"/>
      <c r="G59" s="19" t="s">
        <v>132</v>
      </c>
      <c r="H59" s="40" t="s">
        <v>131</v>
      </c>
      <c r="I59" s="40" t="str">
        <f t="array" ref="I59">IF(G59="","",IFERROR(INDEX('Người sử dụng'!$H$5:$H$140,MATCH(G59,'Người sử dụng'!$C$5:$C$140,0)),"Chưa có trong DS"))</f>
        <v>Đang làm</v>
      </c>
      <c r="J59" s="19" t="s">
        <v>89</v>
      </c>
      <c r="K59" s="24"/>
      <c r="L59" s="23"/>
      <c r="M59" s="24"/>
      <c r="N59" s="19" t="s">
        <v>368</v>
      </c>
      <c r="O59" s="19" t="s">
        <v>143</v>
      </c>
      <c r="P59" s="26"/>
      <c r="Q59" s="42" t="s">
        <v>215</v>
      </c>
      <c r="R59" s="50"/>
      <c r="S59" s="51"/>
      <c r="T59" s="46"/>
      <c r="U59" s="46"/>
      <c r="V59" s="46"/>
      <c r="W59" s="46"/>
      <c r="X59" s="46"/>
      <c r="Y59" s="46"/>
      <c r="Z59" s="46"/>
      <c r="AA59" s="46"/>
      <c r="AB59" s="46"/>
      <c r="AC59" s="46"/>
      <c r="AD59" s="46"/>
      <c r="AE59" s="46"/>
    </row>
    <row r="60" ht="15.75" customHeight="1">
      <c r="A60" s="40">
        <f t="shared" si="3"/>
        <v>55</v>
      </c>
      <c r="B60" s="40" t="str">
        <f t="shared" si="4"/>
        <v>ADS-055</v>
      </c>
      <c r="C60" s="19" t="s">
        <v>101</v>
      </c>
      <c r="D60" s="41" t="s">
        <v>377</v>
      </c>
      <c r="E60" s="42" t="s">
        <v>101</v>
      </c>
      <c r="F60" s="58"/>
      <c r="G60" s="19" t="s">
        <v>132</v>
      </c>
      <c r="H60" s="40" t="s">
        <v>131</v>
      </c>
      <c r="I60" s="40" t="str">
        <f t="array" ref="I60">IF(G60="","",IFERROR(INDEX('Người sử dụng'!$H$5:$H$140,MATCH(G60,'Người sử dụng'!$C$5:$C$140,0)),"Chưa có trong DS"))</f>
        <v>Đang làm</v>
      </c>
      <c r="J60" s="19" t="s">
        <v>89</v>
      </c>
      <c r="K60" s="24"/>
      <c r="L60" s="23"/>
      <c r="M60" s="24"/>
      <c r="N60" s="19" t="s">
        <v>368</v>
      </c>
      <c r="O60" s="19" t="s">
        <v>143</v>
      </c>
      <c r="P60" s="26"/>
      <c r="Q60" s="42" t="s">
        <v>215</v>
      </c>
      <c r="R60" s="50"/>
      <c r="S60" s="51"/>
      <c r="T60" s="46"/>
      <c r="U60" s="46"/>
      <c r="V60" s="46"/>
      <c r="W60" s="46"/>
      <c r="X60" s="46"/>
      <c r="Y60" s="46"/>
      <c r="Z60" s="46"/>
      <c r="AA60" s="46"/>
      <c r="AB60" s="46"/>
      <c r="AC60" s="46"/>
      <c r="AD60" s="46"/>
      <c r="AE60" s="46"/>
    </row>
    <row r="61" ht="15.75" customHeight="1">
      <c r="A61" s="40">
        <f t="shared" si="3"/>
        <v>56</v>
      </c>
      <c r="B61" s="40" t="str">
        <f t="shared" si="4"/>
        <v>ADS-056</v>
      </c>
      <c r="C61" s="19" t="s">
        <v>101</v>
      </c>
      <c r="D61" s="41" t="s">
        <v>378</v>
      </c>
      <c r="E61" s="42" t="s">
        <v>101</v>
      </c>
      <c r="F61" s="58"/>
      <c r="G61" s="19" t="s">
        <v>138</v>
      </c>
      <c r="H61" s="40" t="s">
        <v>137</v>
      </c>
      <c r="I61" s="40" t="str">
        <f t="array" ref="I61">IF(G61="","",IFERROR(INDEX('Người sử dụng'!$H$5:$H$140,MATCH(G61,'Người sử dụng'!$C$5:$C$140,0)),"Chưa có trong DS"))</f>
        <v>Đang làm</v>
      </c>
      <c r="J61" s="19" t="s">
        <v>89</v>
      </c>
      <c r="K61" s="24"/>
      <c r="L61" s="23"/>
      <c r="M61" s="24"/>
      <c r="N61" s="19" t="s">
        <v>368</v>
      </c>
      <c r="O61" s="19" t="s">
        <v>143</v>
      </c>
      <c r="P61" s="26"/>
      <c r="Q61" s="42" t="s">
        <v>215</v>
      </c>
      <c r="R61" s="50"/>
      <c r="S61" s="51"/>
      <c r="T61" s="46"/>
      <c r="U61" s="46"/>
      <c r="V61" s="46"/>
      <c r="W61" s="46"/>
      <c r="X61" s="46"/>
      <c r="Y61" s="46"/>
      <c r="Z61" s="46"/>
      <c r="AA61" s="46"/>
      <c r="AB61" s="46"/>
      <c r="AC61" s="46"/>
      <c r="AD61" s="46"/>
      <c r="AE61" s="46"/>
    </row>
    <row r="62" ht="15.75" customHeight="1">
      <c r="A62" s="40">
        <f t="shared" si="3"/>
        <v>57</v>
      </c>
      <c r="B62" s="40" t="str">
        <f t="shared" si="4"/>
        <v>ADS-057</v>
      </c>
      <c r="C62" s="19" t="s">
        <v>101</v>
      </c>
      <c r="D62" s="41" t="s">
        <v>379</v>
      </c>
      <c r="E62" s="42" t="s">
        <v>101</v>
      </c>
      <c r="F62" s="58"/>
      <c r="G62" s="19" t="s">
        <v>154</v>
      </c>
      <c r="H62" s="40" t="s">
        <v>153</v>
      </c>
      <c r="I62" s="40" t="str">
        <f t="array" ref="I62">IF(G62="","",IFERROR(INDEX('Người sử dụng'!$H$5:$H$140,MATCH(G62,'Người sử dụng'!$C$5:$C$140,0)),"Chưa có trong DS"))</f>
        <v>Đang làm</v>
      </c>
      <c r="J62" s="19" t="s">
        <v>89</v>
      </c>
      <c r="K62" s="24"/>
      <c r="L62" s="23"/>
      <c r="M62" s="24"/>
      <c r="N62" s="19" t="s">
        <v>368</v>
      </c>
      <c r="O62" s="19" t="s">
        <v>143</v>
      </c>
      <c r="P62" s="26"/>
      <c r="Q62" s="42" t="s">
        <v>215</v>
      </c>
      <c r="R62" s="50"/>
      <c r="S62" s="51"/>
      <c r="T62" s="46"/>
      <c r="U62" s="46"/>
      <c r="V62" s="46"/>
      <c r="W62" s="46"/>
      <c r="X62" s="46"/>
      <c r="Y62" s="46"/>
      <c r="Z62" s="46"/>
      <c r="AA62" s="46"/>
      <c r="AB62" s="46"/>
      <c r="AC62" s="46"/>
      <c r="AD62" s="46"/>
      <c r="AE62" s="46"/>
    </row>
    <row r="63" ht="15.75" customHeight="1">
      <c r="A63" s="40">
        <f t="shared" si="3"/>
        <v>58</v>
      </c>
      <c r="B63" s="40" t="str">
        <f t="shared" si="4"/>
        <v>ADS-058</v>
      </c>
      <c r="C63" s="19" t="s">
        <v>101</v>
      </c>
      <c r="D63" s="41" t="s">
        <v>380</v>
      </c>
      <c r="E63" s="42" t="s">
        <v>101</v>
      </c>
      <c r="F63" s="58"/>
      <c r="G63" s="19" t="s">
        <v>138</v>
      </c>
      <c r="H63" s="40" t="s">
        <v>137</v>
      </c>
      <c r="I63" s="40" t="str">
        <f t="array" ref="I63">IF(G63="","",IFERROR(INDEX('Người sử dụng'!$H$5:$H$140,MATCH(G63,'Người sử dụng'!$C$5:$C$140,0)),"Chưa có trong DS"))</f>
        <v>Đang làm</v>
      </c>
      <c r="J63" s="19" t="s">
        <v>89</v>
      </c>
      <c r="K63" s="24"/>
      <c r="L63" s="23"/>
      <c r="M63" s="24"/>
      <c r="N63" s="19" t="s">
        <v>368</v>
      </c>
      <c r="O63" s="19" t="s">
        <v>143</v>
      </c>
      <c r="P63" s="26"/>
      <c r="Q63" s="42" t="s">
        <v>215</v>
      </c>
      <c r="R63" s="50"/>
      <c r="S63" s="51"/>
      <c r="T63" s="46"/>
      <c r="U63" s="46"/>
      <c r="V63" s="46"/>
      <c r="W63" s="46"/>
      <c r="X63" s="46"/>
      <c r="Y63" s="46"/>
      <c r="Z63" s="46"/>
      <c r="AA63" s="46"/>
      <c r="AB63" s="46"/>
      <c r="AC63" s="46"/>
      <c r="AD63" s="46"/>
      <c r="AE63" s="46"/>
    </row>
    <row r="64" ht="15.75" customHeight="1">
      <c r="A64" s="40">
        <f t="shared" si="3"/>
        <v>59</v>
      </c>
      <c r="B64" s="40" t="str">
        <f t="shared" si="4"/>
        <v>ADS-059</v>
      </c>
      <c r="C64" s="19" t="s">
        <v>101</v>
      </c>
      <c r="D64" s="41" t="s">
        <v>381</v>
      </c>
      <c r="E64" s="42" t="s">
        <v>101</v>
      </c>
      <c r="F64" s="58"/>
      <c r="G64" s="19" t="s">
        <v>138</v>
      </c>
      <c r="H64" s="40" t="s">
        <v>137</v>
      </c>
      <c r="I64" s="40" t="str">
        <f t="array" ref="I64">IF(G64="","",IFERROR(INDEX('Người sử dụng'!$H$5:$H$140,MATCH(G64,'Người sử dụng'!$C$5:$C$140,0)),"Chưa có trong DS"))</f>
        <v>Đang làm</v>
      </c>
      <c r="J64" s="19" t="s">
        <v>89</v>
      </c>
      <c r="K64" s="24"/>
      <c r="L64" s="23"/>
      <c r="M64" s="24"/>
      <c r="N64" s="19" t="s">
        <v>368</v>
      </c>
      <c r="O64" s="19" t="s">
        <v>143</v>
      </c>
      <c r="P64" s="26"/>
      <c r="Q64" s="42" t="s">
        <v>215</v>
      </c>
      <c r="R64" s="50"/>
      <c r="S64" s="51"/>
      <c r="T64" s="46"/>
      <c r="U64" s="46"/>
      <c r="V64" s="46"/>
      <c r="W64" s="46"/>
      <c r="X64" s="46"/>
      <c r="Y64" s="46"/>
      <c r="Z64" s="46"/>
      <c r="AA64" s="46"/>
      <c r="AB64" s="46"/>
      <c r="AC64" s="46"/>
      <c r="AD64" s="46"/>
      <c r="AE64" s="46"/>
    </row>
    <row r="65" ht="15.75" customHeight="1">
      <c r="A65" s="40">
        <f t="shared" si="3"/>
        <v>60</v>
      </c>
      <c r="B65" s="40" t="str">
        <f t="shared" si="4"/>
        <v>ADS-060</v>
      </c>
      <c r="C65" s="19" t="s">
        <v>101</v>
      </c>
      <c r="D65" s="41" t="s">
        <v>382</v>
      </c>
      <c r="E65" s="42" t="s">
        <v>101</v>
      </c>
      <c r="F65" s="58"/>
      <c r="G65" s="19" t="s">
        <v>132</v>
      </c>
      <c r="H65" s="40" t="s">
        <v>131</v>
      </c>
      <c r="I65" s="40" t="str">
        <f t="array" ref="I65">IF(G65="","",IFERROR(INDEX('Người sử dụng'!$H$5:$H$140,MATCH(G65,'Người sử dụng'!$C$5:$C$140,0)),"Chưa có trong DS"))</f>
        <v>Đang làm</v>
      </c>
      <c r="J65" s="19" t="s">
        <v>89</v>
      </c>
      <c r="K65" s="24"/>
      <c r="L65" s="23"/>
      <c r="M65" s="24"/>
      <c r="N65" s="19" t="s">
        <v>368</v>
      </c>
      <c r="O65" s="19" t="s">
        <v>143</v>
      </c>
      <c r="P65" s="26"/>
      <c r="Q65" s="42" t="s">
        <v>215</v>
      </c>
      <c r="R65" s="50"/>
      <c r="S65" s="51"/>
      <c r="T65" s="46"/>
      <c r="U65" s="46"/>
      <c r="V65" s="46"/>
      <c r="W65" s="46"/>
      <c r="X65" s="46"/>
      <c r="Y65" s="46"/>
      <c r="Z65" s="46"/>
      <c r="AA65" s="46"/>
      <c r="AB65" s="46"/>
      <c r="AC65" s="46"/>
      <c r="AD65" s="46"/>
      <c r="AE65" s="46"/>
    </row>
    <row r="66" ht="15.75" customHeight="1">
      <c r="A66" s="40">
        <f t="shared" si="3"/>
        <v>61</v>
      </c>
      <c r="B66" s="40" t="str">
        <f t="shared" si="4"/>
        <v>ADS-061</v>
      </c>
      <c r="C66" s="19" t="s">
        <v>101</v>
      </c>
      <c r="D66" s="41" t="s">
        <v>383</v>
      </c>
      <c r="E66" s="42" t="s">
        <v>101</v>
      </c>
      <c r="F66" s="58"/>
      <c r="G66" s="19" t="s">
        <v>132</v>
      </c>
      <c r="H66" s="40" t="s">
        <v>131</v>
      </c>
      <c r="I66" s="40" t="str">
        <f t="array" ref="I66">IF(G66="","",IFERROR(INDEX('Người sử dụng'!$H$5:$H$140,MATCH(G66,'Người sử dụng'!$C$5:$C$140,0)),"Chưa có trong DS"))</f>
        <v>Đang làm</v>
      </c>
      <c r="J66" s="19" t="s">
        <v>89</v>
      </c>
      <c r="K66" s="24"/>
      <c r="L66" s="23"/>
      <c r="M66" s="24"/>
      <c r="N66" s="19" t="s">
        <v>368</v>
      </c>
      <c r="O66" s="19" t="s">
        <v>143</v>
      </c>
      <c r="P66" s="26"/>
      <c r="Q66" s="42" t="s">
        <v>215</v>
      </c>
      <c r="R66" s="50"/>
      <c r="S66" s="51"/>
      <c r="T66" s="46"/>
      <c r="U66" s="46"/>
      <c r="V66" s="46"/>
      <c r="W66" s="46"/>
      <c r="X66" s="46"/>
      <c r="Y66" s="46"/>
      <c r="Z66" s="46"/>
      <c r="AA66" s="46"/>
      <c r="AB66" s="46"/>
      <c r="AC66" s="46"/>
      <c r="AD66" s="46"/>
      <c r="AE66" s="46"/>
    </row>
    <row r="67" ht="15.75" customHeight="1">
      <c r="A67" s="40">
        <f t="shared" si="3"/>
        <v>62</v>
      </c>
      <c r="B67" s="40" t="str">
        <f t="shared" si="4"/>
        <v>ADS-062</v>
      </c>
      <c r="C67" s="19" t="s">
        <v>101</v>
      </c>
      <c r="D67" s="41" t="s">
        <v>384</v>
      </c>
      <c r="E67" s="42" t="s">
        <v>101</v>
      </c>
      <c r="F67" s="58"/>
      <c r="G67" s="19" t="s">
        <v>132</v>
      </c>
      <c r="H67" s="40" t="s">
        <v>131</v>
      </c>
      <c r="I67" s="40" t="str">
        <f t="array" ref="I67">IF(G67="","",IFERROR(INDEX('Người sử dụng'!$H$5:$H$140,MATCH(G67,'Người sử dụng'!$C$5:$C$140,0)),"Chưa có trong DS"))</f>
        <v>Đang làm</v>
      </c>
      <c r="J67" s="19" t="s">
        <v>89</v>
      </c>
      <c r="K67" s="24"/>
      <c r="L67" s="23"/>
      <c r="M67" s="24"/>
      <c r="N67" s="19" t="s">
        <v>368</v>
      </c>
      <c r="O67" s="19" t="s">
        <v>143</v>
      </c>
      <c r="P67" s="26"/>
      <c r="Q67" s="42" t="s">
        <v>215</v>
      </c>
      <c r="R67" s="50"/>
      <c r="S67" s="51"/>
      <c r="T67" s="46"/>
      <c r="U67" s="46"/>
      <c r="V67" s="46"/>
      <c r="W67" s="46"/>
      <c r="X67" s="46"/>
      <c r="Y67" s="46"/>
      <c r="Z67" s="46"/>
      <c r="AA67" s="46"/>
      <c r="AB67" s="46"/>
      <c r="AC67" s="46"/>
      <c r="AD67" s="46"/>
      <c r="AE67" s="46"/>
    </row>
    <row r="68" ht="15.75" customHeight="1">
      <c r="A68" s="40">
        <f t="shared" si="3"/>
        <v>63</v>
      </c>
      <c r="B68" s="40" t="str">
        <f t="shared" si="4"/>
        <v>ADS-063</v>
      </c>
      <c r="C68" s="19" t="s">
        <v>101</v>
      </c>
      <c r="D68" s="41" t="s">
        <v>385</v>
      </c>
      <c r="E68" s="42" t="s">
        <v>101</v>
      </c>
      <c r="F68" s="58"/>
      <c r="G68" s="19" t="s">
        <v>132</v>
      </c>
      <c r="H68" s="40" t="s">
        <v>131</v>
      </c>
      <c r="I68" s="40" t="str">
        <f t="array" ref="I68">IF(G68="","",IFERROR(INDEX('Người sử dụng'!$H$5:$H$140,MATCH(G68,'Người sử dụng'!$C$5:$C$140,0)),"Chưa có trong DS"))</f>
        <v>Đang làm</v>
      </c>
      <c r="J68" s="19" t="s">
        <v>89</v>
      </c>
      <c r="K68" s="24"/>
      <c r="L68" s="23"/>
      <c r="M68" s="24"/>
      <c r="N68" s="19" t="s">
        <v>368</v>
      </c>
      <c r="O68" s="19" t="s">
        <v>143</v>
      </c>
      <c r="P68" s="26"/>
      <c r="Q68" s="42" t="s">
        <v>215</v>
      </c>
      <c r="R68" s="50"/>
      <c r="S68" s="51"/>
      <c r="T68" s="46"/>
      <c r="U68" s="46"/>
      <c r="V68" s="46"/>
      <c r="W68" s="46"/>
      <c r="X68" s="46"/>
      <c r="Y68" s="46"/>
      <c r="Z68" s="46"/>
      <c r="AA68" s="46"/>
      <c r="AB68" s="46"/>
      <c r="AC68" s="46"/>
      <c r="AD68" s="46"/>
      <c r="AE68" s="46"/>
    </row>
    <row r="69" ht="15.75" customHeight="1">
      <c r="A69" s="40">
        <f t="shared" si="3"/>
        <v>64</v>
      </c>
      <c r="B69" s="40" t="str">
        <f t="shared" si="4"/>
        <v>ADS-064</v>
      </c>
      <c r="C69" s="19" t="s">
        <v>101</v>
      </c>
      <c r="D69" s="41" t="s">
        <v>386</v>
      </c>
      <c r="E69" s="42" t="s">
        <v>101</v>
      </c>
      <c r="F69" s="58"/>
      <c r="G69" s="19" t="s">
        <v>132</v>
      </c>
      <c r="H69" s="40" t="s">
        <v>131</v>
      </c>
      <c r="I69" s="40" t="str">
        <f t="array" ref="I69">IF(G69="","",IFERROR(INDEX('Người sử dụng'!$H$5:$H$140,MATCH(G69,'Người sử dụng'!$C$5:$C$140,0)),"Chưa có trong DS"))</f>
        <v>Đang làm</v>
      </c>
      <c r="J69" s="19" t="s">
        <v>89</v>
      </c>
      <c r="K69" s="24"/>
      <c r="L69" s="23"/>
      <c r="M69" s="24"/>
      <c r="N69" s="19" t="s">
        <v>368</v>
      </c>
      <c r="O69" s="19" t="s">
        <v>143</v>
      </c>
      <c r="P69" s="26"/>
      <c r="Q69" s="42" t="s">
        <v>215</v>
      </c>
      <c r="R69" s="50"/>
      <c r="S69" s="51"/>
      <c r="T69" s="46"/>
      <c r="U69" s="46"/>
      <c r="V69" s="46"/>
      <c r="W69" s="46"/>
      <c r="X69" s="46"/>
      <c r="Y69" s="46"/>
      <c r="Z69" s="46"/>
      <c r="AA69" s="46"/>
      <c r="AB69" s="46"/>
      <c r="AC69" s="46"/>
      <c r="AD69" s="46"/>
      <c r="AE69" s="46"/>
    </row>
    <row r="70" ht="15.75" customHeight="1">
      <c r="A70" s="40">
        <f t="shared" si="3"/>
        <v>65</v>
      </c>
      <c r="B70" s="40" t="str">
        <f t="shared" si="4"/>
        <v>ADS-065</v>
      </c>
      <c r="C70" s="19" t="s">
        <v>101</v>
      </c>
      <c r="D70" s="41" t="s">
        <v>387</v>
      </c>
      <c r="E70" s="42" t="s">
        <v>101</v>
      </c>
      <c r="F70" s="58"/>
      <c r="G70" s="19" t="s">
        <v>132</v>
      </c>
      <c r="H70" s="40" t="s">
        <v>131</v>
      </c>
      <c r="I70" s="40" t="str">
        <f t="array" ref="I70">IF(G70="","",IFERROR(INDEX('Người sử dụng'!$H$5:$H$140,MATCH(G70,'Người sử dụng'!$C$5:$C$140,0)),"Chưa có trong DS"))</f>
        <v>Đang làm</v>
      </c>
      <c r="J70" s="19" t="s">
        <v>89</v>
      </c>
      <c r="K70" s="24"/>
      <c r="L70" s="23"/>
      <c r="M70" s="24"/>
      <c r="N70" s="19" t="s">
        <v>368</v>
      </c>
      <c r="O70" s="19" t="s">
        <v>143</v>
      </c>
      <c r="P70" s="26"/>
      <c r="Q70" s="42" t="s">
        <v>215</v>
      </c>
      <c r="R70" s="50"/>
      <c r="S70" s="51"/>
      <c r="T70" s="46"/>
      <c r="U70" s="46"/>
      <c r="V70" s="46"/>
      <c r="W70" s="46"/>
      <c r="X70" s="46"/>
      <c r="Y70" s="46"/>
      <c r="Z70" s="46"/>
      <c r="AA70" s="46"/>
      <c r="AB70" s="46"/>
      <c r="AC70" s="46"/>
      <c r="AD70" s="46"/>
      <c r="AE70" s="46"/>
    </row>
    <row r="71" ht="15.75" customHeight="1">
      <c r="A71" s="40">
        <f t="shared" si="3"/>
        <v>66</v>
      </c>
      <c r="B71" s="40" t="str">
        <f t="shared" si="4"/>
        <v>ADS-066</v>
      </c>
      <c r="C71" s="19" t="s">
        <v>101</v>
      </c>
      <c r="D71" s="41" t="s">
        <v>388</v>
      </c>
      <c r="E71" s="42" t="s">
        <v>101</v>
      </c>
      <c r="F71" s="58"/>
      <c r="G71" s="19" t="s">
        <v>132</v>
      </c>
      <c r="H71" s="40" t="s">
        <v>131</v>
      </c>
      <c r="I71" s="40" t="str">
        <f t="array" ref="I71">IF(G71="","",IFERROR(INDEX('Người sử dụng'!$H$5:$H$140,MATCH(G71,'Người sử dụng'!$C$5:$C$140,0)),"Chưa có trong DS"))</f>
        <v>Đang làm</v>
      </c>
      <c r="J71" s="19" t="s">
        <v>89</v>
      </c>
      <c r="K71" s="24"/>
      <c r="L71" s="23"/>
      <c r="M71" s="24"/>
      <c r="N71" s="19" t="s">
        <v>368</v>
      </c>
      <c r="O71" s="19" t="s">
        <v>143</v>
      </c>
      <c r="P71" s="26"/>
      <c r="Q71" s="42" t="s">
        <v>215</v>
      </c>
      <c r="R71" s="50"/>
      <c r="S71" s="51"/>
      <c r="T71" s="46"/>
      <c r="U71" s="46"/>
      <c r="V71" s="46"/>
      <c r="W71" s="46"/>
      <c r="X71" s="46"/>
      <c r="Y71" s="46"/>
      <c r="Z71" s="46"/>
      <c r="AA71" s="46"/>
      <c r="AB71" s="46"/>
      <c r="AC71" s="46"/>
      <c r="AD71" s="46"/>
      <c r="AE71" s="46"/>
    </row>
    <row r="72" ht="15.75" customHeight="1">
      <c r="A72" s="40">
        <f t="shared" si="3"/>
        <v>67</v>
      </c>
      <c r="B72" s="40" t="str">
        <f t="shared" si="4"/>
        <v>ADS-067</v>
      </c>
      <c r="C72" s="19" t="s">
        <v>101</v>
      </c>
      <c r="D72" s="41" t="s">
        <v>389</v>
      </c>
      <c r="E72" s="42" t="s">
        <v>101</v>
      </c>
      <c r="F72" s="58"/>
      <c r="G72" s="19" t="s">
        <v>132</v>
      </c>
      <c r="H72" s="40" t="s">
        <v>131</v>
      </c>
      <c r="I72" s="40" t="str">
        <f t="array" ref="I72">IF(G72="","",IFERROR(INDEX('Người sử dụng'!$H$5:$H$140,MATCH(G72,'Người sử dụng'!$C$5:$C$140,0)),"Chưa có trong DS"))</f>
        <v>Đang làm</v>
      </c>
      <c r="J72" s="19" t="s">
        <v>89</v>
      </c>
      <c r="K72" s="24"/>
      <c r="L72" s="23"/>
      <c r="M72" s="24"/>
      <c r="N72" s="19" t="s">
        <v>368</v>
      </c>
      <c r="O72" s="19" t="s">
        <v>143</v>
      </c>
      <c r="P72" s="26"/>
      <c r="Q72" s="42" t="s">
        <v>215</v>
      </c>
      <c r="R72" s="50"/>
      <c r="S72" s="51"/>
      <c r="T72" s="46"/>
      <c r="U72" s="46"/>
      <c r="V72" s="46"/>
      <c r="W72" s="46"/>
      <c r="X72" s="46"/>
      <c r="Y72" s="46"/>
      <c r="Z72" s="46"/>
      <c r="AA72" s="46"/>
      <c r="AB72" s="46"/>
      <c r="AC72" s="46"/>
      <c r="AD72" s="46"/>
      <c r="AE72" s="46"/>
    </row>
    <row r="73" ht="15.75" customHeight="1">
      <c r="A73" s="40">
        <f t="shared" si="3"/>
        <v>68</v>
      </c>
      <c r="B73" s="40" t="str">
        <f t="shared" si="4"/>
        <v>ADS-068</v>
      </c>
      <c r="C73" s="19" t="s">
        <v>101</v>
      </c>
      <c r="D73" s="41" t="s">
        <v>390</v>
      </c>
      <c r="E73" s="42" t="s">
        <v>101</v>
      </c>
      <c r="F73" s="58"/>
      <c r="G73" s="19" t="s">
        <v>132</v>
      </c>
      <c r="H73" s="40" t="s">
        <v>131</v>
      </c>
      <c r="I73" s="40" t="str">
        <f t="array" ref="I73">IF(G73="","",IFERROR(INDEX('Người sử dụng'!$H$5:$H$140,MATCH(G73,'Người sử dụng'!$C$5:$C$140,0)),"Chưa có trong DS"))</f>
        <v>Đang làm</v>
      </c>
      <c r="J73" s="19" t="s">
        <v>89</v>
      </c>
      <c r="K73" s="24"/>
      <c r="L73" s="23"/>
      <c r="M73" s="24"/>
      <c r="N73" s="19" t="s">
        <v>368</v>
      </c>
      <c r="O73" s="19" t="s">
        <v>143</v>
      </c>
      <c r="P73" s="26"/>
      <c r="Q73" s="42" t="s">
        <v>215</v>
      </c>
      <c r="R73" s="50"/>
      <c r="S73" s="51"/>
      <c r="T73" s="46"/>
      <c r="U73" s="46"/>
      <c r="V73" s="46"/>
      <c r="W73" s="46"/>
      <c r="X73" s="46"/>
      <c r="Y73" s="46"/>
      <c r="Z73" s="46"/>
      <c r="AA73" s="46"/>
      <c r="AB73" s="46"/>
      <c r="AC73" s="46"/>
      <c r="AD73" s="46"/>
      <c r="AE73" s="46"/>
    </row>
    <row r="74" ht="15.75" customHeight="1">
      <c r="A74" s="40">
        <f t="shared" si="3"/>
        <v>69</v>
      </c>
      <c r="B74" s="40" t="str">
        <f t="shared" si="4"/>
        <v>ADS-069</v>
      </c>
      <c r="C74" s="19" t="s">
        <v>101</v>
      </c>
      <c r="D74" s="41" t="s">
        <v>391</v>
      </c>
      <c r="E74" s="42" t="s">
        <v>101</v>
      </c>
      <c r="F74" s="58"/>
      <c r="G74" s="19" t="s">
        <v>132</v>
      </c>
      <c r="H74" s="40" t="s">
        <v>131</v>
      </c>
      <c r="I74" s="40" t="str">
        <f t="array" ref="I74">IF(G74="","",IFERROR(INDEX('Người sử dụng'!$H$5:$H$140,MATCH(G74,'Người sử dụng'!$C$5:$C$140,0)),"Chưa có trong DS"))</f>
        <v>Đang làm</v>
      </c>
      <c r="J74" s="19" t="s">
        <v>89</v>
      </c>
      <c r="K74" s="24"/>
      <c r="L74" s="23"/>
      <c r="M74" s="24"/>
      <c r="N74" s="19" t="s">
        <v>368</v>
      </c>
      <c r="O74" s="19" t="s">
        <v>143</v>
      </c>
      <c r="P74" s="26"/>
      <c r="Q74" s="42" t="s">
        <v>215</v>
      </c>
      <c r="R74" s="50"/>
      <c r="S74" s="51"/>
      <c r="T74" s="46"/>
      <c r="U74" s="46"/>
      <c r="V74" s="46"/>
      <c r="W74" s="46"/>
      <c r="X74" s="46"/>
      <c r="Y74" s="46"/>
      <c r="Z74" s="46"/>
      <c r="AA74" s="46"/>
      <c r="AB74" s="46"/>
      <c r="AC74" s="46"/>
      <c r="AD74" s="46"/>
      <c r="AE74" s="46"/>
    </row>
    <row r="75" ht="15.75" customHeight="1">
      <c r="A75" s="40">
        <f t="shared" si="3"/>
        <v>70</v>
      </c>
      <c r="B75" s="40" t="str">
        <f t="shared" si="4"/>
        <v>ADS-070</v>
      </c>
      <c r="C75" s="19" t="s">
        <v>101</v>
      </c>
      <c r="D75" s="41" t="s">
        <v>392</v>
      </c>
      <c r="E75" s="42" t="s">
        <v>101</v>
      </c>
      <c r="F75" s="58"/>
      <c r="G75" s="19" t="s">
        <v>132</v>
      </c>
      <c r="H75" s="40" t="s">
        <v>131</v>
      </c>
      <c r="I75" s="40" t="str">
        <f t="array" ref="I75">IF(G75="","",IFERROR(INDEX('Người sử dụng'!$H$5:$H$140,MATCH(G75,'Người sử dụng'!$C$5:$C$140,0)),"Chưa có trong DS"))</f>
        <v>Đang làm</v>
      </c>
      <c r="J75" s="19" t="s">
        <v>89</v>
      </c>
      <c r="K75" s="24"/>
      <c r="L75" s="23"/>
      <c r="M75" s="24"/>
      <c r="N75" s="19" t="s">
        <v>368</v>
      </c>
      <c r="O75" s="19" t="s">
        <v>143</v>
      </c>
      <c r="P75" s="26"/>
      <c r="Q75" s="42" t="s">
        <v>215</v>
      </c>
      <c r="R75" s="50"/>
      <c r="S75" s="51"/>
      <c r="T75" s="46"/>
      <c r="U75" s="46"/>
      <c r="V75" s="46"/>
      <c r="W75" s="46"/>
      <c r="X75" s="46"/>
      <c r="Y75" s="46"/>
      <c r="Z75" s="46"/>
      <c r="AA75" s="46"/>
      <c r="AB75" s="46"/>
      <c r="AC75" s="46"/>
      <c r="AD75" s="46"/>
      <c r="AE75" s="46"/>
    </row>
    <row r="76" ht="15.75" customHeight="1">
      <c r="A76" s="40">
        <f t="shared" si="3"/>
        <v>71</v>
      </c>
      <c r="B76" s="40" t="str">
        <f t="shared" si="4"/>
        <v>ADS-071</v>
      </c>
      <c r="C76" s="19" t="s">
        <v>101</v>
      </c>
      <c r="D76" s="41" t="s">
        <v>393</v>
      </c>
      <c r="E76" s="42" t="s">
        <v>101</v>
      </c>
      <c r="F76" s="58"/>
      <c r="G76" s="19" t="s">
        <v>132</v>
      </c>
      <c r="H76" s="40" t="s">
        <v>131</v>
      </c>
      <c r="I76" s="40" t="str">
        <f t="array" ref="I76">IF(G76="","",IFERROR(INDEX('Người sử dụng'!$H$5:$H$140,MATCH(G76,'Người sử dụng'!$C$5:$C$140,0)),"Chưa có trong DS"))</f>
        <v>Đang làm</v>
      </c>
      <c r="J76" s="19" t="s">
        <v>89</v>
      </c>
      <c r="K76" s="24"/>
      <c r="L76" s="23"/>
      <c r="M76" s="24"/>
      <c r="N76" s="19" t="s">
        <v>368</v>
      </c>
      <c r="O76" s="19" t="s">
        <v>143</v>
      </c>
      <c r="P76" s="26"/>
      <c r="Q76" s="42" t="s">
        <v>215</v>
      </c>
      <c r="R76" s="50"/>
      <c r="S76" s="51"/>
      <c r="T76" s="46"/>
      <c r="U76" s="46"/>
      <c r="V76" s="46"/>
      <c r="W76" s="46"/>
      <c r="X76" s="46"/>
      <c r="Y76" s="46"/>
      <c r="Z76" s="46"/>
      <c r="AA76" s="46"/>
      <c r="AB76" s="46"/>
      <c r="AC76" s="46"/>
      <c r="AD76" s="46"/>
      <c r="AE76" s="46"/>
    </row>
    <row r="77" ht="15.75" customHeight="1">
      <c r="A77" s="40">
        <f t="shared" si="3"/>
        <v>72</v>
      </c>
      <c r="B77" s="40" t="str">
        <f t="shared" si="4"/>
        <v>ADS-072</v>
      </c>
      <c r="C77" s="19" t="s">
        <v>101</v>
      </c>
      <c r="D77" s="41" t="s">
        <v>394</v>
      </c>
      <c r="E77" s="42" t="s">
        <v>101</v>
      </c>
      <c r="F77" s="58"/>
      <c r="G77" s="19" t="s">
        <v>132</v>
      </c>
      <c r="H77" s="40" t="s">
        <v>131</v>
      </c>
      <c r="I77" s="40" t="str">
        <f t="array" ref="I77">IF(G77="","",IFERROR(INDEX('Người sử dụng'!$H$5:$H$140,MATCH(G77,'Người sử dụng'!$C$5:$C$140,0)),"Chưa có trong DS"))</f>
        <v>Đang làm</v>
      </c>
      <c r="J77" s="19" t="s">
        <v>89</v>
      </c>
      <c r="K77" s="24"/>
      <c r="L77" s="23"/>
      <c r="M77" s="24"/>
      <c r="N77" s="19" t="s">
        <v>368</v>
      </c>
      <c r="O77" s="19" t="s">
        <v>143</v>
      </c>
      <c r="P77" s="26"/>
      <c r="Q77" s="42" t="s">
        <v>215</v>
      </c>
      <c r="R77" s="50"/>
      <c r="S77" s="51"/>
      <c r="T77" s="46"/>
      <c r="U77" s="46"/>
      <c r="V77" s="46"/>
      <c r="W77" s="46"/>
      <c r="X77" s="46"/>
      <c r="Y77" s="46"/>
      <c r="Z77" s="46"/>
      <c r="AA77" s="46"/>
      <c r="AB77" s="46"/>
      <c r="AC77" s="46"/>
      <c r="AD77" s="46"/>
      <c r="AE77" s="46"/>
    </row>
    <row r="78" ht="15.75" customHeight="1">
      <c r="A78" s="40">
        <f t="shared" si="3"/>
        <v>73</v>
      </c>
      <c r="B78" s="40" t="str">
        <f t="shared" si="4"/>
        <v>ADS-073</v>
      </c>
      <c r="C78" s="19" t="s">
        <v>101</v>
      </c>
      <c r="D78" s="41" t="s">
        <v>395</v>
      </c>
      <c r="E78" s="42" t="s">
        <v>101</v>
      </c>
      <c r="F78" s="58"/>
      <c r="G78" s="19" t="s">
        <v>132</v>
      </c>
      <c r="H78" s="40" t="s">
        <v>131</v>
      </c>
      <c r="I78" s="40" t="str">
        <f t="array" ref="I78">IF(G78="","",IFERROR(INDEX('Người sử dụng'!$H$5:$H$140,MATCH(G78,'Người sử dụng'!$C$5:$C$140,0)),"Chưa có trong DS"))</f>
        <v>Đang làm</v>
      </c>
      <c r="J78" s="19" t="s">
        <v>89</v>
      </c>
      <c r="K78" s="24"/>
      <c r="L78" s="23"/>
      <c r="M78" s="24"/>
      <c r="N78" s="19" t="s">
        <v>368</v>
      </c>
      <c r="O78" s="19" t="s">
        <v>143</v>
      </c>
      <c r="P78" s="26"/>
      <c r="Q78" s="42" t="s">
        <v>215</v>
      </c>
      <c r="R78" s="50"/>
      <c r="S78" s="51"/>
      <c r="T78" s="46"/>
      <c r="U78" s="46"/>
      <c r="V78" s="46"/>
      <c r="W78" s="46"/>
      <c r="X78" s="46"/>
      <c r="Y78" s="46"/>
      <c r="Z78" s="46"/>
      <c r="AA78" s="46"/>
      <c r="AB78" s="46"/>
      <c r="AC78" s="46"/>
      <c r="AD78" s="46"/>
      <c r="AE78" s="46"/>
    </row>
    <row r="79" ht="15.75" customHeight="1">
      <c r="A79" s="40">
        <f t="shared" si="3"/>
        <v>74</v>
      </c>
      <c r="B79" s="40" t="str">
        <f t="shared" si="4"/>
        <v>ADS-074</v>
      </c>
      <c r="C79" s="19" t="s">
        <v>101</v>
      </c>
      <c r="D79" s="41" t="s">
        <v>396</v>
      </c>
      <c r="E79" s="42" t="s">
        <v>101</v>
      </c>
      <c r="F79" s="58"/>
      <c r="G79" s="19" t="s">
        <v>132</v>
      </c>
      <c r="H79" s="40" t="s">
        <v>131</v>
      </c>
      <c r="I79" s="40" t="str">
        <f t="array" ref="I79">IF(G79="","",IFERROR(INDEX('Người sử dụng'!$H$5:$H$140,MATCH(G79,'Người sử dụng'!$C$5:$C$140,0)),"Chưa có trong DS"))</f>
        <v>Đang làm</v>
      </c>
      <c r="J79" s="19" t="s">
        <v>89</v>
      </c>
      <c r="K79" s="24"/>
      <c r="L79" s="23"/>
      <c r="M79" s="24"/>
      <c r="N79" s="19" t="s">
        <v>368</v>
      </c>
      <c r="O79" s="19" t="s">
        <v>143</v>
      </c>
      <c r="P79" s="26"/>
      <c r="Q79" s="42" t="s">
        <v>215</v>
      </c>
      <c r="R79" s="50"/>
      <c r="S79" s="51"/>
      <c r="T79" s="46"/>
      <c r="U79" s="46"/>
      <c r="V79" s="46"/>
      <c r="W79" s="46"/>
      <c r="X79" s="46"/>
      <c r="Y79" s="46"/>
      <c r="Z79" s="46"/>
      <c r="AA79" s="46"/>
      <c r="AB79" s="46"/>
      <c r="AC79" s="46"/>
      <c r="AD79" s="46"/>
      <c r="AE79" s="46"/>
    </row>
    <row r="80" ht="15.75" customHeight="1">
      <c r="A80" s="40">
        <f t="shared" si="3"/>
        <v>75</v>
      </c>
      <c r="B80" s="40" t="str">
        <f t="shared" si="4"/>
        <v>ADS-075</v>
      </c>
      <c r="C80" s="19" t="s">
        <v>101</v>
      </c>
      <c r="D80" s="41" t="s">
        <v>397</v>
      </c>
      <c r="E80" s="42" t="s">
        <v>101</v>
      </c>
      <c r="F80" s="58"/>
      <c r="G80" s="19" t="s">
        <v>132</v>
      </c>
      <c r="H80" s="40" t="s">
        <v>131</v>
      </c>
      <c r="I80" s="40" t="str">
        <f t="array" ref="I80">IF(G80="","",IFERROR(INDEX('Người sử dụng'!$H$5:$H$140,MATCH(G80,'Người sử dụng'!$C$5:$C$140,0)),"Chưa có trong DS"))</f>
        <v>Đang làm</v>
      </c>
      <c r="J80" s="19" t="s">
        <v>89</v>
      </c>
      <c r="K80" s="24"/>
      <c r="L80" s="23"/>
      <c r="M80" s="24"/>
      <c r="N80" s="19" t="s">
        <v>368</v>
      </c>
      <c r="O80" s="19" t="s">
        <v>143</v>
      </c>
      <c r="P80" s="26"/>
      <c r="Q80" s="42" t="s">
        <v>215</v>
      </c>
      <c r="R80" s="50"/>
      <c r="S80" s="51"/>
      <c r="T80" s="46"/>
      <c r="U80" s="46"/>
      <c r="V80" s="46"/>
      <c r="W80" s="46"/>
      <c r="X80" s="46"/>
      <c r="Y80" s="46"/>
      <c r="Z80" s="46"/>
      <c r="AA80" s="46"/>
      <c r="AB80" s="46"/>
      <c r="AC80" s="46"/>
      <c r="AD80" s="46"/>
      <c r="AE80" s="46"/>
    </row>
    <row r="81" ht="15.75" customHeight="1">
      <c r="A81" s="40">
        <f t="shared" si="3"/>
        <v>76</v>
      </c>
      <c r="B81" s="40" t="str">
        <f t="shared" si="4"/>
        <v>ADS-076</v>
      </c>
      <c r="C81" s="19" t="s">
        <v>101</v>
      </c>
      <c r="D81" s="41" t="s">
        <v>398</v>
      </c>
      <c r="E81" s="42" t="s">
        <v>101</v>
      </c>
      <c r="F81" s="58"/>
      <c r="G81" s="19" t="s">
        <v>132</v>
      </c>
      <c r="H81" s="40" t="s">
        <v>131</v>
      </c>
      <c r="I81" s="40" t="str">
        <f t="array" ref="I81">IF(G81="","",IFERROR(INDEX('Người sử dụng'!$H$5:$H$140,MATCH(G81,'Người sử dụng'!$C$5:$C$140,0)),"Chưa có trong DS"))</f>
        <v>Đang làm</v>
      </c>
      <c r="J81" s="19" t="s">
        <v>89</v>
      </c>
      <c r="K81" s="24"/>
      <c r="L81" s="23"/>
      <c r="M81" s="24"/>
      <c r="N81" s="19" t="s">
        <v>368</v>
      </c>
      <c r="O81" s="19" t="s">
        <v>143</v>
      </c>
      <c r="P81" s="26"/>
      <c r="Q81" s="42" t="s">
        <v>215</v>
      </c>
      <c r="R81" s="50"/>
      <c r="S81" s="51"/>
      <c r="T81" s="46"/>
      <c r="U81" s="46"/>
      <c r="V81" s="46"/>
      <c r="W81" s="46"/>
      <c r="X81" s="46"/>
      <c r="Y81" s="46"/>
      <c r="Z81" s="46"/>
      <c r="AA81" s="46"/>
      <c r="AB81" s="46"/>
      <c r="AC81" s="46"/>
      <c r="AD81" s="46"/>
      <c r="AE81" s="46"/>
    </row>
    <row r="82" ht="15.75" customHeight="1">
      <c r="A82" s="40">
        <f t="shared" si="3"/>
        <v>77</v>
      </c>
      <c r="B82" s="40" t="str">
        <f t="shared" si="4"/>
        <v>ADS-077</v>
      </c>
      <c r="C82" s="19" t="s">
        <v>101</v>
      </c>
      <c r="D82" s="41" t="s">
        <v>399</v>
      </c>
      <c r="E82" s="42" t="s">
        <v>101</v>
      </c>
      <c r="F82" s="58"/>
      <c r="G82" s="19" t="s">
        <v>132</v>
      </c>
      <c r="H82" s="40" t="s">
        <v>131</v>
      </c>
      <c r="I82" s="40" t="str">
        <f t="array" ref="I82">IF(G82="","",IFERROR(INDEX('Người sử dụng'!$H$5:$H$140,MATCH(G82,'Người sử dụng'!$C$5:$C$140,0)),"Chưa có trong DS"))</f>
        <v>Đang làm</v>
      </c>
      <c r="J82" s="19" t="s">
        <v>89</v>
      </c>
      <c r="K82" s="24"/>
      <c r="L82" s="23"/>
      <c r="M82" s="24"/>
      <c r="N82" s="19" t="s">
        <v>368</v>
      </c>
      <c r="O82" s="19" t="s">
        <v>143</v>
      </c>
      <c r="P82" s="26"/>
      <c r="Q82" s="42" t="s">
        <v>215</v>
      </c>
      <c r="R82" s="50"/>
      <c r="S82" s="51"/>
      <c r="T82" s="46"/>
      <c r="U82" s="46"/>
      <c r="V82" s="46"/>
      <c r="W82" s="46"/>
      <c r="X82" s="46"/>
      <c r="Y82" s="46"/>
      <c r="Z82" s="46"/>
      <c r="AA82" s="46"/>
      <c r="AB82" s="46"/>
      <c r="AC82" s="46"/>
      <c r="AD82" s="46"/>
      <c r="AE82" s="46"/>
    </row>
    <row r="83" ht="15.75" customHeight="1">
      <c r="A83" s="40">
        <f t="shared" si="3"/>
        <v>78</v>
      </c>
      <c r="B83" s="40" t="str">
        <f t="shared" si="4"/>
        <v>ADS-078</v>
      </c>
      <c r="C83" s="19" t="s">
        <v>101</v>
      </c>
      <c r="D83" s="41" t="s">
        <v>400</v>
      </c>
      <c r="E83" s="42" t="s">
        <v>101</v>
      </c>
      <c r="F83" s="58"/>
      <c r="G83" s="19" t="s">
        <v>132</v>
      </c>
      <c r="H83" s="40" t="s">
        <v>131</v>
      </c>
      <c r="I83" s="40" t="str">
        <f t="array" ref="I83">IF(G83="","",IFERROR(INDEX('Người sử dụng'!$H$5:$H$140,MATCH(G83,'Người sử dụng'!$C$5:$C$140,0)),"Chưa có trong DS"))</f>
        <v>Đang làm</v>
      </c>
      <c r="J83" s="19" t="s">
        <v>89</v>
      </c>
      <c r="K83" s="24"/>
      <c r="L83" s="23"/>
      <c r="M83" s="24"/>
      <c r="N83" s="19" t="s">
        <v>368</v>
      </c>
      <c r="O83" s="19" t="s">
        <v>143</v>
      </c>
      <c r="P83" s="26"/>
      <c r="Q83" s="42" t="s">
        <v>215</v>
      </c>
      <c r="R83" s="50"/>
      <c r="S83" s="51"/>
      <c r="T83" s="46"/>
      <c r="U83" s="46"/>
      <c r="V83" s="46"/>
      <c r="W83" s="46"/>
      <c r="X83" s="46"/>
      <c r="Y83" s="46"/>
      <c r="Z83" s="46"/>
      <c r="AA83" s="46"/>
      <c r="AB83" s="46"/>
      <c r="AC83" s="46"/>
      <c r="AD83" s="46"/>
      <c r="AE83" s="46"/>
    </row>
    <row r="84" ht="15.75" customHeight="1">
      <c r="A84" s="40">
        <f t="shared" si="3"/>
        <v>79</v>
      </c>
      <c r="B84" s="40" t="str">
        <f t="shared" si="4"/>
        <v>ADS-079</v>
      </c>
      <c r="C84" s="19" t="s">
        <v>101</v>
      </c>
      <c r="D84" s="41" t="s">
        <v>401</v>
      </c>
      <c r="E84" s="42" t="s">
        <v>101</v>
      </c>
      <c r="F84" s="58"/>
      <c r="G84" s="19" t="s">
        <v>132</v>
      </c>
      <c r="H84" s="40" t="s">
        <v>131</v>
      </c>
      <c r="I84" s="40" t="str">
        <f t="array" ref="I84">IF(G84="","",IFERROR(INDEX('Người sử dụng'!$H$5:$H$140,MATCH(G84,'Người sử dụng'!$C$5:$C$140,0)),"Chưa có trong DS"))</f>
        <v>Đang làm</v>
      </c>
      <c r="J84" s="19" t="s">
        <v>89</v>
      </c>
      <c r="K84" s="24"/>
      <c r="L84" s="23"/>
      <c r="M84" s="24"/>
      <c r="N84" s="19" t="s">
        <v>368</v>
      </c>
      <c r="O84" s="19" t="s">
        <v>143</v>
      </c>
      <c r="P84" s="26"/>
      <c r="Q84" s="42" t="s">
        <v>215</v>
      </c>
      <c r="R84" s="50"/>
      <c r="S84" s="51"/>
      <c r="T84" s="46"/>
      <c r="U84" s="46"/>
      <c r="V84" s="46"/>
      <c r="W84" s="46"/>
      <c r="X84" s="46"/>
      <c r="Y84" s="46"/>
      <c r="Z84" s="46"/>
      <c r="AA84" s="46"/>
      <c r="AB84" s="46"/>
      <c r="AC84" s="46"/>
      <c r="AD84" s="46"/>
      <c r="AE84" s="46"/>
    </row>
    <row r="85" ht="15.75" customHeight="1">
      <c r="A85" s="40">
        <f t="shared" si="3"/>
        <v>80</v>
      </c>
      <c r="B85" s="40" t="str">
        <f t="shared" si="4"/>
        <v>ADS-080</v>
      </c>
      <c r="C85" s="19" t="s">
        <v>101</v>
      </c>
      <c r="D85" s="41" t="s">
        <v>402</v>
      </c>
      <c r="E85" s="42" t="s">
        <v>101</v>
      </c>
      <c r="F85" s="58"/>
      <c r="G85" s="19" t="s">
        <v>132</v>
      </c>
      <c r="H85" s="40" t="s">
        <v>131</v>
      </c>
      <c r="I85" s="40" t="str">
        <f t="array" ref="I85">IF(G85="","",IFERROR(INDEX('Người sử dụng'!$H$5:$H$140,MATCH(G85,'Người sử dụng'!$C$5:$C$140,0)),"Chưa có trong DS"))</f>
        <v>Đang làm</v>
      </c>
      <c r="J85" s="19" t="s">
        <v>89</v>
      </c>
      <c r="K85" s="24"/>
      <c r="L85" s="23"/>
      <c r="M85" s="24"/>
      <c r="N85" s="19" t="s">
        <v>368</v>
      </c>
      <c r="O85" s="19" t="s">
        <v>143</v>
      </c>
      <c r="P85" s="26"/>
      <c r="Q85" s="42" t="s">
        <v>215</v>
      </c>
      <c r="R85" s="50"/>
      <c r="S85" s="51"/>
      <c r="T85" s="46"/>
      <c r="U85" s="46"/>
      <c r="V85" s="46"/>
      <c r="W85" s="46"/>
      <c r="X85" s="46"/>
      <c r="Y85" s="46"/>
      <c r="Z85" s="46"/>
      <c r="AA85" s="46"/>
      <c r="AB85" s="46"/>
      <c r="AC85" s="46"/>
      <c r="AD85" s="46"/>
      <c r="AE85" s="46"/>
    </row>
    <row r="86" ht="15.75" customHeight="1">
      <c r="A86" s="40">
        <f t="shared" si="3"/>
        <v>81</v>
      </c>
      <c r="B86" s="40" t="str">
        <f t="shared" si="4"/>
        <v>ADS-081</v>
      </c>
      <c r="C86" s="19" t="s">
        <v>101</v>
      </c>
      <c r="D86" s="41" t="s">
        <v>403</v>
      </c>
      <c r="E86" s="42" t="s">
        <v>101</v>
      </c>
      <c r="F86" s="58"/>
      <c r="G86" s="19" t="s">
        <v>132</v>
      </c>
      <c r="H86" s="40" t="s">
        <v>131</v>
      </c>
      <c r="I86" s="40" t="str">
        <f t="array" ref="I86">IF(G86="","",IFERROR(INDEX('Người sử dụng'!$H$5:$H$140,MATCH(G86,'Người sử dụng'!$C$5:$C$140,0)),"Chưa có trong DS"))</f>
        <v>Đang làm</v>
      </c>
      <c r="J86" s="19" t="s">
        <v>89</v>
      </c>
      <c r="K86" s="24"/>
      <c r="L86" s="23"/>
      <c r="M86" s="24"/>
      <c r="N86" s="19" t="s">
        <v>368</v>
      </c>
      <c r="O86" s="19" t="s">
        <v>143</v>
      </c>
      <c r="P86" s="26"/>
      <c r="Q86" s="42" t="s">
        <v>215</v>
      </c>
      <c r="R86" s="50"/>
      <c r="S86" s="51"/>
      <c r="T86" s="46"/>
      <c r="U86" s="46"/>
      <c r="V86" s="46"/>
      <c r="W86" s="46"/>
      <c r="X86" s="46"/>
      <c r="Y86" s="46"/>
      <c r="Z86" s="46"/>
      <c r="AA86" s="46"/>
      <c r="AB86" s="46"/>
      <c r="AC86" s="46"/>
      <c r="AD86" s="46"/>
      <c r="AE86" s="46"/>
    </row>
    <row r="87" ht="15.75" customHeight="1">
      <c r="A87" s="40">
        <f t="shared" si="3"/>
        <v>82</v>
      </c>
      <c r="B87" s="40" t="str">
        <f t="shared" si="4"/>
        <v>ADS-082</v>
      </c>
      <c r="C87" s="19" t="s">
        <v>101</v>
      </c>
      <c r="D87" s="41" t="s">
        <v>404</v>
      </c>
      <c r="E87" s="42" t="s">
        <v>101</v>
      </c>
      <c r="F87" s="58"/>
      <c r="G87" s="19" t="s">
        <v>132</v>
      </c>
      <c r="H87" s="40" t="s">
        <v>131</v>
      </c>
      <c r="I87" s="40" t="str">
        <f t="array" ref="I87">IF(G87="","",IFERROR(INDEX('Người sử dụng'!$H$5:$H$140,MATCH(G87,'Người sử dụng'!$C$5:$C$140,0)),"Chưa có trong DS"))</f>
        <v>Đang làm</v>
      </c>
      <c r="J87" s="19" t="s">
        <v>89</v>
      </c>
      <c r="K87" s="24"/>
      <c r="L87" s="23"/>
      <c r="M87" s="24"/>
      <c r="N87" s="19" t="s">
        <v>368</v>
      </c>
      <c r="O87" s="19" t="s">
        <v>143</v>
      </c>
      <c r="P87" s="26"/>
      <c r="Q87" s="42" t="s">
        <v>215</v>
      </c>
      <c r="R87" s="50"/>
      <c r="S87" s="51"/>
      <c r="T87" s="46"/>
      <c r="U87" s="46"/>
      <c r="V87" s="46"/>
      <c r="W87" s="46"/>
      <c r="X87" s="46"/>
      <c r="Y87" s="46"/>
      <c r="Z87" s="46"/>
      <c r="AA87" s="46"/>
      <c r="AB87" s="46"/>
      <c r="AC87" s="46"/>
      <c r="AD87" s="46"/>
      <c r="AE87" s="46"/>
    </row>
    <row r="88" ht="15.75" customHeight="1">
      <c r="A88" s="40"/>
      <c r="B88" s="40"/>
      <c r="C88" s="19"/>
      <c r="D88" s="41"/>
      <c r="E88" s="42"/>
      <c r="F88" s="58"/>
      <c r="G88" s="19"/>
      <c r="H88" s="40"/>
      <c r="I88" s="40"/>
      <c r="J88" s="19"/>
      <c r="K88" s="24"/>
      <c r="L88" s="23"/>
      <c r="M88" s="24"/>
      <c r="N88" s="19"/>
      <c r="O88" s="19"/>
      <c r="P88" s="26"/>
      <c r="Q88" s="42"/>
      <c r="R88" s="50"/>
      <c r="S88" s="51"/>
      <c r="T88" s="46"/>
      <c r="U88" s="46"/>
      <c r="V88" s="46"/>
      <c r="W88" s="46"/>
      <c r="X88" s="46"/>
      <c r="Y88" s="46"/>
      <c r="Z88" s="46"/>
      <c r="AA88" s="46"/>
      <c r="AB88" s="46"/>
      <c r="AC88" s="46"/>
      <c r="AD88" s="46"/>
      <c r="AE88" s="46"/>
    </row>
    <row r="89" ht="15.75" customHeight="1">
      <c r="A89" s="40">
        <f t="shared" ref="A89:A105" si="5">IF(C89="","",ROW()-5)</f>
        <v>84</v>
      </c>
      <c r="B89" s="40" t="str">
        <f t="shared" ref="B89:B105" si="6">IF(C89="","","ADS-"&amp;TEXT(ROW()-5,"000"))</f>
        <v>ADS-084</v>
      </c>
      <c r="C89" s="19" t="s">
        <v>84</v>
      </c>
      <c r="D89" s="23"/>
      <c r="E89" s="42" t="s">
        <v>405</v>
      </c>
      <c r="F89" s="53" t="s">
        <v>406</v>
      </c>
      <c r="G89" s="19" t="s">
        <v>166</v>
      </c>
      <c r="H89" s="40" t="s">
        <v>165</v>
      </c>
      <c r="I89" s="40" t="str">
        <f t="array" ref="I89">IF(G89="","",IFERROR(INDEX('Người sử dụng'!$H$5:$H$140,MATCH(G89,'Người sử dụng'!$C$5:$C$140,0)),"Chưa có trong DS"))</f>
        <v>Đang làm</v>
      </c>
      <c r="J89" s="19" t="s">
        <v>89</v>
      </c>
      <c r="K89" s="24"/>
      <c r="L89" s="23"/>
      <c r="M89" s="24"/>
      <c r="N89" s="24"/>
      <c r="O89" s="19" t="s">
        <v>143</v>
      </c>
      <c r="P89" s="26"/>
      <c r="Q89" s="42" t="s">
        <v>184</v>
      </c>
      <c r="R89" s="50" t="s">
        <v>150</v>
      </c>
      <c r="S89" s="51"/>
      <c r="T89" s="46"/>
      <c r="U89" s="46"/>
      <c r="V89" s="46"/>
      <c r="W89" s="46"/>
      <c r="X89" s="46"/>
      <c r="Y89" s="46"/>
      <c r="Z89" s="46"/>
      <c r="AA89" s="46"/>
      <c r="AB89" s="46"/>
      <c r="AC89" s="46"/>
      <c r="AD89" s="46"/>
      <c r="AE89" s="46"/>
    </row>
    <row r="90" ht="15.75" customHeight="1">
      <c r="A90" s="40">
        <f t="shared" si="5"/>
        <v>85</v>
      </c>
      <c r="B90" s="40" t="str">
        <f t="shared" si="6"/>
        <v>ADS-085</v>
      </c>
      <c r="C90" s="19" t="s">
        <v>84</v>
      </c>
      <c r="D90" s="23"/>
      <c r="E90" s="42" t="s">
        <v>405</v>
      </c>
      <c r="F90" s="53" t="s">
        <v>407</v>
      </c>
      <c r="G90" s="19" t="s">
        <v>166</v>
      </c>
      <c r="H90" s="40" t="s">
        <v>165</v>
      </c>
      <c r="I90" s="40" t="str">
        <f t="array" ref="I90">IF(G90="","",IFERROR(INDEX('Người sử dụng'!$H$5:$H$140,MATCH(G90,'Người sử dụng'!$C$5:$C$140,0)),"Chưa có trong DS"))</f>
        <v>Đang làm</v>
      </c>
      <c r="J90" s="19" t="s">
        <v>89</v>
      </c>
      <c r="K90" s="24"/>
      <c r="L90" s="23"/>
      <c r="M90" s="24"/>
      <c r="N90" s="24"/>
      <c r="O90" s="19" t="s">
        <v>143</v>
      </c>
      <c r="P90" s="26"/>
      <c r="Q90" s="42" t="s">
        <v>184</v>
      </c>
      <c r="R90" s="50" t="s">
        <v>150</v>
      </c>
      <c r="S90" s="51"/>
      <c r="T90" s="46"/>
      <c r="U90" s="46"/>
      <c r="V90" s="46"/>
      <c r="W90" s="46"/>
      <c r="X90" s="46"/>
      <c r="Y90" s="46"/>
      <c r="Z90" s="46"/>
      <c r="AA90" s="46"/>
      <c r="AB90" s="46"/>
      <c r="AC90" s="46"/>
      <c r="AD90" s="46"/>
      <c r="AE90" s="46"/>
    </row>
    <row r="91" ht="15.75" customHeight="1">
      <c r="A91" s="40" t="str">
        <f t="shared" si="5"/>
        <v/>
      </c>
      <c r="B91" s="40" t="str">
        <f t="shared" si="6"/>
        <v/>
      </c>
      <c r="C91" s="24"/>
      <c r="D91" s="23"/>
      <c r="E91" s="51"/>
      <c r="F91" s="51"/>
      <c r="G91" s="24"/>
      <c r="H91" s="40"/>
      <c r="I91" s="40" t="str">
        <f t="array" ref="I91">IF(G91="","",IFERROR(INDEX('Người sử dụng'!$H$5:$H$140,MATCH(G91,'Người sử dụng'!$C$5:$C$140,0)),"Chưa có trong DS"))</f>
        <v/>
      </c>
      <c r="J91" s="24"/>
      <c r="K91" s="24"/>
      <c r="L91" s="23"/>
      <c r="M91" s="24"/>
      <c r="N91" s="24"/>
      <c r="O91" s="24"/>
      <c r="P91" s="26"/>
      <c r="Q91" s="51"/>
      <c r="R91" s="46"/>
      <c r="S91" s="51"/>
      <c r="T91" s="46"/>
      <c r="U91" s="46"/>
      <c r="V91" s="46"/>
      <c r="W91" s="46"/>
      <c r="X91" s="46"/>
      <c r="Y91" s="46"/>
      <c r="Z91" s="46"/>
      <c r="AA91" s="46"/>
      <c r="AB91" s="46"/>
      <c r="AC91" s="46"/>
      <c r="AD91" s="46"/>
      <c r="AE91" s="46"/>
    </row>
    <row r="92" ht="15.75" customHeight="1">
      <c r="A92" s="40" t="str">
        <f t="shared" si="5"/>
        <v/>
      </c>
      <c r="B92" s="40" t="str">
        <f t="shared" si="6"/>
        <v/>
      </c>
      <c r="C92" s="24"/>
      <c r="D92" s="23"/>
      <c r="E92" s="51"/>
      <c r="F92" s="51"/>
      <c r="G92" s="24"/>
      <c r="H92" s="40"/>
      <c r="I92" s="40" t="str">
        <f t="array" ref="I92">IF(G92="","",IFERROR(INDEX('Người sử dụng'!$H$5:$H$140,MATCH(G92,'Người sử dụng'!$C$5:$C$140,0)),"Chưa có trong DS"))</f>
        <v/>
      </c>
      <c r="J92" s="24"/>
      <c r="K92" s="24"/>
      <c r="L92" s="23"/>
      <c r="M92" s="24"/>
      <c r="N92" s="24"/>
      <c r="O92" s="24"/>
      <c r="P92" s="26"/>
      <c r="Q92" s="51"/>
      <c r="R92" s="46"/>
      <c r="S92" s="51"/>
      <c r="T92" s="46"/>
      <c r="U92" s="46"/>
      <c r="V92" s="46"/>
      <c r="W92" s="46"/>
      <c r="X92" s="46"/>
      <c r="Y92" s="46"/>
      <c r="Z92" s="46"/>
      <c r="AA92" s="46"/>
      <c r="AB92" s="46"/>
      <c r="AC92" s="46"/>
      <c r="AD92" s="46"/>
      <c r="AE92" s="46"/>
    </row>
    <row r="93" ht="15.75" customHeight="1">
      <c r="A93" s="40">
        <f t="shared" si="5"/>
        <v>88</v>
      </c>
      <c r="B93" s="40" t="str">
        <f t="shared" si="6"/>
        <v>ADS-088</v>
      </c>
      <c r="C93" s="19" t="s">
        <v>101</v>
      </c>
      <c r="D93" s="41" t="s">
        <v>408</v>
      </c>
      <c r="E93" s="42" t="s">
        <v>409</v>
      </c>
      <c r="F93" s="45" t="s">
        <v>410</v>
      </c>
      <c r="G93" s="19" t="s">
        <v>170</v>
      </c>
      <c r="H93" s="40" t="s">
        <v>169</v>
      </c>
      <c r="I93" s="40" t="str">
        <f t="array" ref="I93">IF(G93="","",IFERROR(INDEX('Người sử dụng'!$H$5:$H$140,MATCH(G93,'Người sử dụng'!$C$5:$C$140,0)),"Chưa có trong DS"))</f>
        <v>Đang làm</v>
      </c>
      <c r="J93" s="19" t="s">
        <v>89</v>
      </c>
      <c r="K93" s="24"/>
      <c r="L93" s="23"/>
      <c r="M93" s="24"/>
      <c r="N93" s="24"/>
      <c r="O93" s="19" t="s">
        <v>143</v>
      </c>
      <c r="P93" s="26"/>
      <c r="Q93" s="42" t="s">
        <v>184</v>
      </c>
      <c r="R93" s="50" t="s">
        <v>150</v>
      </c>
      <c r="S93" s="51"/>
      <c r="T93" s="46"/>
      <c r="U93" s="46"/>
      <c r="V93" s="46"/>
      <c r="W93" s="46"/>
      <c r="X93" s="46"/>
      <c r="Y93" s="46"/>
      <c r="Z93" s="46"/>
      <c r="AA93" s="46"/>
      <c r="AB93" s="46"/>
      <c r="AC93" s="46"/>
      <c r="AD93" s="46"/>
      <c r="AE93" s="46"/>
    </row>
    <row r="94" ht="15.75" customHeight="1">
      <c r="A94" s="40">
        <f t="shared" si="5"/>
        <v>89</v>
      </c>
      <c r="B94" s="40" t="str">
        <f t="shared" si="6"/>
        <v>ADS-089</v>
      </c>
      <c r="C94" s="19" t="s">
        <v>84</v>
      </c>
      <c r="D94" s="41" t="s">
        <v>411</v>
      </c>
      <c r="E94" s="42" t="s">
        <v>405</v>
      </c>
      <c r="F94" s="45" t="s">
        <v>412</v>
      </c>
      <c r="G94" s="19" t="s">
        <v>170</v>
      </c>
      <c r="H94" s="40" t="s">
        <v>169</v>
      </c>
      <c r="I94" s="40" t="str">
        <f t="array" ref="I94">IF(G94="","",IFERROR(INDEX('Người sử dụng'!$H$5:$H$140,MATCH(G94,'Người sử dụng'!$C$5:$C$140,0)),"Chưa có trong DS"))</f>
        <v>Đang làm</v>
      </c>
      <c r="J94" s="19" t="s">
        <v>89</v>
      </c>
      <c r="K94" s="24"/>
      <c r="L94" s="23"/>
      <c r="M94" s="24"/>
      <c r="N94" s="24"/>
      <c r="O94" s="19" t="s">
        <v>143</v>
      </c>
      <c r="P94" s="26"/>
      <c r="Q94" s="42" t="s">
        <v>184</v>
      </c>
      <c r="R94" s="50" t="s">
        <v>150</v>
      </c>
      <c r="S94" s="51"/>
      <c r="T94" s="46"/>
      <c r="U94" s="46"/>
      <c r="V94" s="46"/>
      <c r="W94" s="46"/>
      <c r="X94" s="46"/>
      <c r="Y94" s="46"/>
      <c r="Z94" s="46"/>
      <c r="AA94" s="46"/>
      <c r="AB94" s="46"/>
      <c r="AC94" s="46"/>
      <c r="AD94" s="46"/>
      <c r="AE94" s="46"/>
    </row>
    <row r="95" ht="15.75" customHeight="1">
      <c r="A95" s="40">
        <f t="shared" si="5"/>
        <v>90</v>
      </c>
      <c r="B95" s="40" t="str">
        <f t="shared" si="6"/>
        <v>ADS-090</v>
      </c>
      <c r="C95" s="19" t="s">
        <v>84</v>
      </c>
      <c r="D95" s="41" t="s">
        <v>413</v>
      </c>
      <c r="E95" s="42" t="s">
        <v>405</v>
      </c>
      <c r="F95" s="45" t="s">
        <v>414</v>
      </c>
      <c r="G95" s="19" t="s">
        <v>170</v>
      </c>
      <c r="H95" s="40" t="s">
        <v>169</v>
      </c>
      <c r="I95" s="40" t="str">
        <f t="array" ref="I95">IF(G95="","",IFERROR(INDEX('Người sử dụng'!$H$5:$H$140,MATCH(G95,'Người sử dụng'!$C$5:$C$140,0)),"Chưa có trong DS"))</f>
        <v>Đang làm</v>
      </c>
      <c r="J95" s="19" t="s">
        <v>89</v>
      </c>
      <c r="K95" s="24"/>
      <c r="L95" s="23"/>
      <c r="M95" s="24"/>
      <c r="N95" s="24"/>
      <c r="O95" s="19" t="s">
        <v>143</v>
      </c>
      <c r="P95" s="26"/>
      <c r="Q95" s="42" t="s">
        <v>184</v>
      </c>
      <c r="R95" s="50" t="s">
        <v>150</v>
      </c>
      <c r="S95" s="51"/>
      <c r="T95" s="46"/>
      <c r="U95" s="46"/>
      <c r="V95" s="46"/>
      <c r="W95" s="46"/>
      <c r="X95" s="46"/>
      <c r="Y95" s="46"/>
      <c r="Z95" s="46"/>
      <c r="AA95" s="46"/>
      <c r="AB95" s="46"/>
      <c r="AC95" s="46"/>
      <c r="AD95" s="46"/>
      <c r="AE95" s="46"/>
    </row>
    <row r="96" ht="15.75" customHeight="1">
      <c r="A96" s="40">
        <f t="shared" si="5"/>
        <v>91</v>
      </c>
      <c r="B96" s="40" t="str">
        <f t="shared" si="6"/>
        <v>ADS-091</v>
      </c>
      <c r="C96" s="19" t="s">
        <v>84</v>
      </c>
      <c r="D96" s="41" t="s">
        <v>415</v>
      </c>
      <c r="E96" s="42" t="s">
        <v>405</v>
      </c>
      <c r="F96" s="45" t="s">
        <v>416</v>
      </c>
      <c r="G96" s="19" t="s">
        <v>170</v>
      </c>
      <c r="H96" s="40" t="s">
        <v>169</v>
      </c>
      <c r="I96" s="40" t="str">
        <f t="array" ref="I96">IF(G96="","",IFERROR(INDEX('Người sử dụng'!$H$5:$H$140,MATCH(G96,'Người sử dụng'!$C$5:$C$140,0)),"Chưa có trong DS"))</f>
        <v>Đang làm</v>
      </c>
      <c r="J96" s="19" t="s">
        <v>89</v>
      </c>
      <c r="K96" s="24"/>
      <c r="L96" s="23"/>
      <c r="M96" s="24"/>
      <c r="N96" s="24"/>
      <c r="O96" s="19" t="s">
        <v>143</v>
      </c>
      <c r="P96" s="26"/>
      <c r="Q96" s="42" t="s">
        <v>184</v>
      </c>
      <c r="R96" s="50" t="s">
        <v>150</v>
      </c>
      <c r="S96" s="51"/>
      <c r="T96" s="46"/>
      <c r="U96" s="46"/>
      <c r="V96" s="46"/>
      <c r="W96" s="46"/>
      <c r="X96" s="46"/>
      <c r="Y96" s="46"/>
      <c r="Z96" s="46"/>
      <c r="AA96" s="46"/>
      <c r="AB96" s="46"/>
      <c r="AC96" s="46"/>
      <c r="AD96" s="46"/>
      <c r="AE96" s="46"/>
    </row>
    <row r="97" ht="15.75" customHeight="1">
      <c r="A97" s="40" t="str">
        <f t="shared" si="5"/>
        <v/>
      </c>
      <c r="B97" s="40" t="str">
        <f t="shared" si="6"/>
        <v/>
      </c>
      <c r="C97" s="24"/>
      <c r="D97" s="23"/>
      <c r="E97" s="51"/>
      <c r="F97" s="51"/>
      <c r="G97" s="24"/>
      <c r="H97" s="40"/>
      <c r="I97" s="40" t="str">
        <f t="array" ref="I97">IF(G97="","",IFERROR(INDEX('Người sử dụng'!$H$5:$H$140,MATCH(G97,'Người sử dụng'!$C$5:$C$140,0)),"Chưa có trong DS"))</f>
        <v/>
      </c>
      <c r="J97" s="24"/>
      <c r="K97" s="24"/>
      <c r="L97" s="23"/>
      <c r="M97" s="24"/>
      <c r="N97" s="24"/>
      <c r="O97" s="24"/>
      <c r="P97" s="26"/>
      <c r="Q97" s="51"/>
      <c r="R97" s="46"/>
      <c r="S97" s="51"/>
      <c r="T97" s="46"/>
      <c r="U97" s="46"/>
      <c r="V97" s="46"/>
      <c r="W97" s="46"/>
      <c r="X97" s="46"/>
      <c r="Y97" s="46"/>
      <c r="Z97" s="46"/>
      <c r="AA97" s="46"/>
      <c r="AB97" s="46"/>
      <c r="AC97" s="46"/>
      <c r="AD97" s="46"/>
      <c r="AE97" s="46"/>
    </row>
    <row r="98" ht="15.75" customHeight="1">
      <c r="A98" s="40">
        <f t="shared" si="5"/>
        <v>93</v>
      </c>
      <c r="B98" s="40" t="str">
        <f t="shared" si="6"/>
        <v>ADS-093</v>
      </c>
      <c r="C98" s="19" t="s">
        <v>84</v>
      </c>
      <c r="D98" s="23"/>
      <c r="E98" s="42" t="s">
        <v>405</v>
      </c>
      <c r="F98" s="59" t="s">
        <v>417</v>
      </c>
      <c r="G98" s="19" t="s">
        <v>174</v>
      </c>
      <c r="H98" s="40" t="s">
        <v>173</v>
      </c>
      <c r="I98" s="40" t="str">
        <f t="array" ref="I98">IF(G98="","",IFERROR(INDEX('Người sử dụng'!$H$5:$H$140,MATCH(G98,'Người sử dụng'!$C$5:$C$140,0)),"Chưa có trong DS"))</f>
        <v>Đang làm</v>
      </c>
      <c r="J98" s="19" t="s">
        <v>89</v>
      </c>
      <c r="K98" s="24"/>
      <c r="L98" s="23"/>
      <c r="M98" s="24"/>
      <c r="N98" s="19" t="s">
        <v>418</v>
      </c>
      <c r="O98" s="19" t="s">
        <v>92</v>
      </c>
      <c r="P98" s="26"/>
      <c r="Q98" s="42" t="s">
        <v>184</v>
      </c>
      <c r="R98" s="46"/>
      <c r="S98" s="51"/>
      <c r="T98" s="46"/>
      <c r="U98" s="46"/>
      <c r="V98" s="46"/>
      <c r="W98" s="46"/>
      <c r="X98" s="46"/>
      <c r="Y98" s="46"/>
      <c r="Z98" s="46"/>
      <c r="AA98" s="46"/>
      <c r="AB98" s="46"/>
      <c r="AC98" s="46"/>
      <c r="AD98" s="46"/>
      <c r="AE98" s="46"/>
    </row>
    <row r="99" ht="15.75" customHeight="1">
      <c r="A99" s="40">
        <f t="shared" si="5"/>
        <v>94</v>
      </c>
      <c r="B99" s="40" t="str">
        <f t="shared" si="6"/>
        <v>ADS-094</v>
      </c>
      <c r="C99" s="19" t="s">
        <v>84</v>
      </c>
      <c r="D99" s="23"/>
      <c r="E99" s="42" t="s">
        <v>405</v>
      </c>
      <c r="F99" s="59" t="s">
        <v>419</v>
      </c>
      <c r="G99" s="19" t="s">
        <v>174</v>
      </c>
      <c r="H99" s="40" t="s">
        <v>173</v>
      </c>
      <c r="I99" s="40" t="str">
        <f t="array" ref="I99">IF(G99="","",IFERROR(INDEX('Người sử dụng'!$H$5:$H$140,MATCH(G99,'Người sử dụng'!$C$5:$C$140,0)),"Chưa có trong DS"))</f>
        <v>Đang làm</v>
      </c>
      <c r="J99" s="19" t="s">
        <v>89</v>
      </c>
      <c r="K99" s="24"/>
      <c r="L99" s="23"/>
      <c r="M99" s="24"/>
      <c r="N99" s="19" t="s">
        <v>418</v>
      </c>
      <c r="O99" s="19" t="s">
        <v>92</v>
      </c>
      <c r="P99" s="26"/>
      <c r="Q99" s="42" t="s">
        <v>184</v>
      </c>
      <c r="R99" s="46"/>
      <c r="S99" s="51"/>
      <c r="T99" s="46"/>
      <c r="U99" s="46"/>
      <c r="V99" s="46"/>
      <c r="W99" s="46"/>
      <c r="X99" s="46"/>
      <c r="Y99" s="46"/>
      <c r="Z99" s="46"/>
      <c r="AA99" s="46"/>
      <c r="AB99" s="46"/>
      <c r="AC99" s="46"/>
      <c r="AD99" s="46"/>
      <c r="AE99" s="46"/>
    </row>
    <row r="100" ht="15.75" customHeight="1">
      <c r="A100" s="40">
        <f t="shared" si="5"/>
        <v>95</v>
      </c>
      <c r="B100" s="40" t="str">
        <f t="shared" si="6"/>
        <v>ADS-095</v>
      </c>
      <c r="C100" s="19" t="s">
        <v>84</v>
      </c>
      <c r="D100" s="23"/>
      <c r="E100" s="42" t="s">
        <v>405</v>
      </c>
      <c r="F100" s="59" t="s">
        <v>420</v>
      </c>
      <c r="G100" s="19" t="s">
        <v>174</v>
      </c>
      <c r="H100" s="40" t="s">
        <v>173</v>
      </c>
      <c r="I100" s="40" t="str">
        <f t="array" ref="I100">IF(G100="","",IFERROR(INDEX('Người sử dụng'!$H$5:$H$140,MATCH(G100,'Người sử dụng'!$C$5:$C$140,0)),"Chưa có trong DS"))</f>
        <v>Đang làm</v>
      </c>
      <c r="J100" s="19" t="s">
        <v>89</v>
      </c>
      <c r="K100" s="24"/>
      <c r="L100" s="23"/>
      <c r="M100" s="24"/>
      <c r="N100" s="19" t="s">
        <v>418</v>
      </c>
      <c r="O100" s="19" t="s">
        <v>92</v>
      </c>
      <c r="P100" s="26"/>
      <c r="Q100" s="42" t="s">
        <v>184</v>
      </c>
      <c r="R100" s="46"/>
      <c r="S100" s="51"/>
      <c r="T100" s="46"/>
      <c r="U100" s="46"/>
      <c r="V100" s="46"/>
      <c r="W100" s="46"/>
      <c r="X100" s="46"/>
      <c r="Y100" s="46"/>
      <c r="Z100" s="46"/>
      <c r="AA100" s="46"/>
      <c r="AB100" s="46"/>
      <c r="AC100" s="46"/>
      <c r="AD100" s="46"/>
      <c r="AE100" s="46"/>
    </row>
    <row r="101" ht="15.75" customHeight="1">
      <c r="A101" s="40">
        <f t="shared" si="5"/>
        <v>96</v>
      </c>
      <c r="B101" s="40" t="str">
        <f t="shared" si="6"/>
        <v>ADS-096</v>
      </c>
      <c r="C101" s="19" t="s">
        <v>84</v>
      </c>
      <c r="D101" s="23"/>
      <c r="E101" s="42" t="s">
        <v>405</v>
      </c>
      <c r="F101" s="59" t="s">
        <v>421</v>
      </c>
      <c r="G101" s="19" t="s">
        <v>174</v>
      </c>
      <c r="H101" s="40" t="s">
        <v>173</v>
      </c>
      <c r="I101" s="40" t="str">
        <f t="array" ref="I101">IF(G101="","",IFERROR(INDEX('Người sử dụng'!$H$5:$H$140,MATCH(G101,'Người sử dụng'!$C$5:$C$140,0)),"Chưa có trong DS"))</f>
        <v>Đang làm</v>
      </c>
      <c r="J101" s="19" t="s">
        <v>89</v>
      </c>
      <c r="K101" s="24"/>
      <c r="L101" s="23"/>
      <c r="M101" s="24"/>
      <c r="N101" s="19" t="s">
        <v>418</v>
      </c>
      <c r="O101" s="19" t="s">
        <v>92</v>
      </c>
      <c r="P101" s="26"/>
      <c r="Q101" s="42" t="s">
        <v>184</v>
      </c>
      <c r="R101" s="46"/>
      <c r="S101" s="51"/>
      <c r="T101" s="46"/>
      <c r="U101" s="46"/>
      <c r="V101" s="46"/>
      <c r="W101" s="46"/>
      <c r="X101" s="46"/>
      <c r="Y101" s="46"/>
      <c r="Z101" s="46"/>
      <c r="AA101" s="46"/>
      <c r="AB101" s="46"/>
      <c r="AC101" s="46"/>
      <c r="AD101" s="46"/>
      <c r="AE101" s="46"/>
    </row>
    <row r="102" ht="15.75" customHeight="1">
      <c r="A102" s="40">
        <f t="shared" si="5"/>
        <v>97</v>
      </c>
      <c r="B102" s="40" t="str">
        <f t="shared" si="6"/>
        <v>ADS-097</v>
      </c>
      <c r="C102" s="19" t="s">
        <v>84</v>
      </c>
      <c r="D102" s="60"/>
      <c r="E102" s="42" t="s">
        <v>405</v>
      </c>
      <c r="F102" s="53" t="s">
        <v>422</v>
      </c>
      <c r="G102" s="19" t="s">
        <v>174</v>
      </c>
      <c r="H102" s="40" t="s">
        <v>173</v>
      </c>
      <c r="I102" s="40" t="str">
        <f t="array" ref="I102">IF(G102="","",IFERROR(INDEX('Người sử dụng'!$H$5:$H$140,MATCH(G102,'Người sử dụng'!$C$5:$C$140,0)),"Chưa có trong DS"))</f>
        <v>Đang làm</v>
      </c>
      <c r="J102" s="19" t="s">
        <v>89</v>
      </c>
      <c r="K102" s="24"/>
      <c r="L102" s="23"/>
      <c r="M102" s="24"/>
      <c r="N102" s="19" t="s">
        <v>418</v>
      </c>
      <c r="O102" s="19" t="s">
        <v>92</v>
      </c>
      <c r="P102" s="26"/>
      <c r="Q102" s="42" t="s">
        <v>184</v>
      </c>
      <c r="R102" s="46"/>
      <c r="S102" s="51"/>
      <c r="T102" s="46"/>
      <c r="U102" s="46"/>
      <c r="V102" s="46"/>
      <c r="W102" s="46"/>
      <c r="X102" s="46"/>
      <c r="Y102" s="46"/>
      <c r="Z102" s="46"/>
      <c r="AA102" s="46"/>
      <c r="AB102" s="46"/>
      <c r="AC102" s="46"/>
      <c r="AD102" s="46"/>
      <c r="AE102" s="46"/>
    </row>
    <row r="103" ht="15.75" customHeight="1">
      <c r="A103" s="40">
        <f t="shared" si="5"/>
        <v>98</v>
      </c>
      <c r="B103" s="40" t="str">
        <f t="shared" si="6"/>
        <v>ADS-098</v>
      </c>
      <c r="C103" s="19" t="s">
        <v>84</v>
      </c>
      <c r="D103" s="23"/>
      <c r="E103" s="42" t="s">
        <v>405</v>
      </c>
      <c r="F103" s="45" t="s">
        <v>423</v>
      </c>
      <c r="G103" s="19" t="s">
        <v>174</v>
      </c>
      <c r="H103" s="40" t="s">
        <v>173</v>
      </c>
      <c r="I103" s="40" t="str">
        <f t="array" ref="I103">IF(G103="","",IFERROR(INDEX('Người sử dụng'!$H$5:$H$140,MATCH(G103,'Người sử dụng'!$C$5:$C$140,0)),"Chưa có trong DS"))</f>
        <v>Đang làm</v>
      </c>
      <c r="J103" s="19" t="s">
        <v>89</v>
      </c>
      <c r="K103" s="24"/>
      <c r="L103" s="23"/>
      <c r="M103" s="24"/>
      <c r="N103" s="19" t="s">
        <v>418</v>
      </c>
      <c r="O103" s="19" t="s">
        <v>92</v>
      </c>
      <c r="P103" s="26"/>
      <c r="Q103" s="42" t="s">
        <v>184</v>
      </c>
      <c r="R103" s="46"/>
      <c r="S103" s="51"/>
      <c r="T103" s="46"/>
      <c r="U103" s="46"/>
      <c r="V103" s="46"/>
      <c r="W103" s="46"/>
      <c r="X103" s="46"/>
      <c r="Y103" s="46"/>
      <c r="Z103" s="46"/>
      <c r="AA103" s="46"/>
      <c r="AB103" s="46"/>
      <c r="AC103" s="46"/>
      <c r="AD103" s="46"/>
      <c r="AE103" s="46"/>
    </row>
    <row r="104" ht="15.75" customHeight="1">
      <c r="A104" s="40">
        <f t="shared" si="5"/>
        <v>99</v>
      </c>
      <c r="B104" s="40" t="str">
        <f t="shared" si="6"/>
        <v>ADS-099</v>
      </c>
      <c r="C104" s="19" t="s">
        <v>101</v>
      </c>
      <c r="D104" s="41" t="s">
        <v>424</v>
      </c>
      <c r="E104" s="42" t="s">
        <v>409</v>
      </c>
      <c r="F104" s="53" t="s">
        <v>425</v>
      </c>
      <c r="G104" s="19" t="s">
        <v>174</v>
      </c>
      <c r="H104" s="40" t="s">
        <v>173</v>
      </c>
      <c r="I104" s="40" t="str">
        <f t="array" ref="I104">IF(G104="","",IFERROR(INDEX('Người sử dụng'!$H$5:$H$140,MATCH(G104,'Người sử dụng'!$C$5:$C$140,0)),"Chưa có trong DS"))</f>
        <v>Đang làm</v>
      </c>
      <c r="J104" s="19" t="s">
        <v>89</v>
      </c>
      <c r="K104" s="24"/>
      <c r="L104" s="23"/>
      <c r="M104" s="19" t="s">
        <v>91</v>
      </c>
      <c r="N104" s="19" t="s">
        <v>418</v>
      </c>
      <c r="O104" s="19" t="s">
        <v>143</v>
      </c>
      <c r="P104" s="26"/>
      <c r="Q104" s="42" t="s">
        <v>184</v>
      </c>
      <c r="R104" s="46"/>
      <c r="S104" s="51"/>
      <c r="T104" s="46"/>
      <c r="U104" s="46"/>
      <c r="V104" s="46"/>
      <c r="W104" s="46"/>
      <c r="X104" s="46"/>
      <c r="Y104" s="46"/>
      <c r="Z104" s="46"/>
      <c r="AA104" s="46"/>
      <c r="AB104" s="46"/>
      <c r="AC104" s="46"/>
      <c r="AD104" s="46"/>
      <c r="AE104" s="46"/>
    </row>
    <row r="105" ht="15.75" customHeight="1">
      <c r="A105" s="40">
        <f t="shared" si="5"/>
        <v>100</v>
      </c>
      <c r="B105" s="40" t="str">
        <f t="shared" si="6"/>
        <v>ADS-100</v>
      </c>
      <c r="C105" s="19" t="s">
        <v>104</v>
      </c>
      <c r="D105" s="41" t="s">
        <v>426</v>
      </c>
      <c r="E105" s="42" t="s">
        <v>427</v>
      </c>
      <c r="F105" s="51"/>
      <c r="G105" s="19" t="s">
        <v>174</v>
      </c>
      <c r="H105" s="40" t="s">
        <v>173</v>
      </c>
      <c r="I105" s="40" t="str">
        <f t="array" ref="I105">IF(G105="","",IFERROR(INDEX('Người sử dụng'!$H$5:$H$140,MATCH(G105,'Người sử dụng'!$C$5:$C$140,0)),"Chưa có trong DS"))</f>
        <v>Đang làm</v>
      </c>
      <c r="J105" s="19" t="s">
        <v>428</v>
      </c>
      <c r="K105" s="24"/>
      <c r="L105" s="23"/>
      <c r="M105" s="24"/>
      <c r="N105" s="24"/>
      <c r="O105" s="19" t="s">
        <v>143</v>
      </c>
      <c r="P105" s="26"/>
      <c r="Q105" s="42" t="s">
        <v>184</v>
      </c>
      <c r="R105" s="46"/>
      <c r="S105" s="51"/>
      <c r="T105" s="46"/>
      <c r="U105" s="46"/>
      <c r="V105" s="46"/>
      <c r="W105" s="46"/>
      <c r="X105" s="46"/>
      <c r="Y105" s="46"/>
      <c r="Z105" s="46"/>
      <c r="AA105" s="46"/>
      <c r="AB105" s="46"/>
      <c r="AC105" s="46"/>
      <c r="AD105" s="46"/>
      <c r="AE105" s="46"/>
    </row>
    <row r="106" ht="15.75" customHeight="1">
      <c r="A106" s="40"/>
      <c r="B106" s="40"/>
      <c r="C106" s="19" t="s">
        <v>104</v>
      </c>
      <c r="D106" s="41" t="s">
        <v>429</v>
      </c>
      <c r="E106" s="42" t="s">
        <v>427</v>
      </c>
      <c r="F106" s="51"/>
      <c r="G106" s="19" t="s">
        <v>174</v>
      </c>
      <c r="H106" s="40" t="s">
        <v>173</v>
      </c>
      <c r="I106" s="40"/>
      <c r="J106" s="19" t="s">
        <v>428</v>
      </c>
      <c r="K106" s="24"/>
      <c r="L106" s="23"/>
      <c r="M106" s="24"/>
      <c r="N106" s="24"/>
      <c r="O106" s="19" t="s">
        <v>143</v>
      </c>
      <c r="P106" s="26"/>
      <c r="Q106" s="42" t="s">
        <v>184</v>
      </c>
      <c r="R106" s="46"/>
      <c r="S106" s="51"/>
      <c r="T106" s="46"/>
      <c r="U106" s="46"/>
      <c r="V106" s="46"/>
      <c r="W106" s="46"/>
      <c r="X106" s="46"/>
      <c r="Y106" s="46"/>
      <c r="Z106" s="46"/>
      <c r="AA106" s="46"/>
      <c r="AB106" s="46"/>
      <c r="AC106" s="46"/>
      <c r="AD106" s="46"/>
      <c r="AE106" s="46"/>
    </row>
    <row r="107" ht="15.75" customHeight="1">
      <c r="A107" s="40">
        <f>IF(C107="","",ROW()-5)</f>
        <v>102</v>
      </c>
      <c r="B107" s="40" t="str">
        <f>IF(C107="","","ADS-"&amp;TEXT(ROW()-5,"000"))</f>
        <v>ADS-102</v>
      </c>
      <c r="C107" s="19" t="s">
        <v>104</v>
      </c>
      <c r="D107" s="41" t="s">
        <v>431</v>
      </c>
      <c r="E107" s="42" t="s">
        <v>427</v>
      </c>
      <c r="F107" s="51"/>
      <c r="G107" s="19" t="s">
        <v>174</v>
      </c>
      <c r="H107" s="40" t="s">
        <v>173</v>
      </c>
      <c r="I107" s="40" t="str">
        <f t="array" ref="I107">IF(G107="","",IFERROR(INDEX('Người sử dụng'!$H$5:$H$140,MATCH(G107,'Người sử dụng'!$C$5:$C$140,0)),"Chưa có trong DS"))</f>
        <v>Đang làm</v>
      </c>
      <c r="J107" s="19" t="s">
        <v>428</v>
      </c>
      <c r="K107" s="24"/>
      <c r="L107" s="23"/>
      <c r="M107" s="24"/>
      <c r="N107" s="24"/>
      <c r="O107" s="19" t="s">
        <v>143</v>
      </c>
      <c r="P107" s="26"/>
      <c r="Q107" s="42" t="s">
        <v>184</v>
      </c>
      <c r="R107" s="46"/>
      <c r="S107" s="51"/>
      <c r="T107" s="46"/>
      <c r="U107" s="46"/>
      <c r="V107" s="46"/>
      <c r="W107" s="46"/>
      <c r="X107" s="46"/>
      <c r="Y107" s="46"/>
      <c r="Z107" s="46"/>
      <c r="AA107" s="46"/>
      <c r="AB107" s="46"/>
      <c r="AC107" s="46"/>
      <c r="AD107" s="46"/>
      <c r="AE107" s="46"/>
    </row>
    <row r="108" ht="15.75" customHeight="1">
      <c r="A108" s="40"/>
      <c r="B108" s="40"/>
      <c r="C108" s="19" t="s">
        <v>104</v>
      </c>
      <c r="D108" s="63" t="s">
        <v>432</v>
      </c>
      <c r="E108" s="42" t="s">
        <v>427</v>
      </c>
      <c r="F108" s="51"/>
      <c r="G108" s="19" t="s">
        <v>174</v>
      </c>
      <c r="H108" s="40" t="s">
        <v>173</v>
      </c>
      <c r="I108" s="40"/>
      <c r="J108" s="19" t="s">
        <v>428</v>
      </c>
      <c r="K108" s="24"/>
      <c r="L108" s="23"/>
      <c r="M108" s="24"/>
      <c r="N108" s="24"/>
      <c r="O108" s="19" t="s">
        <v>143</v>
      </c>
      <c r="P108" s="26"/>
      <c r="Q108" s="42" t="s">
        <v>184</v>
      </c>
      <c r="R108" s="46"/>
      <c r="S108" s="51"/>
      <c r="T108" s="46"/>
      <c r="U108" s="46"/>
      <c r="V108" s="46"/>
      <c r="W108" s="46"/>
      <c r="X108" s="46"/>
      <c r="Y108" s="46"/>
      <c r="Z108" s="46"/>
      <c r="AA108" s="46"/>
      <c r="AB108" s="46"/>
      <c r="AC108" s="46"/>
      <c r="AD108" s="46"/>
      <c r="AE108" s="46"/>
    </row>
    <row r="109" ht="15.75" customHeight="1">
      <c r="A109" s="40"/>
      <c r="B109" s="40"/>
      <c r="C109" s="19" t="s">
        <v>104</v>
      </c>
      <c r="D109" s="63" t="s">
        <v>433</v>
      </c>
      <c r="E109" s="42" t="s">
        <v>427</v>
      </c>
      <c r="F109" s="51"/>
      <c r="G109" s="19" t="s">
        <v>174</v>
      </c>
      <c r="H109" s="40" t="s">
        <v>173</v>
      </c>
      <c r="I109" s="40"/>
      <c r="J109" s="19" t="s">
        <v>428</v>
      </c>
      <c r="K109" s="24"/>
      <c r="L109" s="23"/>
      <c r="M109" s="24"/>
      <c r="N109" s="24"/>
      <c r="O109" s="19" t="s">
        <v>143</v>
      </c>
      <c r="P109" s="26"/>
      <c r="Q109" s="42" t="s">
        <v>184</v>
      </c>
      <c r="R109" s="46"/>
      <c r="S109" s="51"/>
      <c r="T109" s="46"/>
      <c r="U109" s="46"/>
      <c r="V109" s="46"/>
      <c r="W109" s="46"/>
      <c r="X109" s="46"/>
      <c r="Y109" s="46"/>
      <c r="Z109" s="46"/>
      <c r="AA109" s="46"/>
      <c r="AB109" s="46"/>
      <c r="AC109" s="46"/>
      <c r="AD109" s="46"/>
      <c r="AE109" s="46"/>
    </row>
    <row r="110" ht="15.75" customHeight="1">
      <c r="A110" s="40"/>
      <c r="B110" s="40"/>
      <c r="C110" s="19" t="s">
        <v>104</v>
      </c>
      <c r="D110" s="63" t="s">
        <v>437</v>
      </c>
      <c r="E110" s="42" t="s">
        <v>427</v>
      </c>
      <c r="F110" s="51"/>
      <c r="G110" s="19" t="s">
        <v>174</v>
      </c>
      <c r="H110" s="40" t="s">
        <v>173</v>
      </c>
      <c r="I110" s="40"/>
      <c r="J110" s="19" t="s">
        <v>428</v>
      </c>
      <c r="K110" s="24"/>
      <c r="L110" s="23"/>
      <c r="M110" s="24"/>
      <c r="N110" s="24"/>
      <c r="O110" s="19" t="s">
        <v>143</v>
      </c>
      <c r="P110" s="26"/>
      <c r="Q110" s="42" t="s">
        <v>184</v>
      </c>
      <c r="R110" s="46"/>
      <c r="S110" s="51"/>
      <c r="T110" s="46"/>
      <c r="U110" s="46"/>
      <c r="V110" s="46"/>
      <c r="W110" s="46"/>
      <c r="X110" s="46"/>
      <c r="Y110" s="46"/>
      <c r="Z110" s="46"/>
      <c r="AA110" s="46"/>
      <c r="AB110" s="46"/>
      <c r="AC110" s="46"/>
      <c r="AD110" s="46"/>
      <c r="AE110" s="46"/>
    </row>
    <row r="111" ht="15.75" customHeight="1">
      <c r="A111" s="40"/>
      <c r="B111" s="40"/>
      <c r="C111" s="19" t="s">
        <v>104</v>
      </c>
      <c r="D111" s="63" t="s">
        <v>438</v>
      </c>
      <c r="E111" s="42" t="s">
        <v>427</v>
      </c>
      <c r="F111" s="51"/>
      <c r="G111" s="19" t="s">
        <v>174</v>
      </c>
      <c r="H111" s="40" t="s">
        <v>173</v>
      </c>
      <c r="I111" s="40"/>
      <c r="J111" s="19" t="s">
        <v>428</v>
      </c>
      <c r="K111" s="24"/>
      <c r="L111" s="23"/>
      <c r="M111" s="24"/>
      <c r="N111" s="24"/>
      <c r="O111" s="19" t="s">
        <v>143</v>
      </c>
      <c r="P111" s="26"/>
      <c r="Q111" s="42" t="s">
        <v>184</v>
      </c>
      <c r="R111" s="46"/>
      <c r="S111" s="51"/>
      <c r="T111" s="46"/>
      <c r="U111" s="46"/>
      <c r="V111" s="46"/>
      <c r="W111" s="46"/>
      <c r="X111" s="46"/>
      <c r="Y111" s="46"/>
      <c r="Z111" s="46"/>
      <c r="AA111" s="46"/>
      <c r="AB111" s="46"/>
      <c r="AC111" s="46"/>
      <c r="AD111" s="46"/>
      <c r="AE111" s="46"/>
    </row>
    <row r="112" ht="15.75" customHeight="1">
      <c r="A112" s="40"/>
      <c r="B112" s="40"/>
      <c r="C112" s="19" t="s">
        <v>104</v>
      </c>
      <c r="D112" s="63" t="s">
        <v>439</v>
      </c>
      <c r="E112" s="42" t="s">
        <v>427</v>
      </c>
      <c r="F112" s="51"/>
      <c r="G112" s="19" t="s">
        <v>174</v>
      </c>
      <c r="H112" s="40" t="s">
        <v>173</v>
      </c>
      <c r="I112" s="40"/>
      <c r="J112" s="19" t="s">
        <v>428</v>
      </c>
      <c r="K112" s="24"/>
      <c r="L112" s="23"/>
      <c r="M112" s="24"/>
      <c r="N112" s="24"/>
      <c r="O112" s="19" t="s">
        <v>143</v>
      </c>
      <c r="P112" s="26"/>
      <c r="Q112" s="42" t="s">
        <v>184</v>
      </c>
      <c r="R112" s="46"/>
      <c r="S112" s="51"/>
      <c r="T112" s="46"/>
      <c r="U112" s="46"/>
      <c r="V112" s="46"/>
      <c r="W112" s="46"/>
      <c r="X112" s="46"/>
      <c r="Y112" s="46"/>
      <c r="Z112" s="46"/>
      <c r="AA112" s="46"/>
      <c r="AB112" s="46"/>
      <c r="AC112" s="46"/>
      <c r="AD112" s="46"/>
      <c r="AE112" s="46"/>
    </row>
    <row r="113" ht="15.75" customHeight="1">
      <c r="A113" s="40"/>
      <c r="B113" s="40"/>
      <c r="C113" s="19" t="s">
        <v>104</v>
      </c>
      <c r="D113" s="63" t="s">
        <v>440</v>
      </c>
      <c r="E113" s="42" t="s">
        <v>427</v>
      </c>
      <c r="F113" s="51"/>
      <c r="G113" s="19" t="s">
        <v>174</v>
      </c>
      <c r="H113" s="40" t="s">
        <v>173</v>
      </c>
      <c r="I113" s="40"/>
      <c r="J113" s="19" t="s">
        <v>428</v>
      </c>
      <c r="K113" s="24"/>
      <c r="L113" s="23"/>
      <c r="M113" s="24"/>
      <c r="N113" s="24"/>
      <c r="O113" s="19" t="s">
        <v>143</v>
      </c>
      <c r="P113" s="26"/>
      <c r="Q113" s="42" t="s">
        <v>184</v>
      </c>
      <c r="R113" s="46"/>
      <c r="S113" s="51"/>
      <c r="T113" s="46"/>
      <c r="U113" s="46"/>
      <c r="V113" s="46"/>
      <c r="W113" s="46"/>
      <c r="X113" s="46"/>
      <c r="Y113" s="46"/>
      <c r="Z113" s="46"/>
      <c r="AA113" s="46"/>
      <c r="AB113" s="46"/>
      <c r="AC113" s="46"/>
      <c r="AD113" s="46"/>
      <c r="AE113" s="46"/>
    </row>
    <row r="114" ht="15.75" customHeight="1">
      <c r="A114" s="40"/>
      <c r="B114" s="40"/>
      <c r="C114" s="19" t="s">
        <v>104</v>
      </c>
      <c r="D114" s="63" t="s">
        <v>442</v>
      </c>
      <c r="E114" s="42" t="s">
        <v>427</v>
      </c>
      <c r="F114" s="51"/>
      <c r="G114" s="19" t="s">
        <v>174</v>
      </c>
      <c r="H114" s="40" t="s">
        <v>173</v>
      </c>
      <c r="I114" s="40"/>
      <c r="J114" s="19" t="s">
        <v>428</v>
      </c>
      <c r="K114" s="24"/>
      <c r="L114" s="23"/>
      <c r="M114" s="24"/>
      <c r="N114" s="24"/>
      <c r="O114" s="19" t="s">
        <v>143</v>
      </c>
      <c r="P114" s="26"/>
      <c r="Q114" s="42" t="s">
        <v>184</v>
      </c>
      <c r="R114" s="46"/>
      <c r="S114" s="51"/>
      <c r="T114" s="46"/>
      <c r="U114" s="46"/>
      <c r="V114" s="46"/>
      <c r="W114" s="46"/>
      <c r="X114" s="46"/>
      <c r="Y114" s="46"/>
      <c r="Z114" s="46"/>
      <c r="AA114" s="46"/>
      <c r="AB114" s="46"/>
      <c r="AC114" s="46"/>
      <c r="AD114" s="46"/>
      <c r="AE114" s="46"/>
    </row>
    <row r="115" ht="15.75" customHeight="1">
      <c r="A115" s="40"/>
      <c r="B115" s="40"/>
      <c r="C115" s="19" t="s">
        <v>104</v>
      </c>
      <c r="D115" s="63" t="s">
        <v>446</v>
      </c>
      <c r="E115" s="42" t="s">
        <v>427</v>
      </c>
      <c r="F115" s="51"/>
      <c r="G115" s="19" t="s">
        <v>174</v>
      </c>
      <c r="H115" s="40" t="s">
        <v>173</v>
      </c>
      <c r="I115" s="40"/>
      <c r="J115" s="19" t="s">
        <v>428</v>
      </c>
      <c r="K115" s="24"/>
      <c r="L115" s="23"/>
      <c r="M115" s="24"/>
      <c r="N115" s="24"/>
      <c r="O115" s="19" t="s">
        <v>143</v>
      </c>
      <c r="P115" s="26"/>
      <c r="Q115" s="42" t="s">
        <v>184</v>
      </c>
      <c r="R115" s="46"/>
      <c r="S115" s="51"/>
      <c r="T115" s="46"/>
      <c r="U115" s="46"/>
      <c r="V115" s="46"/>
      <c r="W115" s="46"/>
      <c r="X115" s="46"/>
      <c r="Y115" s="46"/>
      <c r="Z115" s="46"/>
      <c r="AA115" s="46"/>
      <c r="AB115" s="46"/>
      <c r="AC115" s="46"/>
      <c r="AD115" s="46"/>
      <c r="AE115" s="46"/>
    </row>
    <row r="116" ht="15.75" customHeight="1">
      <c r="A116" s="40"/>
      <c r="B116" s="40"/>
      <c r="C116" s="19" t="s">
        <v>104</v>
      </c>
      <c r="D116" s="63" t="s">
        <v>450</v>
      </c>
      <c r="E116" s="42" t="s">
        <v>427</v>
      </c>
      <c r="F116" s="51"/>
      <c r="G116" s="19" t="s">
        <v>174</v>
      </c>
      <c r="H116" s="40" t="s">
        <v>173</v>
      </c>
      <c r="I116" s="40"/>
      <c r="J116" s="19" t="s">
        <v>428</v>
      </c>
      <c r="K116" s="24"/>
      <c r="L116" s="23"/>
      <c r="M116" s="24"/>
      <c r="N116" s="24"/>
      <c r="O116" s="19" t="s">
        <v>143</v>
      </c>
      <c r="P116" s="26"/>
      <c r="Q116" s="42" t="s">
        <v>184</v>
      </c>
      <c r="R116" s="46"/>
      <c r="S116" s="51"/>
      <c r="T116" s="46"/>
      <c r="U116" s="46"/>
      <c r="V116" s="46"/>
      <c r="W116" s="46"/>
      <c r="X116" s="46"/>
      <c r="Y116" s="46"/>
      <c r="Z116" s="46"/>
      <c r="AA116" s="46"/>
      <c r="AB116" s="46"/>
      <c r="AC116" s="46"/>
      <c r="AD116" s="46"/>
      <c r="AE116" s="46"/>
    </row>
    <row r="117" ht="15.75" customHeight="1">
      <c r="A117" s="40"/>
      <c r="B117" s="40"/>
      <c r="C117" s="19" t="s">
        <v>104</v>
      </c>
      <c r="D117" s="63" t="s">
        <v>454</v>
      </c>
      <c r="E117" s="42" t="s">
        <v>427</v>
      </c>
      <c r="F117" s="51"/>
      <c r="G117" s="19" t="s">
        <v>174</v>
      </c>
      <c r="H117" s="40" t="s">
        <v>173</v>
      </c>
      <c r="I117" s="40"/>
      <c r="J117" s="19" t="s">
        <v>428</v>
      </c>
      <c r="K117" s="24"/>
      <c r="L117" s="23"/>
      <c r="M117" s="24"/>
      <c r="N117" s="24"/>
      <c r="O117" s="19" t="s">
        <v>143</v>
      </c>
      <c r="P117" s="26"/>
      <c r="Q117" s="42" t="s">
        <v>184</v>
      </c>
      <c r="R117" s="46"/>
      <c r="S117" s="51"/>
      <c r="T117" s="46"/>
      <c r="U117" s="46"/>
      <c r="V117" s="46"/>
      <c r="W117" s="46"/>
      <c r="X117" s="46"/>
      <c r="Y117" s="46"/>
      <c r="Z117" s="46"/>
      <c r="AA117" s="46"/>
      <c r="AB117" s="46"/>
      <c r="AC117" s="46"/>
      <c r="AD117" s="46"/>
      <c r="AE117" s="46"/>
    </row>
    <row r="118" ht="15.75" customHeight="1">
      <c r="A118" s="40"/>
      <c r="B118" s="40"/>
      <c r="C118" s="19" t="s">
        <v>104</v>
      </c>
      <c r="D118" s="63" t="s">
        <v>458</v>
      </c>
      <c r="E118" s="42" t="s">
        <v>427</v>
      </c>
      <c r="F118" s="51"/>
      <c r="G118" s="19" t="s">
        <v>174</v>
      </c>
      <c r="H118" s="40" t="s">
        <v>173</v>
      </c>
      <c r="I118" s="40"/>
      <c r="J118" s="19" t="s">
        <v>428</v>
      </c>
      <c r="K118" s="24"/>
      <c r="L118" s="23"/>
      <c r="M118" s="24"/>
      <c r="N118" s="24"/>
      <c r="O118" s="19" t="s">
        <v>143</v>
      </c>
      <c r="P118" s="26"/>
      <c r="Q118" s="42" t="s">
        <v>184</v>
      </c>
      <c r="R118" s="46"/>
      <c r="S118" s="51"/>
      <c r="T118" s="46"/>
      <c r="U118" s="46"/>
      <c r="V118" s="46"/>
      <c r="W118" s="46"/>
      <c r="X118" s="46"/>
      <c r="Y118" s="46"/>
      <c r="Z118" s="46"/>
      <c r="AA118" s="46"/>
      <c r="AB118" s="46"/>
      <c r="AC118" s="46"/>
      <c r="AD118" s="46"/>
      <c r="AE118" s="46"/>
    </row>
    <row r="119" ht="15.75" customHeight="1">
      <c r="A119" s="40"/>
      <c r="B119" s="40"/>
      <c r="C119" s="19" t="s">
        <v>104</v>
      </c>
      <c r="D119" s="63" t="s">
        <v>459</v>
      </c>
      <c r="E119" s="42" t="s">
        <v>427</v>
      </c>
      <c r="F119" s="51"/>
      <c r="G119" s="19" t="s">
        <v>174</v>
      </c>
      <c r="H119" s="40" t="s">
        <v>173</v>
      </c>
      <c r="I119" s="40"/>
      <c r="J119" s="19" t="s">
        <v>428</v>
      </c>
      <c r="K119" s="24"/>
      <c r="L119" s="23"/>
      <c r="M119" s="24"/>
      <c r="N119" s="24"/>
      <c r="O119" s="19" t="s">
        <v>143</v>
      </c>
      <c r="P119" s="26"/>
      <c r="Q119" s="42" t="s">
        <v>184</v>
      </c>
      <c r="R119" s="46"/>
      <c r="S119" s="51"/>
      <c r="T119" s="46"/>
      <c r="U119" s="46"/>
      <c r="V119" s="46"/>
      <c r="W119" s="46"/>
      <c r="X119" s="46"/>
      <c r="Y119" s="46"/>
      <c r="Z119" s="46"/>
      <c r="AA119" s="46"/>
      <c r="AB119" s="46"/>
      <c r="AC119" s="46"/>
      <c r="AD119" s="46"/>
      <c r="AE119" s="46"/>
    </row>
    <row r="120" ht="15.75" customHeight="1">
      <c r="A120" s="40"/>
      <c r="B120" s="40"/>
      <c r="C120" s="19" t="s">
        <v>104</v>
      </c>
      <c r="D120" s="63" t="s">
        <v>463</v>
      </c>
      <c r="E120" s="42" t="s">
        <v>427</v>
      </c>
      <c r="F120" s="51"/>
      <c r="G120" s="19" t="s">
        <v>174</v>
      </c>
      <c r="H120" s="40" t="s">
        <v>173</v>
      </c>
      <c r="I120" s="40"/>
      <c r="J120" s="19" t="s">
        <v>428</v>
      </c>
      <c r="K120" s="24"/>
      <c r="L120" s="23"/>
      <c r="M120" s="24"/>
      <c r="N120" s="24"/>
      <c r="O120" s="19" t="s">
        <v>143</v>
      </c>
      <c r="P120" s="26"/>
      <c r="Q120" s="42" t="s">
        <v>184</v>
      </c>
      <c r="R120" s="46"/>
      <c r="S120" s="51"/>
      <c r="T120" s="46"/>
      <c r="U120" s="46"/>
      <c r="V120" s="46"/>
      <c r="W120" s="46"/>
      <c r="X120" s="46"/>
      <c r="Y120" s="46"/>
      <c r="Z120" s="46"/>
      <c r="AA120" s="46"/>
      <c r="AB120" s="46"/>
      <c r="AC120" s="46"/>
      <c r="AD120" s="46"/>
      <c r="AE120" s="46"/>
    </row>
    <row r="121" ht="15.75" customHeight="1">
      <c r="A121" s="40"/>
      <c r="B121" s="40"/>
      <c r="C121" s="19" t="s">
        <v>104</v>
      </c>
      <c r="D121" s="63" t="s">
        <v>466</v>
      </c>
      <c r="E121" s="42" t="s">
        <v>427</v>
      </c>
      <c r="F121" s="51"/>
      <c r="G121" s="19" t="s">
        <v>174</v>
      </c>
      <c r="H121" s="40" t="s">
        <v>173</v>
      </c>
      <c r="I121" s="40"/>
      <c r="J121" s="19" t="s">
        <v>428</v>
      </c>
      <c r="K121" s="24"/>
      <c r="L121" s="23"/>
      <c r="M121" s="24"/>
      <c r="N121" s="24"/>
      <c r="O121" s="19" t="s">
        <v>143</v>
      </c>
      <c r="P121" s="26"/>
      <c r="Q121" s="42" t="s">
        <v>184</v>
      </c>
      <c r="R121" s="46"/>
      <c r="S121" s="51"/>
      <c r="T121" s="46"/>
      <c r="U121" s="46"/>
      <c r="V121" s="46"/>
      <c r="W121" s="46"/>
      <c r="X121" s="46"/>
      <c r="Y121" s="46"/>
      <c r="Z121" s="46"/>
      <c r="AA121" s="46"/>
      <c r="AB121" s="46"/>
      <c r="AC121" s="46"/>
      <c r="AD121" s="46"/>
      <c r="AE121" s="46"/>
    </row>
    <row r="122" ht="15.75" customHeight="1">
      <c r="A122" s="40"/>
      <c r="B122" s="40"/>
      <c r="C122" s="19" t="s">
        <v>104</v>
      </c>
      <c r="D122" s="63" t="s">
        <v>468</v>
      </c>
      <c r="E122" s="42" t="s">
        <v>427</v>
      </c>
      <c r="F122" s="51"/>
      <c r="G122" s="19" t="s">
        <v>174</v>
      </c>
      <c r="H122" s="40" t="s">
        <v>173</v>
      </c>
      <c r="I122" s="40"/>
      <c r="J122" s="19" t="s">
        <v>428</v>
      </c>
      <c r="K122" s="24"/>
      <c r="L122" s="23"/>
      <c r="M122" s="24"/>
      <c r="N122" s="24"/>
      <c r="O122" s="19" t="s">
        <v>143</v>
      </c>
      <c r="P122" s="26"/>
      <c r="Q122" s="42" t="s">
        <v>184</v>
      </c>
      <c r="R122" s="46"/>
      <c r="S122" s="51"/>
      <c r="T122" s="46"/>
      <c r="U122" s="46"/>
      <c r="V122" s="46"/>
      <c r="W122" s="46"/>
      <c r="X122" s="46"/>
      <c r="Y122" s="46"/>
      <c r="Z122" s="46"/>
      <c r="AA122" s="46"/>
      <c r="AB122" s="46"/>
      <c r="AC122" s="46"/>
      <c r="AD122" s="46"/>
      <c r="AE122" s="46"/>
    </row>
    <row r="123" ht="15.75" customHeight="1">
      <c r="A123" s="40"/>
      <c r="B123" s="40"/>
      <c r="C123" s="19" t="s">
        <v>104</v>
      </c>
      <c r="D123" s="63" t="s">
        <v>474</v>
      </c>
      <c r="E123" s="42" t="s">
        <v>427</v>
      </c>
      <c r="F123" s="51"/>
      <c r="G123" s="19" t="s">
        <v>174</v>
      </c>
      <c r="H123" s="40" t="s">
        <v>173</v>
      </c>
      <c r="I123" s="40"/>
      <c r="J123" s="19" t="s">
        <v>428</v>
      </c>
      <c r="K123" s="24"/>
      <c r="L123" s="23"/>
      <c r="M123" s="24"/>
      <c r="N123" s="24"/>
      <c r="O123" s="19" t="s">
        <v>143</v>
      </c>
      <c r="P123" s="26"/>
      <c r="Q123" s="42" t="s">
        <v>184</v>
      </c>
      <c r="R123" s="46"/>
      <c r="S123" s="51"/>
      <c r="T123" s="46"/>
      <c r="U123" s="46"/>
      <c r="V123" s="46"/>
      <c r="W123" s="46"/>
      <c r="X123" s="46"/>
      <c r="Y123" s="46"/>
      <c r="Z123" s="46"/>
      <c r="AA123" s="46"/>
      <c r="AB123" s="46"/>
      <c r="AC123" s="46"/>
      <c r="AD123" s="46"/>
      <c r="AE123" s="46"/>
    </row>
    <row r="124" ht="15.75" customHeight="1">
      <c r="A124" s="40"/>
      <c r="B124" s="40"/>
      <c r="C124" s="19" t="s">
        <v>104</v>
      </c>
      <c r="D124" s="63" t="s">
        <v>476</v>
      </c>
      <c r="E124" s="42" t="s">
        <v>427</v>
      </c>
      <c r="F124" s="51"/>
      <c r="G124" s="19" t="s">
        <v>174</v>
      </c>
      <c r="H124" s="40" t="s">
        <v>173</v>
      </c>
      <c r="I124" s="40"/>
      <c r="J124" s="19" t="s">
        <v>428</v>
      </c>
      <c r="K124" s="24"/>
      <c r="L124" s="23"/>
      <c r="M124" s="24"/>
      <c r="N124" s="24"/>
      <c r="O124" s="19" t="s">
        <v>143</v>
      </c>
      <c r="P124" s="26"/>
      <c r="Q124" s="42" t="s">
        <v>184</v>
      </c>
      <c r="R124" s="46"/>
      <c r="S124" s="51"/>
      <c r="T124" s="46"/>
      <c r="U124" s="46"/>
      <c r="V124" s="46"/>
      <c r="W124" s="46"/>
      <c r="X124" s="46"/>
      <c r="Y124" s="46"/>
      <c r="Z124" s="46"/>
      <c r="AA124" s="46"/>
      <c r="AB124" s="46"/>
      <c r="AC124" s="46"/>
      <c r="AD124" s="46"/>
      <c r="AE124" s="46"/>
    </row>
    <row r="125" ht="15.75" customHeight="1">
      <c r="A125" s="40"/>
      <c r="B125" s="40"/>
      <c r="C125" s="19" t="s">
        <v>104</v>
      </c>
      <c r="D125" s="63" t="s">
        <v>480</v>
      </c>
      <c r="E125" s="42" t="s">
        <v>427</v>
      </c>
      <c r="F125" s="51"/>
      <c r="G125" s="19" t="s">
        <v>174</v>
      </c>
      <c r="H125" s="40" t="s">
        <v>173</v>
      </c>
      <c r="I125" s="40"/>
      <c r="J125" s="19" t="s">
        <v>428</v>
      </c>
      <c r="K125" s="24"/>
      <c r="L125" s="23"/>
      <c r="M125" s="24"/>
      <c r="N125" s="24"/>
      <c r="O125" s="19" t="s">
        <v>143</v>
      </c>
      <c r="P125" s="26"/>
      <c r="Q125" s="42" t="s">
        <v>184</v>
      </c>
      <c r="R125" s="46"/>
      <c r="S125" s="51"/>
      <c r="T125" s="46"/>
      <c r="U125" s="46"/>
      <c r="V125" s="46"/>
      <c r="W125" s="46"/>
      <c r="X125" s="46"/>
      <c r="Y125" s="46"/>
      <c r="Z125" s="46"/>
      <c r="AA125" s="46"/>
      <c r="AB125" s="46"/>
      <c r="AC125" s="46"/>
      <c r="AD125" s="46"/>
      <c r="AE125" s="46"/>
    </row>
    <row r="126" ht="15.75" customHeight="1">
      <c r="A126" s="40"/>
      <c r="B126" s="40"/>
      <c r="C126" s="19" t="s">
        <v>104</v>
      </c>
      <c r="D126" s="63" t="s">
        <v>481</v>
      </c>
      <c r="E126" s="42" t="s">
        <v>427</v>
      </c>
      <c r="F126" s="51"/>
      <c r="G126" s="19" t="s">
        <v>174</v>
      </c>
      <c r="H126" s="40" t="s">
        <v>173</v>
      </c>
      <c r="I126" s="40"/>
      <c r="J126" s="19" t="s">
        <v>428</v>
      </c>
      <c r="K126" s="24"/>
      <c r="L126" s="23"/>
      <c r="M126" s="24"/>
      <c r="N126" s="24"/>
      <c r="O126" s="19" t="s">
        <v>143</v>
      </c>
      <c r="P126" s="26"/>
      <c r="Q126" s="42" t="s">
        <v>184</v>
      </c>
      <c r="R126" s="46"/>
      <c r="S126" s="51"/>
      <c r="T126" s="46"/>
      <c r="U126" s="46"/>
      <c r="V126" s="46"/>
      <c r="W126" s="46"/>
      <c r="X126" s="46"/>
      <c r="Y126" s="46"/>
      <c r="Z126" s="46"/>
      <c r="AA126" s="46"/>
      <c r="AB126" s="46"/>
      <c r="AC126" s="46"/>
      <c r="AD126" s="46"/>
      <c r="AE126" s="46"/>
    </row>
    <row r="127" ht="15.75" customHeight="1">
      <c r="A127" s="40"/>
      <c r="B127" s="40"/>
      <c r="C127" s="19" t="s">
        <v>103</v>
      </c>
      <c r="D127" s="63" t="s">
        <v>483</v>
      </c>
      <c r="E127" s="42" t="s">
        <v>484</v>
      </c>
      <c r="F127" s="51"/>
      <c r="G127" s="19" t="s">
        <v>174</v>
      </c>
      <c r="H127" s="40" t="s">
        <v>173</v>
      </c>
      <c r="I127" s="40"/>
      <c r="J127" s="19" t="s">
        <v>485</v>
      </c>
      <c r="K127" s="24"/>
      <c r="L127" s="23"/>
      <c r="M127" s="24"/>
      <c r="N127" s="19" t="s">
        <v>418</v>
      </c>
      <c r="O127" s="19" t="s">
        <v>92</v>
      </c>
      <c r="P127" s="26"/>
      <c r="Q127" s="42" t="s">
        <v>184</v>
      </c>
      <c r="R127" s="46"/>
      <c r="S127" s="51"/>
      <c r="T127" s="46"/>
      <c r="U127" s="46"/>
      <c r="V127" s="46"/>
      <c r="W127" s="46"/>
      <c r="X127" s="46"/>
      <c r="Y127" s="46"/>
      <c r="Z127" s="46"/>
      <c r="AA127" s="46"/>
      <c r="AB127" s="46"/>
      <c r="AC127" s="46"/>
      <c r="AD127" s="46"/>
      <c r="AE127" s="46"/>
    </row>
    <row r="128" ht="15.75" customHeight="1">
      <c r="A128" s="40"/>
      <c r="B128" s="40"/>
      <c r="C128" s="24"/>
      <c r="D128" s="67"/>
      <c r="E128" s="51"/>
      <c r="F128" s="51"/>
      <c r="G128" s="24"/>
      <c r="H128" s="40"/>
      <c r="I128" s="40"/>
      <c r="J128" s="24"/>
      <c r="K128" s="24"/>
      <c r="L128" s="23"/>
      <c r="M128" s="24"/>
      <c r="N128" s="24"/>
      <c r="O128" s="24"/>
      <c r="P128" s="26"/>
      <c r="Q128" s="51"/>
      <c r="R128" s="46"/>
      <c r="S128" s="51"/>
      <c r="T128" s="46"/>
      <c r="U128" s="46"/>
      <c r="V128" s="46"/>
      <c r="W128" s="46"/>
      <c r="X128" s="46"/>
      <c r="Y128" s="46"/>
      <c r="Z128" s="46"/>
      <c r="AA128" s="46"/>
      <c r="AB128" s="46"/>
      <c r="AC128" s="46"/>
      <c r="AD128" s="46"/>
      <c r="AE128" s="46"/>
    </row>
    <row r="129" ht="15.75" customHeight="1">
      <c r="A129" s="40"/>
      <c r="B129" s="40"/>
      <c r="C129" s="24"/>
      <c r="D129" s="67"/>
      <c r="E129" s="51"/>
      <c r="F129" s="51"/>
      <c r="G129" s="24"/>
      <c r="H129" s="40"/>
      <c r="I129" s="40"/>
      <c r="J129" s="24"/>
      <c r="K129" s="24"/>
      <c r="L129" s="23"/>
      <c r="M129" s="24"/>
      <c r="N129" s="24"/>
      <c r="O129" s="24"/>
      <c r="P129" s="26"/>
      <c r="Q129" s="51"/>
      <c r="R129" s="46"/>
      <c r="S129" s="51"/>
      <c r="T129" s="46"/>
      <c r="U129" s="46"/>
      <c r="V129" s="46"/>
      <c r="W129" s="46"/>
      <c r="X129" s="46"/>
      <c r="Y129" s="46"/>
      <c r="Z129" s="46"/>
      <c r="AA129" s="46"/>
      <c r="AB129" s="46"/>
      <c r="AC129" s="46"/>
      <c r="AD129" s="46"/>
      <c r="AE129" s="46"/>
    </row>
    <row r="130" ht="15.75" customHeight="1">
      <c r="A130" s="40"/>
      <c r="B130" s="40"/>
      <c r="C130" s="24"/>
      <c r="D130" s="67"/>
      <c r="E130" s="51"/>
      <c r="F130" s="51"/>
      <c r="G130" s="24"/>
      <c r="H130" s="40"/>
      <c r="I130" s="40"/>
      <c r="J130" s="24"/>
      <c r="K130" s="24"/>
      <c r="L130" s="23"/>
      <c r="M130" s="24"/>
      <c r="N130" s="24"/>
      <c r="O130" s="24"/>
      <c r="P130" s="26"/>
      <c r="Q130" s="51"/>
      <c r="R130" s="46"/>
      <c r="S130" s="51"/>
      <c r="T130" s="46"/>
      <c r="U130" s="46"/>
      <c r="V130" s="46"/>
      <c r="W130" s="46"/>
      <c r="X130" s="46"/>
      <c r="Y130" s="46"/>
      <c r="Z130" s="46"/>
      <c r="AA130" s="46"/>
      <c r="AB130" s="46"/>
      <c r="AC130" s="46"/>
      <c r="AD130" s="46"/>
      <c r="AE130" s="46"/>
    </row>
    <row r="131" ht="15.75" customHeight="1">
      <c r="A131" s="40"/>
      <c r="B131" s="40"/>
      <c r="C131" s="24"/>
      <c r="D131" s="67"/>
      <c r="E131" s="51"/>
      <c r="F131" s="51"/>
      <c r="G131" s="24"/>
      <c r="H131" s="40"/>
      <c r="I131" s="40"/>
      <c r="J131" s="24"/>
      <c r="K131" s="24"/>
      <c r="L131" s="23"/>
      <c r="M131" s="24"/>
      <c r="N131" s="24"/>
      <c r="O131" s="24"/>
      <c r="P131" s="26"/>
      <c r="Q131" s="51"/>
      <c r="R131" s="46"/>
      <c r="S131" s="51"/>
      <c r="T131" s="46"/>
      <c r="U131" s="46"/>
      <c r="V131" s="46"/>
      <c r="W131" s="46"/>
      <c r="X131" s="46"/>
      <c r="Y131" s="46"/>
      <c r="Z131" s="46"/>
      <c r="AA131" s="46"/>
      <c r="AB131" s="46"/>
      <c r="AC131" s="46"/>
      <c r="AD131" s="46"/>
      <c r="AE131" s="46"/>
    </row>
    <row r="132" ht="15.75" customHeight="1">
      <c r="A132" s="40"/>
      <c r="B132" s="40"/>
      <c r="C132" s="24"/>
      <c r="D132" s="67"/>
      <c r="E132" s="51"/>
      <c r="F132" s="51"/>
      <c r="G132" s="24"/>
      <c r="H132" s="40"/>
      <c r="I132" s="40"/>
      <c r="J132" s="24"/>
      <c r="K132" s="24"/>
      <c r="L132" s="23"/>
      <c r="M132" s="24"/>
      <c r="N132" s="24"/>
      <c r="O132" s="24"/>
      <c r="P132" s="26"/>
      <c r="Q132" s="51"/>
      <c r="R132" s="46"/>
      <c r="S132" s="51"/>
      <c r="T132" s="46"/>
      <c r="U132" s="46"/>
      <c r="V132" s="46"/>
      <c r="W132" s="46"/>
      <c r="X132" s="46"/>
      <c r="Y132" s="46"/>
      <c r="Z132" s="46"/>
      <c r="AA132" s="46"/>
      <c r="AB132" s="46"/>
      <c r="AC132" s="46"/>
      <c r="AD132" s="46"/>
      <c r="AE132" s="46"/>
    </row>
    <row r="133" ht="15.75" customHeight="1">
      <c r="A133" s="40"/>
      <c r="B133" s="40"/>
      <c r="C133" s="24"/>
      <c r="D133" s="67"/>
      <c r="E133" s="51"/>
      <c r="F133" s="51"/>
      <c r="G133" s="24"/>
      <c r="H133" s="40"/>
      <c r="I133" s="40"/>
      <c r="J133" s="24"/>
      <c r="K133" s="24"/>
      <c r="L133" s="23"/>
      <c r="M133" s="24"/>
      <c r="N133" s="24"/>
      <c r="O133" s="24"/>
      <c r="P133" s="26"/>
      <c r="Q133" s="51"/>
      <c r="R133" s="46"/>
      <c r="S133" s="51"/>
      <c r="T133" s="46"/>
      <c r="U133" s="46"/>
      <c r="V133" s="46"/>
      <c r="W133" s="46"/>
      <c r="X133" s="46"/>
      <c r="Y133" s="46"/>
      <c r="Z133" s="46"/>
      <c r="AA133" s="46"/>
      <c r="AB133" s="46"/>
      <c r="AC133" s="46"/>
      <c r="AD133" s="46"/>
      <c r="AE133" s="46"/>
    </row>
    <row r="134" ht="15.75" customHeight="1">
      <c r="A134" s="40">
        <f t="shared" ref="A134:A196" si="7">IF(C134="","",ROW()-5)</f>
        <v>129</v>
      </c>
      <c r="B134" s="40" t="str">
        <f t="shared" ref="B134:B196" si="8">IF(C134="","","ADS-"&amp;TEXT(ROW()-5,"000"))</f>
        <v>ADS-129</v>
      </c>
      <c r="C134" s="19" t="s">
        <v>104</v>
      </c>
      <c r="D134" s="68" t="s">
        <v>496</v>
      </c>
      <c r="E134" s="42" t="s">
        <v>104</v>
      </c>
      <c r="F134" s="51"/>
      <c r="G134" s="19" t="s">
        <v>170</v>
      </c>
      <c r="H134" s="40" t="s">
        <v>169</v>
      </c>
      <c r="I134" s="40" t="str">
        <f t="array" ref="I134">IF(G134="","",IFERROR(INDEX('Người sử dụng'!$H$5:$H$140,MATCH(G134,'Người sử dụng'!$C$5:$C$140,0)),"Chưa có trong DS"))</f>
        <v>Đang làm</v>
      </c>
      <c r="J134" s="19" t="s">
        <v>428</v>
      </c>
      <c r="K134" s="24"/>
      <c r="L134" s="23"/>
      <c r="M134" s="24"/>
      <c r="N134" s="24"/>
      <c r="O134" s="19" t="s">
        <v>143</v>
      </c>
      <c r="P134" s="26"/>
      <c r="Q134" s="42" t="s">
        <v>184</v>
      </c>
      <c r="R134" s="50" t="s">
        <v>150</v>
      </c>
      <c r="S134" s="51"/>
      <c r="T134" s="46"/>
      <c r="U134" s="46"/>
      <c r="V134" s="46"/>
      <c r="W134" s="46"/>
      <c r="X134" s="46"/>
      <c r="Y134" s="46"/>
      <c r="Z134" s="46"/>
      <c r="AA134" s="46"/>
      <c r="AB134" s="46"/>
      <c r="AC134" s="46"/>
      <c r="AD134" s="46"/>
      <c r="AE134" s="46"/>
    </row>
    <row r="135" ht="15.75" customHeight="1">
      <c r="A135" s="40">
        <f t="shared" si="7"/>
        <v>130</v>
      </c>
      <c r="B135" s="40" t="str">
        <f t="shared" si="8"/>
        <v>ADS-130</v>
      </c>
      <c r="C135" s="19" t="s">
        <v>104</v>
      </c>
      <c r="D135" s="68" t="s">
        <v>497</v>
      </c>
      <c r="E135" s="42" t="s">
        <v>104</v>
      </c>
      <c r="F135" s="51"/>
      <c r="G135" s="19" t="s">
        <v>170</v>
      </c>
      <c r="H135" s="40" t="s">
        <v>169</v>
      </c>
      <c r="I135" s="40" t="str">
        <f t="array" ref="I135">IF(G135="","",IFERROR(INDEX('Người sử dụng'!$H$5:$H$140,MATCH(G135,'Người sử dụng'!$C$5:$C$140,0)),"Chưa có trong DS"))</f>
        <v>Đang làm</v>
      </c>
      <c r="J135" s="19" t="s">
        <v>428</v>
      </c>
      <c r="K135" s="24"/>
      <c r="L135" s="23"/>
      <c r="M135" s="24"/>
      <c r="N135" s="24"/>
      <c r="O135" s="19" t="s">
        <v>143</v>
      </c>
      <c r="P135" s="26"/>
      <c r="Q135" s="42" t="s">
        <v>184</v>
      </c>
      <c r="R135" s="50" t="s">
        <v>150</v>
      </c>
      <c r="S135" s="51"/>
      <c r="T135" s="46"/>
      <c r="U135" s="46"/>
      <c r="V135" s="46"/>
      <c r="W135" s="46"/>
      <c r="X135" s="46"/>
      <c r="Y135" s="46"/>
      <c r="Z135" s="46"/>
      <c r="AA135" s="46"/>
      <c r="AB135" s="46"/>
      <c r="AC135" s="46"/>
      <c r="AD135" s="46"/>
      <c r="AE135" s="46"/>
    </row>
    <row r="136" ht="15.75" customHeight="1">
      <c r="A136" s="40">
        <f t="shared" si="7"/>
        <v>131</v>
      </c>
      <c r="B136" s="40" t="str">
        <f t="shared" si="8"/>
        <v>ADS-131</v>
      </c>
      <c r="C136" s="19" t="s">
        <v>104</v>
      </c>
      <c r="D136" s="68" t="s">
        <v>499</v>
      </c>
      <c r="E136" s="42" t="s">
        <v>104</v>
      </c>
      <c r="F136" s="51"/>
      <c r="G136" s="19" t="s">
        <v>170</v>
      </c>
      <c r="H136" s="40" t="s">
        <v>169</v>
      </c>
      <c r="I136" s="40" t="str">
        <f t="array" ref="I136">IF(G136="","",IFERROR(INDEX('Người sử dụng'!$H$5:$H$140,MATCH(G136,'Người sử dụng'!$C$5:$C$140,0)),"Chưa có trong DS"))</f>
        <v>Đang làm</v>
      </c>
      <c r="J136" s="19" t="s">
        <v>428</v>
      </c>
      <c r="K136" s="24"/>
      <c r="L136" s="23"/>
      <c r="M136" s="24"/>
      <c r="N136" s="24"/>
      <c r="O136" s="19" t="s">
        <v>143</v>
      </c>
      <c r="P136" s="26"/>
      <c r="Q136" s="42" t="s">
        <v>184</v>
      </c>
      <c r="R136" s="50" t="s">
        <v>150</v>
      </c>
      <c r="S136" s="51"/>
      <c r="T136" s="46"/>
      <c r="U136" s="46"/>
      <c r="V136" s="46"/>
      <c r="W136" s="46"/>
      <c r="X136" s="46"/>
      <c r="Y136" s="46"/>
      <c r="Z136" s="46"/>
      <c r="AA136" s="46"/>
      <c r="AB136" s="46"/>
      <c r="AC136" s="46"/>
      <c r="AD136" s="46"/>
      <c r="AE136" s="46"/>
    </row>
    <row r="137" ht="15.75" customHeight="1">
      <c r="A137" s="40">
        <f t="shared" si="7"/>
        <v>132</v>
      </c>
      <c r="B137" s="40" t="str">
        <f t="shared" si="8"/>
        <v>ADS-132</v>
      </c>
      <c r="C137" s="19" t="s">
        <v>104</v>
      </c>
      <c r="D137" s="68" t="s">
        <v>502</v>
      </c>
      <c r="E137" s="42" t="s">
        <v>104</v>
      </c>
      <c r="F137" s="51"/>
      <c r="G137" s="19" t="s">
        <v>170</v>
      </c>
      <c r="H137" s="40" t="s">
        <v>169</v>
      </c>
      <c r="I137" s="40" t="str">
        <f t="array" ref="I137">IF(G137="","",IFERROR(INDEX('Người sử dụng'!$H$5:$H$140,MATCH(G137,'Người sử dụng'!$C$5:$C$140,0)),"Chưa có trong DS"))</f>
        <v>Đang làm</v>
      </c>
      <c r="J137" s="19" t="s">
        <v>428</v>
      </c>
      <c r="K137" s="24"/>
      <c r="L137" s="23"/>
      <c r="M137" s="24"/>
      <c r="N137" s="24"/>
      <c r="O137" s="19" t="s">
        <v>143</v>
      </c>
      <c r="P137" s="26"/>
      <c r="Q137" s="42" t="s">
        <v>184</v>
      </c>
      <c r="R137" s="50" t="s">
        <v>150</v>
      </c>
      <c r="S137" s="51"/>
      <c r="T137" s="46"/>
      <c r="U137" s="46"/>
      <c r="V137" s="46"/>
      <c r="W137" s="46"/>
      <c r="X137" s="46"/>
      <c r="Y137" s="46"/>
      <c r="Z137" s="46"/>
      <c r="AA137" s="46"/>
      <c r="AB137" s="46"/>
      <c r="AC137" s="46"/>
      <c r="AD137" s="46"/>
      <c r="AE137" s="46"/>
    </row>
    <row r="138" ht="15.75" customHeight="1">
      <c r="A138" s="40">
        <f t="shared" si="7"/>
        <v>133</v>
      </c>
      <c r="B138" s="40" t="str">
        <f t="shared" si="8"/>
        <v>ADS-133</v>
      </c>
      <c r="C138" s="19" t="s">
        <v>104</v>
      </c>
      <c r="D138" s="68" t="s">
        <v>505</v>
      </c>
      <c r="E138" s="42" t="s">
        <v>104</v>
      </c>
      <c r="F138" s="51"/>
      <c r="G138" s="19" t="s">
        <v>170</v>
      </c>
      <c r="H138" s="40" t="s">
        <v>169</v>
      </c>
      <c r="I138" s="40" t="str">
        <f t="array" ref="I138">IF(G138="","",IFERROR(INDEX('Người sử dụng'!$H$5:$H$140,MATCH(G138,'Người sử dụng'!$C$5:$C$140,0)),"Chưa có trong DS"))</f>
        <v>Đang làm</v>
      </c>
      <c r="J138" s="19" t="s">
        <v>428</v>
      </c>
      <c r="K138" s="24"/>
      <c r="L138" s="23"/>
      <c r="M138" s="24"/>
      <c r="N138" s="24"/>
      <c r="O138" s="19" t="s">
        <v>143</v>
      </c>
      <c r="P138" s="26"/>
      <c r="Q138" s="42" t="s">
        <v>184</v>
      </c>
      <c r="R138" s="50" t="s">
        <v>150</v>
      </c>
      <c r="S138" s="51"/>
      <c r="T138" s="46"/>
      <c r="U138" s="46"/>
      <c r="V138" s="46"/>
      <c r="W138" s="46"/>
      <c r="X138" s="46"/>
      <c r="Y138" s="46"/>
      <c r="Z138" s="46"/>
      <c r="AA138" s="46"/>
      <c r="AB138" s="46"/>
      <c r="AC138" s="46"/>
      <c r="AD138" s="46"/>
      <c r="AE138" s="46"/>
    </row>
    <row r="139" ht="15.75" customHeight="1">
      <c r="A139" s="40">
        <f t="shared" si="7"/>
        <v>134</v>
      </c>
      <c r="B139" s="40" t="str">
        <f t="shared" si="8"/>
        <v>ADS-134</v>
      </c>
      <c r="C139" s="19" t="s">
        <v>104</v>
      </c>
      <c r="D139" s="68" t="s">
        <v>506</v>
      </c>
      <c r="E139" s="42" t="s">
        <v>104</v>
      </c>
      <c r="F139" s="51"/>
      <c r="G139" s="19" t="s">
        <v>170</v>
      </c>
      <c r="H139" s="40" t="s">
        <v>169</v>
      </c>
      <c r="I139" s="40" t="str">
        <f t="array" ref="I139">IF(G139="","",IFERROR(INDEX('Người sử dụng'!$H$5:$H$140,MATCH(G139,'Người sử dụng'!$C$5:$C$140,0)),"Chưa có trong DS"))</f>
        <v>Đang làm</v>
      </c>
      <c r="J139" s="19" t="s">
        <v>428</v>
      </c>
      <c r="K139" s="24"/>
      <c r="L139" s="23"/>
      <c r="M139" s="24"/>
      <c r="N139" s="24"/>
      <c r="O139" s="19" t="s">
        <v>143</v>
      </c>
      <c r="P139" s="26"/>
      <c r="Q139" s="42" t="s">
        <v>184</v>
      </c>
      <c r="R139" s="50" t="s">
        <v>150</v>
      </c>
      <c r="S139" s="51"/>
      <c r="T139" s="46"/>
      <c r="U139" s="46"/>
      <c r="V139" s="46"/>
      <c r="W139" s="46"/>
      <c r="X139" s="46"/>
      <c r="Y139" s="46"/>
      <c r="Z139" s="46"/>
      <c r="AA139" s="46"/>
      <c r="AB139" s="46"/>
      <c r="AC139" s="46"/>
      <c r="AD139" s="46"/>
      <c r="AE139" s="46"/>
    </row>
    <row r="140" ht="15.75" customHeight="1">
      <c r="A140" s="40">
        <f t="shared" si="7"/>
        <v>135</v>
      </c>
      <c r="B140" s="40" t="str">
        <f t="shared" si="8"/>
        <v>ADS-135</v>
      </c>
      <c r="C140" s="19" t="s">
        <v>104</v>
      </c>
      <c r="D140" s="68" t="s">
        <v>507</v>
      </c>
      <c r="E140" s="42" t="s">
        <v>104</v>
      </c>
      <c r="F140" s="51"/>
      <c r="G140" s="19" t="s">
        <v>170</v>
      </c>
      <c r="H140" s="40" t="s">
        <v>169</v>
      </c>
      <c r="I140" s="40" t="str">
        <f t="array" ref="I140">IF(G140="","",IFERROR(INDEX('Người sử dụng'!$H$5:$H$140,MATCH(G140,'Người sử dụng'!$C$5:$C$140,0)),"Chưa có trong DS"))</f>
        <v>Đang làm</v>
      </c>
      <c r="J140" s="19" t="s">
        <v>428</v>
      </c>
      <c r="K140" s="24"/>
      <c r="L140" s="23"/>
      <c r="M140" s="24"/>
      <c r="N140" s="24"/>
      <c r="O140" s="19" t="s">
        <v>143</v>
      </c>
      <c r="P140" s="26"/>
      <c r="Q140" s="42" t="s">
        <v>184</v>
      </c>
      <c r="R140" s="50" t="s">
        <v>150</v>
      </c>
      <c r="S140" s="51"/>
      <c r="T140" s="46"/>
      <c r="U140" s="46"/>
      <c r="V140" s="46"/>
      <c r="W140" s="46"/>
      <c r="X140" s="46"/>
      <c r="Y140" s="46"/>
      <c r="Z140" s="46"/>
      <c r="AA140" s="46"/>
      <c r="AB140" s="46"/>
      <c r="AC140" s="46"/>
      <c r="AD140" s="46"/>
      <c r="AE140" s="46"/>
    </row>
    <row r="141" ht="15.75" customHeight="1">
      <c r="A141" s="40">
        <f t="shared" si="7"/>
        <v>136</v>
      </c>
      <c r="B141" s="40" t="str">
        <f t="shared" si="8"/>
        <v>ADS-136</v>
      </c>
      <c r="C141" s="19" t="s">
        <v>104</v>
      </c>
      <c r="D141" s="68" t="s">
        <v>509</v>
      </c>
      <c r="E141" s="42" t="s">
        <v>104</v>
      </c>
      <c r="F141" s="51"/>
      <c r="G141" s="19" t="s">
        <v>170</v>
      </c>
      <c r="H141" s="40" t="s">
        <v>169</v>
      </c>
      <c r="I141" s="40" t="str">
        <f t="array" ref="I141">IF(G141="","",IFERROR(INDEX('Người sử dụng'!$H$5:$H$140,MATCH(G141,'Người sử dụng'!$C$5:$C$140,0)),"Chưa có trong DS"))</f>
        <v>Đang làm</v>
      </c>
      <c r="J141" s="19" t="s">
        <v>428</v>
      </c>
      <c r="K141" s="24"/>
      <c r="L141" s="23"/>
      <c r="M141" s="24"/>
      <c r="N141" s="24"/>
      <c r="O141" s="19" t="s">
        <v>143</v>
      </c>
      <c r="P141" s="26"/>
      <c r="Q141" s="42" t="s">
        <v>184</v>
      </c>
      <c r="R141" s="50" t="s">
        <v>150</v>
      </c>
      <c r="S141" s="51"/>
      <c r="T141" s="46"/>
      <c r="U141" s="46"/>
      <c r="V141" s="46"/>
      <c r="W141" s="46"/>
      <c r="X141" s="46"/>
      <c r="Y141" s="46"/>
      <c r="Z141" s="46"/>
      <c r="AA141" s="46"/>
      <c r="AB141" s="46"/>
      <c r="AC141" s="46"/>
      <c r="AD141" s="46"/>
      <c r="AE141" s="46"/>
    </row>
    <row r="142" ht="15.75" customHeight="1">
      <c r="A142" s="40">
        <f t="shared" si="7"/>
        <v>137</v>
      </c>
      <c r="B142" s="40" t="str">
        <f t="shared" si="8"/>
        <v>ADS-137</v>
      </c>
      <c r="C142" s="19" t="s">
        <v>104</v>
      </c>
      <c r="D142" s="68" t="s">
        <v>510</v>
      </c>
      <c r="E142" s="42" t="s">
        <v>104</v>
      </c>
      <c r="F142" s="51"/>
      <c r="G142" s="19" t="s">
        <v>170</v>
      </c>
      <c r="H142" s="40" t="s">
        <v>169</v>
      </c>
      <c r="I142" s="40" t="str">
        <f t="array" ref="I142">IF(G142="","",IFERROR(INDEX('Người sử dụng'!$H$5:$H$140,MATCH(G142,'Người sử dụng'!$C$5:$C$140,0)),"Chưa có trong DS"))</f>
        <v>Đang làm</v>
      </c>
      <c r="J142" s="19" t="s">
        <v>428</v>
      </c>
      <c r="K142" s="24"/>
      <c r="L142" s="23"/>
      <c r="M142" s="24"/>
      <c r="N142" s="24"/>
      <c r="O142" s="19" t="s">
        <v>143</v>
      </c>
      <c r="P142" s="26"/>
      <c r="Q142" s="42" t="s">
        <v>184</v>
      </c>
      <c r="R142" s="50" t="s">
        <v>150</v>
      </c>
      <c r="S142" s="51"/>
      <c r="T142" s="46"/>
      <c r="U142" s="46"/>
      <c r="V142" s="46"/>
      <c r="W142" s="46"/>
      <c r="X142" s="46"/>
      <c r="Y142" s="46"/>
      <c r="Z142" s="46"/>
      <c r="AA142" s="46"/>
      <c r="AB142" s="46"/>
      <c r="AC142" s="46"/>
      <c r="AD142" s="46"/>
      <c r="AE142" s="46"/>
    </row>
    <row r="143" ht="15.75" customHeight="1">
      <c r="A143" s="40">
        <f t="shared" si="7"/>
        <v>138</v>
      </c>
      <c r="B143" s="40" t="str">
        <f t="shared" si="8"/>
        <v>ADS-138</v>
      </c>
      <c r="C143" s="19" t="s">
        <v>104</v>
      </c>
      <c r="D143" s="70" t="s">
        <v>514</v>
      </c>
      <c r="E143" s="42" t="s">
        <v>104</v>
      </c>
      <c r="F143" s="51"/>
      <c r="G143" s="19" t="s">
        <v>170</v>
      </c>
      <c r="H143" s="40" t="s">
        <v>169</v>
      </c>
      <c r="I143" s="40" t="str">
        <f t="array" ref="I143">IF(G143="","",IFERROR(INDEX('Người sử dụng'!$H$5:$H$140,MATCH(G143,'Người sử dụng'!$C$5:$C$140,0)),"Chưa có trong DS"))</f>
        <v>Đang làm</v>
      </c>
      <c r="J143" s="19" t="s">
        <v>428</v>
      </c>
      <c r="K143" s="24"/>
      <c r="L143" s="23"/>
      <c r="M143" s="24"/>
      <c r="N143" s="24"/>
      <c r="O143" s="19" t="s">
        <v>143</v>
      </c>
      <c r="P143" s="26"/>
      <c r="Q143" s="42" t="s">
        <v>184</v>
      </c>
      <c r="R143" s="50" t="s">
        <v>150</v>
      </c>
      <c r="S143" s="51"/>
      <c r="T143" s="46"/>
      <c r="U143" s="46"/>
      <c r="V143" s="46"/>
      <c r="W143" s="46"/>
      <c r="X143" s="46"/>
      <c r="Y143" s="46"/>
      <c r="Z143" s="46"/>
      <c r="AA143" s="46"/>
      <c r="AB143" s="46"/>
      <c r="AC143" s="46"/>
      <c r="AD143" s="46"/>
      <c r="AE143" s="46"/>
    </row>
    <row r="144" ht="15.75" customHeight="1">
      <c r="A144" s="40">
        <f t="shared" si="7"/>
        <v>139</v>
      </c>
      <c r="B144" s="40" t="str">
        <f t="shared" si="8"/>
        <v>ADS-139</v>
      </c>
      <c r="C144" s="19" t="s">
        <v>104</v>
      </c>
      <c r="D144" s="70" t="s">
        <v>515</v>
      </c>
      <c r="E144" s="42" t="s">
        <v>104</v>
      </c>
      <c r="F144" s="51"/>
      <c r="G144" s="19" t="s">
        <v>170</v>
      </c>
      <c r="H144" s="40" t="s">
        <v>169</v>
      </c>
      <c r="I144" s="40" t="str">
        <f t="array" ref="I144">IF(G144="","",IFERROR(INDEX('Người sử dụng'!$H$5:$H$140,MATCH(G144,'Người sử dụng'!$C$5:$C$140,0)),"Chưa có trong DS"))</f>
        <v>Đang làm</v>
      </c>
      <c r="J144" s="19" t="s">
        <v>428</v>
      </c>
      <c r="K144" s="24"/>
      <c r="L144" s="23"/>
      <c r="M144" s="24"/>
      <c r="N144" s="24"/>
      <c r="O144" s="19" t="s">
        <v>143</v>
      </c>
      <c r="P144" s="26"/>
      <c r="Q144" s="42" t="s">
        <v>184</v>
      </c>
      <c r="R144" s="50" t="s">
        <v>150</v>
      </c>
      <c r="S144" s="51"/>
      <c r="T144" s="46"/>
      <c r="U144" s="46"/>
      <c r="V144" s="46"/>
      <c r="W144" s="46"/>
      <c r="X144" s="46"/>
      <c r="Y144" s="46"/>
      <c r="Z144" s="46"/>
      <c r="AA144" s="46"/>
      <c r="AB144" s="46"/>
      <c r="AC144" s="46"/>
      <c r="AD144" s="46"/>
      <c r="AE144" s="46"/>
    </row>
    <row r="145" ht="15.75" customHeight="1">
      <c r="A145" s="40">
        <f t="shared" si="7"/>
        <v>140</v>
      </c>
      <c r="B145" s="40" t="str">
        <f t="shared" si="8"/>
        <v>ADS-140</v>
      </c>
      <c r="C145" s="19" t="s">
        <v>104</v>
      </c>
      <c r="D145" s="70" t="s">
        <v>516</v>
      </c>
      <c r="E145" s="42" t="s">
        <v>104</v>
      </c>
      <c r="F145" s="51"/>
      <c r="G145" s="19" t="s">
        <v>170</v>
      </c>
      <c r="H145" s="40" t="s">
        <v>169</v>
      </c>
      <c r="I145" s="40" t="str">
        <f t="array" ref="I145">IF(G145="","",IFERROR(INDEX('Người sử dụng'!$H$5:$H$140,MATCH(G145,'Người sử dụng'!$C$5:$C$140,0)),"Chưa có trong DS"))</f>
        <v>Đang làm</v>
      </c>
      <c r="J145" s="19" t="s">
        <v>428</v>
      </c>
      <c r="K145" s="24"/>
      <c r="L145" s="23"/>
      <c r="M145" s="24"/>
      <c r="N145" s="24"/>
      <c r="O145" s="19" t="s">
        <v>143</v>
      </c>
      <c r="P145" s="26"/>
      <c r="Q145" s="42" t="s">
        <v>184</v>
      </c>
      <c r="R145" s="50" t="s">
        <v>150</v>
      </c>
      <c r="S145" s="51"/>
      <c r="T145" s="46"/>
      <c r="U145" s="46"/>
      <c r="V145" s="46"/>
      <c r="W145" s="46"/>
      <c r="X145" s="46"/>
      <c r="Y145" s="46"/>
      <c r="Z145" s="46"/>
      <c r="AA145" s="46"/>
      <c r="AB145" s="46"/>
      <c r="AC145" s="46"/>
      <c r="AD145" s="46"/>
      <c r="AE145" s="46"/>
    </row>
    <row r="146" ht="15.75" customHeight="1">
      <c r="A146" s="40">
        <f t="shared" si="7"/>
        <v>141</v>
      </c>
      <c r="B146" s="40" t="str">
        <f t="shared" si="8"/>
        <v>ADS-141</v>
      </c>
      <c r="C146" s="19" t="s">
        <v>104</v>
      </c>
      <c r="D146" s="70" t="s">
        <v>518</v>
      </c>
      <c r="E146" s="42" t="s">
        <v>104</v>
      </c>
      <c r="F146" s="51"/>
      <c r="G146" s="19" t="s">
        <v>170</v>
      </c>
      <c r="H146" s="40" t="s">
        <v>169</v>
      </c>
      <c r="I146" s="40" t="str">
        <f t="array" ref="I146">IF(G146="","",IFERROR(INDEX('Người sử dụng'!$H$5:$H$140,MATCH(G146,'Người sử dụng'!$C$5:$C$140,0)),"Chưa có trong DS"))</f>
        <v>Đang làm</v>
      </c>
      <c r="J146" s="19" t="s">
        <v>428</v>
      </c>
      <c r="K146" s="24"/>
      <c r="L146" s="23"/>
      <c r="M146" s="24"/>
      <c r="N146" s="24"/>
      <c r="O146" s="19" t="s">
        <v>143</v>
      </c>
      <c r="P146" s="26"/>
      <c r="Q146" s="42" t="s">
        <v>184</v>
      </c>
      <c r="R146" s="50" t="s">
        <v>150</v>
      </c>
      <c r="S146" s="51"/>
      <c r="T146" s="46"/>
      <c r="U146" s="46"/>
      <c r="V146" s="46"/>
      <c r="W146" s="46"/>
      <c r="X146" s="46"/>
      <c r="Y146" s="46"/>
      <c r="Z146" s="46"/>
      <c r="AA146" s="46"/>
      <c r="AB146" s="46"/>
      <c r="AC146" s="46"/>
      <c r="AD146" s="46"/>
      <c r="AE146" s="46"/>
    </row>
    <row r="147" ht="15.75" customHeight="1">
      <c r="A147" s="40">
        <f t="shared" si="7"/>
        <v>142</v>
      </c>
      <c r="B147" s="40" t="str">
        <f t="shared" si="8"/>
        <v>ADS-142</v>
      </c>
      <c r="C147" s="19" t="s">
        <v>104</v>
      </c>
      <c r="D147" s="70" t="s">
        <v>520</v>
      </c>
      <c r="E147" s="51"/>
      <c r="F147" s="51"/>
      <c r="G147" s="19" t="s">
        <v>170</v>
      </c>
      <c r="H147" s="40" t="s">
        <v>169</v>
      </c>
      <c r="I147" s="40" t="str">
        <f t="array" ref="I147">IF(G147="","",IFERROR(INDEX('Người sử dụng'!$H$5:$H$140,MATCH(G147,'Người sử dụng'!$C$5:$C$140,0)),"Chưa có trong DS"))</f>
        <v>Đang làm</v>
      </c>
      <c r="J147" s="19" t="s">
        <v>428</v>
      </c>
      <c r="K147" s="24"/>
      <c r="L147" s="23"/>
      <c r="M147" s="24"/>
      <c r="N147" s="24"/>
      <c r="O147" s="19" t="s">
        <v>143</v>
      </c>
      <c r="P147" s="26"/>
      <c r="Q147" s="42" t="s">
        <v>184</v>
      </c>
      <c r="R147" s="50" t="s">
        <v>150</v>
      </c>
      <c r="S147" s="51"/>
      <c r="T147" s="46"/>
      <c r="U147" s="46"/>
      <c r="V147" s="46"/>
      <c r="W147" s="46"/>
      <c r="X147" s="46"/>
      <c r="Y147" s="46"/>
      <c r="Z147" s="46"/>
      <c r="AA147" s="46"/>
      <c r="AB147" s="46"/>
      <c r="AC147" s="46"/>
      <c r="AD147" s="46"/>
      <c r="AE147" s="46"/>
    </row>
    <row r="148" ht="15.75" customHeight="1">
      <c r="A148" s="40">
        <f t="shared" si="7"/>
        <v>143</v>
      </c>
      <c r="B148" s="40" t="str">
        <f t="shared" si="8"/>
        <v>ADS-143</v>
      </c>
      <c r="C148" s="19" t="s">
        <v>104</v>
      </c>
      <c r="D148" s="71" t="s">
        <v>521</v>
      </c>
      <c r="E148" s="42" t="s">
        <v>104</v>
      </c>
      <c r="F148" s="51"/>
      <c r="G148" s="19" t="s">
        <v>166</v>
      </c>
      <c r="H148" s="40" t="s">
        <v>165</v>
      </c>
      <c r="I148" s="40" t="str">
        <f t="array" ref="I148">IF(G148="","",IFERROR(INDEX('Người sử dụng'!$H$5:$H$140,MATCH(G148,'Người sử dụng'!$C$5:$C$140,0)),"Chưa có trong DS"))</f>
        <v>Đang làm</v>
      </c>
      <c r="J148" s="19" t="s">
        <v>428</v>
      </c>
      <c r="K148" s="24"/>
      <c r="L148" s="23"/>
      <c r="M148" s="24"/>
      <c r="N148" s="24"/>
      <c r="O148" s="19" t="s">
        <v>143</v>
      </c>
      <c r="P148" s="26"/>
      <c r="Q148" s="42" t="s">
        <v>184</v>
      </c>
      <c r="R148" s="50" t="s">
        <v>150</v>
      </c>
      <c r="S148" s="51"/>
      <c r="T148" s="46"/>
      <c r="U148" s="46"/>
      <c r="V148" s="46"/>
      <c r="W148" s="46"/>
      <c r="X148" s="46"/>
      <c r="Y148" s="46"/>
      <c r="Z148" s="46"/>
      <c r="AA148" s="46"/>
      <c r="AB148" s="46"/>
      <c r="AC148" s="46"/>
      <c r="AD148" s="46"/>
      <c r="AE148" s="46"/>
    </row>
    <row r="149" ht="15.75" customHeight="1">
      <c r="A149" s="40">
        <f t="shared" si="7"/>
        <v>144</v>
      </c>
      <c r="B149" s="40" t="str">
        <f t="shared" si="8"/>
        <v>ADS-144</v>
      </c>
      <c r="C149" s="19" t="s">
        <v>104</v>
      </c>
      <c r="D149" s="71" t="s">
        <v>522</v>
      </c>
      <c r="E149" s="42" t="s">
        <v>104</v>
      </c>
      <c r="F149" s="51"/>
      <c r="G149" s="19" t="s">
        <v>166</v>
      </c>
      <c r="H149" s="40" t="s">
        <v>165</v>
      </c>
      <c r="I149" s="40" t="str">
        <f t="array" ref="I149">IF(G149="","",IFERROR(INDEX('Người sử dụng'!$H$5:$H$140,MATCH(G149,'Người sử dụng'!$C$5:$C$140,0)),"Chưa có trong DS"))</f>
        <v>Đang làm</v>
      </c>
      <c r="J149" s="19" t="s">
        <v>428</v>
      </c>
      <c r="K149" s="24"/>
      <c r="L149" s="23"/>
      <c r="M149" s="24"/>
      <c r="N149" s="19" t="s">
        <v>288</v>
      </c>
      <c r="O149" s="19" t="s">
        <v>143</v>
      </c>
      <c r="P149" s="26"/>
      <c r="Q149" s="42" t="s">
        <v>184</v>
      </c>
      <c r="R149" s="50" t="s">
        <v>150</v>
      </c>
      <c r="S149" s="51"/>
      <c r="T149" s="46"/>
      <c r="U149" s="46"/>
      <c r="V149" s="46"/>
      <c r="W149" s="46"/>
      <c r="X149" s="46"/>
      <c r="Y149" s="46"/>
      <c r="Z149" s="46"/>
      <c r="AA149" s="46"/>
      <c r="AB149" s="46"/>
      <c r="AC149" s="46"/>
      <c r="AD149" s="46"/>
      <c r="AE149" s="46"/>
    </row>
    <row r="150" ht="15.75" customHeight="1">
      <c r="A150" s="40">
        <f t="shared" si="7"/>
        <v>145</v>
      </c>
      <c r="B150" s="40" t="str">
        <f t="shared" si="8"/>
        <v>ADS-145</v>
      </c>
      <c r="C150" s="19" t="s">
        <v>104</v>
      </c>
      <c r="D150" s="71" t="s">
        <v>524</v>
      </c>
      <c r="E150" s="42" t="s">
        <v>104</v>
      </c>
      <c r="F150" s="51"/>
      <c r="G150" s="19" t="s">
        <v>166</v>
      </c>
      <c r="H150" s="40" t="s">
        <v>165</v>
      </c>
      <c r="I150" s="40" t="str">
        <f t="array" ref="I150">IF(G150="","",IFERROR(INDEX('Người sử dụng'!$H$5:$H$140,MATCH(G150,'Người sử dụng'!$C$5:$C$140,0)),"Chưa có trong DS"))</f>
        <v>Đang làm</v>
      </c>
      <c r="J150" s="19" t="s">
        <v>428</v>
      </c>
      <c r="K150" s="24"/>
      <c r="L150" s="23"/>
      <c r="M150" s="24"/>
      <c r="N150" s="19" t="s">
        <v>288</v>
      </c>
      <c r="O150" s="19" t="s">
        <v>143</v>
      </c>
      <c r="P150" s="26"/>
      <c r="Q150" s="42" t="s">
        <v>184</v>
      </c>
      <c r="R150" s="50" t="s">
        <v>150</v>
      </c>
      <c r="S150" s="51"/>
      <c r="T150" s="46"/>
      <c r="U150" s="46"/>
      <c r="V150" s="46"/>
      <c r="W150" s="46"/>
      <c r="X150" s="46"/>
      <c r="Y150" s="46"/>
      <c r="Z150" s="46"/>
      <c r="AA150" s="46"/>
      <c r="AB150" s="46"/>
      <c r="AC150" s="46"/>
      <c r="AD150" s="46"/>
      <c r="AE150" s="46"/>
    </row>
    <row r="151" ht="15.75" customHeight="1">
      <c r="A151" s="40">
        <f t="shared" si="7"/>
        <v>146</v>
      </c>
      <c r="B151" s="40" t="str">
        <f t="shared" si="8"/>
        <v>ADS-146</v>
      </c>
      <c r="C151" s="19" t="s">
        <v>104</v>
      </c>
      <c r="D151" s="72" t="s">
        <v>525</v>
      </c>
      <c r="E151" s="42" t="s">
        <v>104</v>
      </c>
      <c r="F151" s="51"/>
      <c r="G151" s="19" t="s">
        <v>166</v>
      </c>
      <c r="H151" s="40" t="s">
        <v>165</v>
      </c>
      <c r="I151" s="40" t="str">
        <f t="array" ref="I151">IF(G151="","",IFERROR(INDEX('Người sử dụng'!$H$5:$H$140,MATCH(G151,'Người sử dụng'!$C$5:$C$140,0)),"Chưa có trong DS"))</f>
        <v>Đang làm</v>
      </c>
      <c r="J151" s="19" t="s">
        <v>428</v>
      </c>
      <c r="K151" s="24"/>
      <c r="L151" s="23"/>
      <c r="M151" s="24"/>
      <c r="N151" s="19" t="s">
        <v>288</v>
      </c>
      <c r="O151" s="19" t="s">
        <v>143</v>
      </c>
      <c r="P151" s="26"/>
      <c r="Q151" s="42" t="s">
        <v>184</v>
      </c>
      <c r="R151" s="50" t="s">
        <v>150</v>
      </c>
      <c r="S151" s="51"/>
      <c r="T151" s="46"/>
      <c r="U151" s="46"/>
      <c r="V151" s="46"/>
      <c r="W151" s="46"/>
      <c r="X151" s="46"/>
      <c r="Y151" s="46"/>
      <c r="Z151" s="46"/>
      <c r="AA151" s="46"/>
      <c r="AB151" s="46"/>
      <c r="AC151" s="46"/>
      <c r="AD151" s="46"/>
      <c r="AE151" s="46"/>
    </row>
    <row r="152" ht="15.75" customHeight="1">
      <c r="A152" s="40">
        <f t="shared" si="7"/>
        <v>147</v>
      </c>
      <c r="B152" s="40" t="str">
        <f t="shared" si="8"/>
        <v>ADS-147</v>
      </c>
      <c r="C152" s="19" t="s">
        <v>104</v>
      </c>
      <c r="D152" s="72" t="s">
        <v>526</v>
      </c>
      <c r="E152" s="42" t="s">
        <v>104</v>
      </c>
      <c r="F152" s="51"/>
      <c r="G152" s="19" t="s">
        <v>166</v>
      </c>
      <c r="H152" s="40" t="s">
        <v>165</v>
      </c>
      <c r="I152" s="40" t="str">
        <f t="array" ref="I152">IF(G152="","",IFERROR(INDEX('Người sử dụng'!$H$5:$H$140,MATCH(G152,'Người sử dụng'!$C$5:$C$140,0)),"Chưa có trong DS"))</f>
        <v>Đang làm</v>
      </c>
      <c r="J152" s="19" t="s">
        <v>428</v>
      </c>
      <c r="K152" s="24"/>
      <c r="L152" s="23"/>
      <c r="M152" s="24"/>
      <c r="N152" s="19" t="s">
        <v>288</v>
      </c>
      <c r="O152" s="19" t="s">
        <v>143</v>
      </c>
      <c r="P152" s="26"/>
      <c r="Q152" s="42" t="s">
        <v>184</v>
      </c>
      <c r="R152" s="50" t="s">
        <v>150</v>
      </c>
      <c r="S152" s="51"/>
      <c r="T152" s="46"/>
      <c r="U152" s="46"/>
      <c r="V152" s="46"/>
      <c r="W152" s="46"/>
      <c r="X152" s="46"/>
      <c r="Y152" s="46"/>
      <c r="Z152" s="46"/>
      <c r="AA152" s="46"/>
      <c r="AB152" s="46"/>
      <c r="AC152" s="46"/>
      <c r="AD152" s="46"/>
      <c r="AE152" s="46"/>
    </row>
    <row r="153" ht="15.75" customHeight="1">
      <c r="A153" s="40">
        <f t="shared" si="7"/>
        <v>148</v>
      </c>
      <c r="B153" s="40" t="str">
        <f t="shared" si="8"/>
        <v>ADS-148</v>
      </c>
      <c r="C153" s="19" t="s">
        <v>104</v>
      </c>
      <c r="D153" s="72" t="s">
        <v>527</v>
      </c>
      <c r="E153" s="42" t="s">
        <v>104</v>
      </c>
      <c r="F153" s="51"/>
      <c r="G153" s="19" t="s">
        <v>166</v>
      </c>
      <c r="H153" s="40" t="s">
        <v>165</v>
      </c>
      <c r="I153" s="40" t="str">
        <f t="array" ref="I153">IF(G153="","",IFERROR(INDEX('Người sử dụng'!$H$5:$H$140,MATCH(G153,'Người sử dụng'!$C$5:$C$140,0)),"Chưa có trong DS"))</f>
        <v>Đang làm</v>
      </c>
      <c r="J153" s="19" t="s">
        <v>428</v>
      </c>
      <c r="K153" s="24"/>
      <c r="L153" s="23"/>
      <c r="M153" s="24"/>
      <c r="N153" s="19" t="s">
        <v>288</v>
      </c>
      <c r="O153" s="19" t="s">
        <v>143</v>
      </c>
      <c r="P153" s="26"/>
      <c r="Q153" s="42" t="s">
        <v>184</v>
      </c>
      <c r="R153" s="50" t="s">
        <v>150</v>
      </c>
      <c r="S153" s="51"/>
      <c r="T153" s="46"/>
      <c r="U153" s="46"/>
      <c r="V153" s="46"/>
      <c r="W153" s="46"/>
      <c r="X153" s="46"/>
      <c r="Y153" s="46"/>
      <c r="Z153" s="46"/>
      <c r="AA153" s="46"/>
      <c r="AB153" s="46"/>
      <c r="AC153" s="46"/>
      <c r="AD153" s="46"/>
      <c r="AE153" s="46"/>
    </row>
    <row r="154" ht="15.75" customHeight="1">
      <c r="A154" s="40">
        <f t="shared" si="7"/>
        <v>149</v>
      </c>
      <c r="B154" s="40" t="str">
        <f t="shared" si="8"/>
        <v>ADS-149</v>
      </c>
      <c r="C154" s="19" t="s">
        <v>104</v>
      </c>
      <c r="D154" s="72" t="s">
        <v>528</v>
      </c>
      <c r="E154" s="42" t="s">
        <v>104</v>
      </c>
      <c r="F154" s="51"/>
      <c r="G154" s="19" t="s">
        <v>166</v>
      </c>
      <c r="H154" s="40" t="s">
        <v>165</v>
      </c>
      <c r="I154" s="40" t="str">
        <f t="array" ref="I154">IF(G154="","",IFERROR(INDEX('Người sử dụng'!$H$5:$H$140,MATCH(G154,'Người sử dụng'!$C$5:$C$140,0)),"Chưa có trong DS"))</f>
        <v>Đang làm</v>
      </c>
      <c r="J154" s="19" t="s">
        <v>428</v>
      </c>
      <c r="K154" s="24"/>
      <c r="L154" s="23"/>
      <c r="M154" s="24"/>
      <c r="N154" s="19" t="s">
        <v>288</v>
      </c>
      <c r="O154" s="19" t="s">
        <v>143</v>
      </c>
      <c r="P154" s="26"/>
      <c r="Q154" s="42" t="s">
        <v>184</v>
      </c>
      <c r="R154" s="50" t="s">
        <v>150</v>
      </c>
      <c r="S154" s="51"/>
      <c r="T154" s="46"/>
      <c r="U154" s="46"/>
      <c r="V154" s="46"/>
      <c r="W154" s="46"/>
      <c r="X154" s="46"/>
      <c r="Y154" s="46"/>
      <c r="Z154" s="46"/>
      <c r="AA154" s="46"/>
      <c r="AB154" s="46"/>
      <c r="AC154" s="46"/>
      <c r="AD154" s="46"/>
      <c r="AE154" s="46"/>
    </row>
    <row r="155" ht="15.75" customHeight="1">
      <c r="A155" s="40">
        <f t="shared" si="7"/>
        <v>150</v>
      </c>
      <c r="B155" s="40" t="str">
        <f t="shared" si="8"/>
        <v>ADS-150</v>
      </c>
      <c r="C155" s="19" t="s">
        <v>104</v>
      </c>
      <c r="D155" s="72" t="s">
        <v>529</v>
      </c>
      <c r="E155" s="42" t="s">
        <v>104</v>
      </c>
      <c r="F155" s="51"/>
      <c r="G155" s="19" t="s">
        <v>166</v>
      </c>
      <c r="H155" s="40" t="s">
        <v>165</v>
      </c>
      <c r="I155" s="40" t="str">
        <f t="array" ref="I155">IF(G155="","",IFERROR(INDEX('Người sử dụng'!$H$5:$H$140,MATCH(G155,'Người sử dụng'!$C$5:$C$140,0)),"Chưa có trong DS"))</f>
        <v>Đang làm</v>
      </c>
      <c r="J155" s="19" t="s">
        <v>428</v>
      </c>
      <c r="K155" s="24"/>
      <c r="L155" s="23"/>
      <c r="M155" s="24"/>
      <c r="N155" s="19" t="s">
        <v>288</v>
      </c>
      <c r="O155" s="19" t="s">
        <v>143</v>
      </c>
      <c r="P155" s="26"/>
      <c r="Q155" s="42" t="s">
        <v>184</v>
      </c>
      <c r="R155" s="50" t="s">
        <v>150</v>
      </c>
      <c r="S155" s="51"/>
      <c r="T155" s="46"/>
      <c r="U155" s="46"/>
      <c r="V155" s="46"/>
      <c r="W155" s="46"/>
      <c r="X155" s="46"/>
      <c r="Y155" s="46"/>
      <c r="Z155" s="46"/>
      <c r="AA155" s="46"/>
      <c r="AB155" s="46"/>
      <c r="AC155" s="46"/>
      <c r="AD155" s="46"/>
      <c r="AE155" s="46"/>
    </row>
    <row r="156" ht="15.75" customHeight="1">
      <c r="A156" s="40">
        <f t="shared" si="7"/>
        <v>151</v>
      </c>
      <c r="B156" s="40" t="str">
        <f t="shared" si="8"/>
        <v>ADS-151</v>
      </c>
      <c r="C156" s="19" t="s">
        <v>104</v>
      </c>
      <c r="D156" s="72" t="s">
        <v>530</v>
      </c>
      <c r="E156" s="42" t="s">
        <v>104</v>
      </c>
      <c r="F156" s="51"/>
      <c r="G156" s="19" t="s">
        <v>166</v>
      </c>
      <c r="H156" s="40" t="s">
        <v>165</v>
      </c>
      <c r="I156" s="40" t="str">
        <f t="array" ref="I156">IF(G156="","",IFERROR(INDEX('Người sử dụng'!$H$5:$H$140,MATCH(G156,'Người sử dụng'!$C$5:$C$140,0)),"Chưa có trong DS"))</f>
        <v>Đang làm</v>
      </c>
      <c r="J156" s="19" t="s">
        <v>428</v>
      </c>
      <c r="K156" s="24"/>
      <c r="L156" s="23"/>
      <c r="M156" s="24"/>
      <c r="N156" s="19" t="s">
        <v>288</v>
      </c>
      <c r="O156" s="19" t="s">
        <v>143</v>
      </c>
      <c r="P156" s="26"/>
      <c r="Q156" s="42" t="s">
        <v>184</v>
      </c>
      <c r="R156" s="50" t="s">
        <v>150</v>
      </c>
      <c r="S156" s="51"/>
      <c r="T156" s="46"/>
      <c r="U156" s="46"/>
      <c r="V156" s="46"/>
      <c r="W156" s="46"/>
      <c r="X156" s="46"/>
      <c r="Y156" s="46"/>
      <c r="Z156" s="46"/>
      <c r="AA156" s="46"/>
      <c r="AB156" s="46"/>
      <c r="AC156" s="46"/>
      <c r="AD156" s="46"/>
      <c r="AE156" s="46"/>
    </row>
    <row r="157" ht="15.75" customHeight="1">
      <c r="A157" s="40">
        <f t="shared" si="7"/>
        <v>152</v>
      </c>
      <c r="B157" s="40" t="str">
        <f t="shared" si="8"/>
        <v>ADS-152</v>
      </c>
      <c r="C157" s="19" t="s">
        <v>104</v>
      </c>
      <c r="D157" s="73" t="s">
        <v>531</v>
      </c>
      <c r="E157" s="42" t="s">
        <v>104</v>
      </c>
      <c r="F157" s="51"/>
      <c r="G157" s="19" t="s">
        <v>166</v>
      </c>
      <c r="H157" s="40" t="s">
        <v>165</v>
      </c>
      <c r="I157" s="40" t="str">
        <f t="array" ref="I157">IF(G157="","",IFERROR(INDEX('Người sử dụng'!$H$5:$H$140,MATCH(G157,'Người sử dụng'!$C$5:$C$140,0)),"Chưa có trong DS"))</f>
        <v>Đang làm</v>
      </c>
      <c r="J157" s="19" t="s">
        <v>428</v>
      </c>
      <c r="K157" s="24"/>
      <c r="L157" s="23"/>
      <c r="M157" s="24"/>
      <c r="N157" s="19" t="s">
        <v>288</v>
      </c>
      <c r="O157" s="19" t="s">
        <v>143</v>
      </c>
      <c r="P157" s="26"/>
      <c r="Q157" s="42" t="s">
        <v>184</v>
      </c>
      <c r="R157" s="50" t="s">
        <v>150</v>
      </c>
      <c r="S157" s="51"/>
      <c r="T157" s="46"/>
      <c r="U157" s="46"/>
      <c r="V157" s="46"/>
      <c r="W157" s="46"/>
      <c r="X157" s="46"/>
      <c r="Y157" s="46"/>
      <c r="Z157" s="46"/>
      <c r="AA157" s="46"/>
      <c r="AB157" s="46"/>
      <c r="AC157" s="46"/>
      <c r="AD157" s="46"/>
      <c r="AE157" s="46"/>
    </row>
    <row r="158" ht="15.75" customHeight="1">
      <c r="A158" s="40">
        <f t="shared" si="7"/>
        <v>153</v>
      </c>
      <c r="B158" s="40" t="str">
        <f t="shared" si="8"/>
        <v>ADS-153</v>
      </c>
      <c r="C158" s="19" t="s">
        <v>104</v>
      </c>
      <c r="D158" s="73" t="s">
        <v>532</v>
      </c>
      <c r="E158" s="42" t="s">
        <v>104</v>
      </c>
      <c r="F158" s="51"/>
      <c r="G158" s="19" t="s">
        <v>166</v>
      </c>
      <c r="H158" s="40" t="s">
        <v>165</v>
      </c>
      <c r="I158" s="40" t="str">
        <f t="array" ref="I158">IF(G158="","",IFERROR(INDEX('Người sử dụng'!$H$5:$H$140,MATCH(G158,'Người sử dụng'!$C$5:$C$140,0)),"Chưa có trong DS"))</f>
        <v>Đang làm</v>
      </c>
      <c r="J158" s="19" t="s">
        <v>428</v>
      </c>
      <c r="K158" s="24"/>
      <c r="L158" s="23"/>
      <c r="M158" s="24"/>
      <c r="N158" s="19" t="s">
        <v>288</v>
      </c>
      <c r="O158" s="19" t="s">
        <v>143</v>
      </c>
      <c r="P158" s="26"/>
      <c r="Q158" s="42" t="s">
        <v>184</v>
      </c>
      <c r="R158" s="50" t="s">
        <v>150</v>
      </c>
      <c r="S158" s="51"/>
      <c r="T158" s="46"/>
      <c r="U158" s="46"/>
      <c r="V158" s="46"/>
      <c r="W158" s="46"/>
      <c r="X158" s="46"/>
      <c r="Y158" s="46"/>
      <c r="Z158" s="46"/>
      <c r="AA158" s="46"/>
      <c r="AB158" s="46"/>
      <c r="AC158" s="46"/>
      <c r="AD158" s="46"/>
      <c r="AE158" s="46"/>
    </row>
    <row r="159" ht="15.75" customHeight="1">
      <c r="A159" s="40">
        <f t="shared" si="7"/>
        <v>154</v>
      </c>
      <c r="B159" s="40" t="str">
        <f t="shared" si="8"/>
        <v>ADS-154</v>
      </c>
      <c r="C159" s="19" t="s">
        <v>104</v>
      </c>
      <c r="D159" s="73" t="s">
        <v>533</v>
      </c>
      <c r="E159" s="42" t="s">
        <v>104</v>
      </c>
      <c r="F159" s="51"/>
      <c r="G159" s="19" t="s">
        <v>166</v>
      </c>
      <c r="H159" s="40" t="s">
        <v>165</v>
      </c>
      <c r="I159" s="40" t="str">
        <f t="array" ref="I159">IF(G159="","",IFERROR(INDEX('Người sử dụng'!$H$5:$H$140,MATCH(G159,'Người sử dụng'!$C$5:$C$140,0)),"Chưa có trong DS"))</f>
        <v>Đang làm</v>
      </c>
      <c r="J159" s="19" t="s">
        <v>428</v>
      </c>
      <c r="K159" s="24"/>
      <c r="L159" s="23"/>
      <c r="M159" s="24"/>
      <c r="N159" s="19" t="s">
        <v>288</v>
      </c>
      <c r="O159" s="19" t="s">
        <v>143</v>
      </c>
      <c r="P159" s="26"/>
      <c r="Q159" s="42" t="s">
        <v>184</v>
      </c>
      <c r="R159" s="50" t="s">
        <v>150</v>
      </c>
      <c r="S159" s="51"/>
      <c r="T159" s="46"/>
      <c r="U159" s="46"/>
      <c r="V159" s="46"/>
      <c r="W159" s="46"/>
      <c r="X159" s="46"/>
      <c r="Y159" s="46"/>
      <c r="Z159" s="46"/>
      <c r="AA159" s="46"/>
      <c r="AB159" s="46"/>
      <c r="AC159" s="46"/>
      <c r="AD159" s="46"/>
      <c r="AE159" s="46"/>
    </row>
    <row r="160" ht="15.75" customHeight="1">
      <c r="A160" s="40">
        <f t="shared" si="7"/>
        <v>155</v>
      </c>
      <c r="B160" s="40" t="str">
        <f t="shared" si="8"/>
        <v>ADS-155</v>
      </c>
      <c r="C160" s="19" t="s">
        <v>104</v>
      </c>
      <c r="D160" s="73" t="s">
        <v>534</v>
      </c>
      <c r="E160" s="42" t="s">
        <v>104</v>
      </c>
      <c r="F160" s="51"/>
      <c r="G160" s="19" t="s">
        <v>166</v>
      </c>
      <c r="H160" s="40" t="s">
        <v>165</v>
      </c>
      <c r="I160" s="40" t="str">
        <f t="array" ref="I160">IF(G160="","",IFERROR(INDEX('Người sử dụng'!$H$5:$H$140,MATCH(G160,'Người sử dụng'!$C$5:$C$140,0)),"Chưa có trong DS"))</f>
        <v>Đang làm</v>
      </c>
      <c r="J160" s="19" t="s">
        <v>428</v>
      </c>
      <c r="K160" s="24"/>
      <c r="L160" s="23"/>
      <c r="M160" s="24"/>
      <c r="N160" s="19" t="s">
        <v>288</v>
      </c>
      <c r="O160" s="19" t="s">
        <v>143</v>
      </c>
      <c r="P160" s="26"/>
      <c r="Q160" s="42" t="s">
        <v>184</v>
      </c>
      <c r="R160" s="50" t="s">
        <v>150</v>
      </c>
      <c r="S160" s="51"/>
      <c r="T160" s="46"/>
      <c r="U160" s="46"/>
      <c r="V160" s="46"/>
      <c r="W160" s="46"/>
      <c r="X160" s="46"/>
      <c r="Y160" s="46"/>
      <c r="Z160" s="46"/>
      <c r="AA160" s="46"/>
      <c r="AB160" s="46"/>
      <c r="AC160" s="46"/>
      <c r="AD160" s="46"/>
      <c r="AE160" s="46"/>
    </row>
    <row r="161" ht="15.75" customHeight="1">
      <c r="A161" s="40">
        <f t="shared" si="7"/>
        <v>156</v>
      </c>
      <c r="B161" s="40" t="str">
        <f t="shared" si="8"/>
        <v>ADS-156</v>
      </c>
      <c r="C161" s="19" t="s">
        <v>104</v>
      </c>
      <c r="D161" s="73" t="s">
        <v>535</v>
      </c>
      <c r="E161" s="42" t="s">
        <v>104</v>
      </c>
      <c r="F161" s="51"/>
      <c r="G161" s="19" t="s">
        <v>166</v>
      </c>
      <c r="H161" s="40" t="s">
        <v>165</v>
      </c>
      <c r="I161" s="40" t="str">
        <f t="array" ref="I161">IF(G161="","",IFERROR(INDEX('Người sử dụng'!$H$5:$H$140,MATCH(G161,'Người sử dụng'!$C$5:$C$140,0)),"Chưa có trong DS"))</f>
        <v>Đang làm</v>
      </c>
      <c r="J161" s="19" t="s">
        <v>428</v>
      </c>
      <c r="K161" s="24"/>
      <c r="L161" s="23"/>
      <c r="M161" s="24"/>
      <c r="N161" s="19" t="s">
        <v>288</v>
      </c>
      <c r="O161" s="19" t="s">
        <v>143</v>
      </c>
      <c r="P161" s="26"/>
      <c r="Q161" s="42" t="s">
        <v>184</v>
      </c>
      <c r="R161" s="50" t="s">
        <v>150</v>
      </c>
      <c r="S161" s="51"/>
      <c r="T161" s="46"/>
      <c r="U161" s="46"/>
      <c r="V161" s="46"/>
      <c r="W161" s="46"/>
      <c r="X161" s="46"/>
      <c r="Y161" s="46"/>
      <c r="Z161" s="46"/>
      <c r="AA161" s="46"/>
      <c r="AB161" s="46"/>
      <c r="AC161" s="46"/>
      <c r="AD161" s="46"/>
      <c r="AE161" s="46"/>
    </row>
    <row r="162" ht="15.75" customHeight="1">
      <c r="A162" s="40">
        <f t="shared" si="7"/>
        <v>157</v>
      </c>
      <c r="B162" s="40" t="str">
        <f t="shared" si="8"/>
        <v>ADS-157</v>
      </c>
      <c r="C162" s="19" t="s">
        <v>104</v>
      </c>
      <c r="D162" s="73">
        <v>9.8313560750269E14</v>
      </c>
      <c r="E162" s="42" t="s">
        <v>104</v>
      </c>
      <c r="F162" s="51"/>
      <c r="G162" s="19" t="s">
        <v>166</v>
      </c>
      <c r="H162" s="40" t="s">
        <v>165</v>
      </c>
      <c r="I162" s="40" t="str">
        <f t="array" ref="I162">IF(G162="","",IFERROR(INDEX('Người sử dụng'!$H$5:$H$140,MATCH(G162,'Người sử dụng'!$C$5:$C$140,0)),"Chưa có trong DS"))</f>
        <v>Đang làm</v>
      </c>
      <c r="J162" s="19" t="s">
        <v>428</v>
      </c>
      <c r="K162" s="24"/>
      <c r="L162" s="23"/>
      <c r="M162" s="24"/>
      <c r="N162" s="19" t="s">
        <v>288</v>
      </c>
      <c r="O162" s="19" t="s">
        <v>143</v>
      </c>
      <c r="P162" s="26"/>
      <c r="Q162" s="42" t="s">
        <v>184</v>
      </c>
      <c r="R162" s="50" t="s">
        <v>150</v>
      </c>
      <c r="S162" s="51"/>
      <c r="T162" s="46"/>
      <c r="U162" s="46"/>
      <c r="V162" s="46"/>
      <c r="W162" s="46"/>
      <c r="X162" s="46"/>
      <c r="Y162" s="46"/>
      <c r="Z162" s="46"/>
      <c r="AA162" s="46"/>
      <c r="AB162" s="46"/>
      <c r="AC162" s="46"/>
      <c r="AD162" s="46"/>
      <c r="AE162" s="46"/>
    </row>
    <row r="163" ht="15.75" customHeight="1">
      <c r="A163" s="40">
        <f t="shared" si="7"/>
        <v>158</v>
      </c>
      <c r="B163" s="40" t="str">
        <f t="shared" si="8"/>
        <v>ADS-158</v>
      </c>
      <c r="C163" s="19" t="s">
        <v>104</v>
      </c>
      <c r="D163" s="73" t="s">
        <v>536</v>
      </c>
      <c r="E163" s="42" t="s">
        <v>104</v>
      </c>
      <c r="F163" s="51"/>
      <c r="G163" s="19" t="s">
        <v>166</v>
      </c>
      <c r="H163" s="40" t="s">
        <v>165</v>
      </c>
      <c r="I163" s="40" t="str">
        <f t="array" ref="I163">IF(G163="","",IFERROR(INDEX('Người sử dụng'!$H$5:$H$140,MATCH(G163,'Người sử dụng'!$C$5:$C$140,0)),"Chưa có trong DS"))</f>
        <v>Đang làm</v>
      </c>
      <c r="J163" s="19" t="s">
        <v>428</v>
      </c>
      <c r="K163" s="24"/>
      <c r="L163" s="23"/>
      <c r="M163" s="24"/>
      <c r="N163" s="19" t="s">
        <v>288</v>
      </c>
      <c r="O163" s="19" t="s">
        <v>143</v>
      </c>
      <c r="P163" s="26"/>
      <c r="Q163" s="42" t="s">
        <v>184</v>
      </c>
      <c r="R163" s="50" t="s">
        <v>150</v>
      </c>
      <c r="S163" s="51"/>
      <c r="T163" s="46"/>
      <c r="U163" s="46"/>
      <c r="V163" s="46"/>
      <c r="W163" s="46"/>
      <c r="X163" s="46"/>
      <c r="Y163" s="46"/>
      <c r="Z163" s="46"/>
      <c r="AA163" s="46"/>
      <c r="AB163" s="46"/>
      <c r="AC163" s="46"/>
      <c r="AD163" s="46"/>
      <c r="AE163" s="46"/>
    </row>
    <row r="164" ht="15.75" customHeight="1">
      <c r="A164" s="40">
        <f t="shared" si="7"/>
        <v>159</v>
      </c>
      <c r="B164" s="40" t="str">
        <f t="shared" si="8"/>
        <v>ADS-159</v>
      </c>
      <c r="C164" s="19" t="s">
        <v>104</v>
      </c>
      <c r="D164" s="73" t="s">
        <v>537</v>
      </c>
      <c r="E164" s="42" t="s">
        <v>104</v>
      </c>
      <c r="F164" s="51"/>
      <c r="G164" s="19" t="s">
        <v>166</v>
      </c>
      <c r="H164" s="40" t="s">
        <v>165</v>
      </c>
      <c r="I164" s="40" t="str">
        <f t="array" ref="I164">IF(G164="","",IFERROR(INDEX('Người sử dụng'!$H$5:$H$140,MATCH(G164,'Người sử dụng'!$C$5:$C$140,0)),"Chưa có trong DS"))</f>
        <v>Đang làm</v>
      </c>
      <c r="J164" s="19" t="s">
        <v>428</v>
      </c>
      <c r="K164" s="24"/>
      <c r="L164" s="23"/>
      <c r="M164" s="24"/>
      <c r="N164" s="19" t="s">
        <v>288</v>
      </c>
      <c r="O164" s="19" t="s">
        <v>143</v>
      </c>
      <c r="P164" s="26"/>
      <c r="Q164" s="42" t="s">
        <v>184</v>
      </c>
      <c r="R164" s="50" t="s">
        <v>150</v>
      </c>
      <c r="S164" s="51"/>
      <c r="T164" s="46"/>
      <c r="U164" s="46"/>
      <c r="V164" s="46"/>
      <c r="W164" s="46"/>
      <c r="X164" s="46"/>
      <c r="Y164" s="46"/>
      <c r="Z164" s="46"/>
      <c r="AA164" s="46"/>
      <c r="AB164" s="46"/>
      <c r="AC164" s="46"/>
      <c r="AD164" s="46"/>
      <c r="AE164" s="46"/>
    </row>
    <row r="165" ht="15.75" customHeight="1">
      <c r="A165" s="40">
        <f t="shared" si="7"/>
        <v>160</v>
      </c>
      <c r="B165" s="40" t="str">
        <f t="shared" si="8"/>
        <v>ADS-160</v>
      </c>
      <c r="C165" s="19" t="s">
        <v>104</v>
      </c>
      <c r="D165" s="73" t="s">
        <v>538</v>
      </c>
      <c r="E165" s="42" t="s">
        <v>104</v>
      </c>
      <c r="F165" s="51"/>
      <c r="G165" s="19" t="s">
        <v>166</v>
      </c>
      <c r="H165" s="40" t="s">
        <v>165</v>
      </c>
      <c r="I165" s="40" t="str">
        <f t="array" ref="I165">IF(G165="","",IFERROR(INDEX('Người sử dụng'!$H$5:$H$140,MATCH(G165,'Người sử dụng'!$C$5:$C$140,0)),"Chưa có trong DS"))</f>
        <v>Đang làm</v>
      </c>
      <c r="J165" s="19" t="s">
        <v>428</v>
      </c>
      <c r="K165" s="24"/>
      <c r="L165" s="23"/>
      <c r="M165" s="24"/>
      <c r="N165" s="19" t="s">
        <v>288</v>
      </c>
      <c r="O165" s="19" t="s">
        <v>143</v>
      </c>
      <c r="P165" s="26"/>
      <c r="Q165" s="42" t="s">
        <v>184</v>
      </c>
      <c r="R165" s="50" t="s">
        <v>150</v>
      </c>
      <c r="S165" s="51"/>
      <c r="T165" s="46"/>
      <c r="U165" s="46"/>
      <c r="V165" s="46"/>
      <c r="W165" s="46"/>
      <c r="X165" s="46"/>
      <c r="Y165" s="46"/>
      <c r="Z165" s="46"/>
      <c r="AA165" s="46"/>
      <c r="AB165" s="46"/>
      <c r="AC165" s="46"/>
      <c r="AD165" s="46"/>
      <c r="AE165" s="46"/>
    </row>
    <row r="166" ht="15.75" customHeight="1">
      <c r="A166" s="40">
        <f t="shared" si="7"/>
        <v>161</v>
      </c>
      <c r="B166" s="40" t="str">
        <f t="shared" si="8"/>
        <v>ADS-161</v>
      </c>
      <c r="C166" s="19" t="s">
        <v>104</v>
      </c>
      <c r="D166" s="73" t="s">
        <v>539</v>
      </c>
      <c r="E166" s="42" t="s">
        <v>104</v>
      </c>
      <c r="F166" s="51"/>
      <c r="G166" s="19" t="s">
        <v>166</v>
      </c>
      <c r="H166" s="40" t="s">
        <v>165</v>
      </c>
      <c r="I166" s="40" t="str">
        <f t="array" ref="I166">IF(G166="","",IFERROR(INDEX('Người sử dụng'!$H$5:$H$140,MATCH(G166,'Người sử dụng'!$C$5:$C$140,0)),"Chưa có trong DS"))</f>
        <v>Đang làm</v>
      </c>
      <c r="J166" s="19" t="s">
        <v>428</v>
      </c>
      <c r="K166" s="24"/>
      <c r="L166" s="23"/>
      <c r="M166" s="24"/>
      <c r="N166" s="19" t="s">
        <v>288</v>
      </c>
      <c r="O166" s="19" t="s">
        <v>143</v>
      </c>
      <c r="P166" s="26"/>
      <c r="Q166" s="42" t="s">
        <v>184</v>
      </c>
      <c r="R166" s="50" t="s">
        <v>150</v>
      </c>
      <c r="S166" s="51"/>
      <c r="T166" s="46"/>
      <c r="U166" s="46"/>
      <c r="V166" s="46"/>
      <c r="W166" s="46"/>
      <c r="X166" s="46"/>
      <c r="Y166" s="46"/>
      <c r="Z166" s="46"/>
      <c r="AA166" s="46"/>
      <c r="AB166" s="46"/>
      <c r="AC166" s="46"/>
      <c r="AD166" s="46"/>
      <c r="AE166" s="46"/>
    </row>
    <row r="167" ht="15.75" customHeight="1">
      <c r="A167" s="40">
        <f t="shared" si="7"/>
        <v>162</v>
      </c>
      <c r="B167" s="40" t="str">
        <f t="shared" si="8"/>
        <v>ADS-162</v>
      </c>
      <c r="C167" s="19" t="s">
        <v>104</v>
      </c>
      <c r="D167" s="73" t="s">
        <v>540</v>
      </c>
      <c r="E167" s="42" t="s">
        <v>104</v>
      </c>
      <c r="F167" s="51"/>
      <c r="G167" s="19" t="s">
        <v>166</v>
      </c>
      <c r="H167" s="40" t="s">
        <v>165</v>
      </c>
      <c r="I167" s="40" t="str">
        <f t="array" ref="I167">IF(G167="","",IFERROR(INDEX('Người sử dụng'!$H$5:$H$140,MATCH(G167,'Người sử dụng'!$C$5:$C$140,0)),"Chưa có trong DS"))</f>
        <v>Đang làm</v>
      </c>
      <c r="J167" s="19" t="s">
        <v>428</v>
      </c>
      <c r="K167" s="24"/>
      <c r="L167" s="23"/>
      <c r="M167" s="24"/>
      <c r="N167" s="19" t="s">
        <v>288</v>
      </c>
      <c r="O167" s="19" t="s">
        <v>143</v>
      </c>
      <c r="P167" s="26"/>
      <c r="Q167" s="42" t="s">
        <v>184</v>
      </c>
      <c r="R167" s="50" t="s">
        <v>150</v>
      </c>
      <c r="S167" s="51"/>
      <c r="T167" s="46"/>
      <c r="U167" s="46"/>
      <c r="V167" s="46"/>
      <c r="W167" s="46"/>
      <c r="X167" s="46"/>
      <c r="Y167" s="46"/>
      <c r="Z167" s="46"/>
      <c r="AA167" s="46"/>
      <c r="AB167" s="46"/>
      <c r="AC167" s="46"/>
      <c r="AD167" s="46"/>
      <c r="AE167" s="46"/>
    </row>
    <row r="168" ht="15.75" customHeight="1">
      <c r="A168" s="40">
        <f t="shared" si="7"/>
        <v>163</v>
      </c>
      <c r="B168" s="40" t="str">
        <f t="shared" si="8"/>
        <v>ADS-163</v>
      </c>
      <c r="C168" s="19" t="s">
        <v>104</v>
      </c>
      <c r="D168" s="73">
        <v>9.51841204358012E14</v>
      </c>
      <c r="E168" s="42" t="s">
        <v>104</v>
      </c>
      <c r="F168" s="51"/>
      <c r="G168" s="19" t="s">
        <v>166</v>
      </c>
      <c r="H168" s="40" t="s">
        <v>165</v>
      </c>
      <c r="I168" s="40" t="str">
        <f t="array" ref="I168">IF(G168="","",IFERROR(INDEX('Người sử dụng'!$H$5:$H$140,MATCH(G168,'Người sử dụng'!$C$5:$C$140,0)),"Chưa có trong DS"))</f>
        <v>Đang làm</v>
      </c>
      <c r="J168" s="19" t="s">
        <v>428</v>
      </c>
      <c r="K168" s="24"/>
      <c r="L168" s="23"/>
      <c r="M168" s="24"/>
      <c r="N168" s="19" t="s">
        <v>288</v>
      </c>
      <c r="O168" s="19" t="s">
        <v>143</v>
      </c>
      <c r="P168" s="26"/>
      <c r="Q168" s="42" t="s">
        <v>184</v>
      </c>
      <c r="R168" s="50" t="s">
        <v>150</v>
      </c>
      <c r="S168" s="51"/>
      <c r="T168" s="46"/>
      <c r="U168" s="46"/>
      <c r="V168" s="46"/>
      <c r="W168" s="46"/>
      <c r="X168" s="46"/>
      <c r="Y168" s="46"/>
      <c r="Z168" s="46"/>
      <c r="AA168" s="46"/>
      <c r="AB168" s="46"/>
      <c r="AC168" s="46"/>
      <c r="AD168" s="46"/>
      <c r="AE168" s="46"/>
    </row>
    <row r="169" ht="15.75" customHeight="1">
      <c r="A169" s="40">
        <f t="shared" si="7"/>
        <v>164</v>
      </c>
      <c r="B169" s="40" t="str">
        <f t="shared" si="8"/>
        <v>ADS-164</v>
      </c>
      <c r="C169" s="19" t="s">
        <v>104</v>
      </c>
      <c r="D169" s="73" t="s">
        <v>541</v>
      </c>
      <c r="E169" s="42" t="s">
        <v>104</v>
      </c>
      <c r="F169" s="51"/>
      <c r="G169" s="19" t="s">
        <v>166</v>
      </c>
      <c r="H169" s="40" t="s">
        <v>165</v>
      </c>
      <c r="I169" s="40" t="str">
        <f t="array" ref="I169">IF(G169="","",IFERROR(INDEX('Người sử dụng'!$H$5:$H$140,MATCH(G169,'Người sử dụng'!$C$5:$C$140,0)),"Chưa có trong DS"))</f>
        <v>Đang làm</v>
      </c>
      <c r="J169" s="19" t="s">
        <v>428</v>
      </c>
      <c r="K169" s="24"/>
      <c r="L169" s="23"/>
      <c r="M169" s="24"/>
      <c r="N169" s="19" t="s">
        <v>288</v>
      </c>
      <c r="O169" s="19" t="s">
        <v>143</v>
      </c>
      <c r="P169" s="26"/>
      <c r="Q169" s="42" t="s">
        <v>184</v>
      </c>
      <c r="R169" s="50" t="s">
        <v>150</v>
      </c>
      <c r="S169" s="51"/>
      <c r="T169" s="46"/>
      <c r="U169" s="46"/>
      <c r="V169" s="46"/>
      <c r="W169" s="46"/>
      <c r="X169" s="46"/>
      <c r="Y169" s="46"/>
      <c r="Z169" s="46"/>
      <c r="AA169" s="46"/>
      <c r="AB169" s="46"/>
      <c r="AC169" s="46"/>
      <c r="AD169" s="46"/>
      <c r="AE169" s="46"/>
    </row>
    <row r="170" ht="15.75" customHeight="1">
      <c r="A170" s="40">
        <f t="shared" si="7"/>
        <v>165</v>
      </c>
      <c r="B170" s="40" t="str">
        <f t="shared" si="8"/>
        <v>ADS-165</v>
      </c>
      <c r="C170" s="19" t="s">
        <v>101</v>
      </c>
      <c r="D170" s="74" t="s">
        <v>542</v>
      </c>
      <c r="E170" s="42" t="s">
        <v>104</v>
      </c>
      <c r="F170" s="51"/>
      <c r="G170" s="19" t="s">
        <v>166</v>
      </c>
      <c r="H170" s="40" t="s">
        <v>165</v>
      </c>
      <c r="I170" s="40" t="str">
        <f t="array" ref="I170">IF(G170="","",IFERROR(INDEX('Người sử dụng'!$H$5:$H$140,MATCH(G170,'Người sử dụng'!$C$5:$C$140,0)),"Chưa có trong DS"))</f>
        <v>Đang làm</v>
      </c>
      <c r="J170" s="19" t="s">
        <v>485</v>
      </c>
      <c r="K170" s="24"/>
      <c r="L170" s="23"/>
      <c r="M170" s="24"/>
      <c r="N170" s="19" t="s">
        <v>543</v>
      </c>
      <c r="O170" s="19" t="s">
        <v>143</v>
      </c>
      <c r="P170" s="26"/>
      <c r="Q170" s="42" t="s">
        <v>184</v>
      </c>
      <c r="R170" s="50" t="s">
        <v>150</v>
      </c>
      <c r="S170" s="51"/>
      <c r="T170" s="46"/>
      <c r="U170" s="46"/>
      <c r="V170" s="46"/>
      <c r="W170" s="46"/>
      <c r="X170" s="46"/>
      <c r="Y170" s="46"/>
      <c r="Z170" s="46"/>
      <c r="AA170" s="46"/>
      <c r="AB170" s="46"/>
      <c r="AC170" s="46"/>
      <c r="AD170" s="46"/>
      <c r="AE170" s="46"/>
    </row>
    <row r="171" ht="15.75" customHeight="1">
      <c r="A171" s="40">
        <f t="shared" si="7"/>
        <v>166</v>
      </c>
      <c r="B171" s="40" t="str">
        <f t="shared" si="8"/>
        <v>ADS-166</v>
      </c>
      <c r="C171" s="19" t="s">
        <v>104</v>
      </c>
      <c r="D171" s="68" t="s">
        <v>544</v>
      </c>
      <c r="E171" s="42" t="s">
        <v>104</v>
      </c>
      <c r="F171" s="51"/>
      <c r="G171" s="19" t="s">
        <v>156</v>
      </c>
      <c r="H171" s="40" t="s">
        <v>155</v>
      </c>
      <c r="I171" s="40" t="str">
        <f t="array" ref="I171">IF(G171="","",IFERROR(INDEX('Người sử dụng'!$H$5:$H$140,MATCH(G171,'Người sử dụng'!$C$5:$C$140,0)),"Chưa có trong DS"))</f>
        <v>Đang làm</v>
      </c>
      <c r="J171" s="19" t="s">
        <v>545</v>
      </c>
      <c r="K171" s="24"/>
      <c r="L171" s="23"/>
      <c r="M171" s="24"/>
      <c r="N171" s="24"/>
      <c r="O171" s="19" t="s">
        <v>143</v>
      </c>
      <c r="P171" s="26"/>
      <c r="Q171" s="42" t="s">
        <v>184</v>
      </c>
      <c r="R171" s="50" t="s">
        <v>150</v>
      </c>
      <c r="S171" s="51"/>
      <c r="T171" s="46"/>
      <c r="U171" s="46"/>
      <c r="V171" s="46"/>
      <c r="W171" s="46"/>
      <c r="X171" s="46"/>
      <c r="Y171" s="46"/>
      <c r="Z171" s="46"/>
      <c r="AA171" s="46"/>
      <c r="AB171" s="46"/>
      <c r="AC171" s="46"/>
      <c r="AD171" s="46"/>
      <c r="AE171" s="46"/>
    </row>
    <row r="172" ht="15.75" customHeight="1">
      <c r="A172" s="40">
        <f t="shared" si="7"/>
        <v>167</v>
      </c>
      <c r="B172" s="40" t="str">
        <f t="shared" si="8"/>
        <v>ADS-167</v>
      </c>
      <c r="C172" s="19" t="s">
        <v>104</v>
      </c>
      <c r="D172" s="68" t="s">
        <v>546</v>
      </c>
      <c r="E172" s="42" t="s">
        <v>104</v>
      </c>
      <c r="F172" s="51"/>
      <c r="G172" s="19" t="s">
        <v>156</v>
      </c>
      <c r="H172" s="40" t="s">
        <v>155</v>
      </c>
      <c r="I172" s="40" t="str">
        <f t="array" ref="I172">IF(G172="","",IFERROR(INDEX('Người sử dụng'!$H$5:$H$140,MATCH(G172,'Người sử dụng'!$C$5:$C$140,0)),"Chưa có trong DS"))</f>
        <v>Đang làm</v>
      </c>
      <c r="J172" s="19" t="s">
        <v>545</v>
      </c>
      <c r="K172" s="24"/>
      <c r="L172" s="23"/>
      <c r="M172" s="24"/>
      <c r="N172" s="24"/>
      <c r="O172" s="19" t="s">
        <v>143</v>
      </c>
      <c r="P172" s="26"/>
      <c r="Q172" s="42" t="s">
        <v>184</v>
      </c>
      <c r="R172" s="50" t="s">
        <v>150</v>
      </c>
      <c r="S172" s="51"/>
      <c r="T172" s="46"/>
      <c r="U172" s="46"/>
      <c r="V172" s="46"/>
      <c r="W172" s="46"/>
      <c r="X172" s="46"/>
      <c r="Y172" s="46"/>
      <c r="Z172" s="46"/>
      <c r="AA172" s="46"/>
      <c r="AB172" s="46"/>
      <c r="AC172" s="46"/>
      <c r="AD172" s="46"/>
      <c r="AE172" s="46"/>
    </row>
    <row r="173" ht="15.75" customHeight="1">
      <c r="A173" s="40">
        <f t="shared" si="7"/>
        <v>168</v>
      </c>
      <c r="B173" s="40" t="str">
        <f t="shared" si="8"/>
        <v>ADS-168</v>
      </c>
      <c r="C173" s="19" t="s">
        <v>104</v>
      </c>
      <c r="D173" s="68" t="s">
        <v>547</v>
      </c>
      <c r="E173" s="42" t="s">
        <v>104</v>
      </c>
      <c r="F173" s="51"/>
      <c r="G173" s="19" t="s">
        <v>156</v>
      </c>
      <c r="H173" s="40" t="s">
        <v>155</v>
      </c>
      <c r="I173" s="40" t="str">
        <f t="array" ref="I173">IF(G173="","",IFERROR(INDEX('Người sử dụng'!$H$5:$H$140,MATCH(G173,'Người sử dụng'!$C$5:$C$140,0)),"Chưa có trong DS"))</f>
        <v>Đang làm</v>
      </c>
      <c r="J173" s="19" t="s">
        <v>545</v>
      </c>
      <c r="K173" s="24"/>
      <c r="L173" s="23"/>
      <c r="M173" s="24"/>
      <c r="N173" s="24"/>
      <c r="O173" s="19" t="s">
        <v>143</v>
      </c>
      <c r="P173" s="26"/>
      <c r="Q173" s="42" t="s">
        <v>184</v>
      </c>
      <c r="R173" s="50" t="s">
        <v>150</v>
      </c>
      <c r="S173" s="51"/>
      <c r="T173" s="46"/>
      <c r="U173" s="46"/>
      <c r="V173" s="46"/>
      <c r="W173" s="46"/>
      <c r="X173" s="46"/>
      <c r="Y173" s="46"/>
      <c r="Z173" s="46"/>
      <c r="AA173" s="46"/>
      <c r="AB173" s="46"/>
      <c r="AC173" s="46"/>
      <c r="AD173" s="46"/>
      <c r="AE173" s="46"/>
    </row>
    <row r="174" ht="15.75" customHeight="1">
      <c r="A174" s="40">
        <f t="shared" si="7"/>
        <v>169</v>
      </c>
      <c r="B174" s="40" t="str">
        <f t="shared" si="8"/>
        <v>ADS-169</v>
      </c>
      <c r="C174" s="19" t="s">
        <v>104</v>
      </c>
      <c r="D174" s="68" t="s">
        <v>548</v>
      </c>
      <c r="E174" s="42" t="s">
        <v>104</v>
      </c>
      <c r="F174" s="51"/>
      <c r="G174" s="19" t="s">
        <v>156</v>
      </c>
      <c r="H174" s="40" t="s">
        <v>155</v>
      </c>
      <c r="I174" s="40" t="str">
        <f t="array" ref="I174">IF(G174="","",IFERROR(INDEX('Người sử dụng'!$H$5:$H$140,MATCH(G174,'Người sử dụng'!$C$5:$C$140,0)),"Chưa có trong DS"))</f>
        <v>Đang làm</v>
      </c>
      <c r="J174" s="19" t="s">
        <v>545</v>
      </c>
      <c r="K174" s="24"/>
      <c r="L174" s="23"/>
      <c r="M174" s="24"/>
      <c r="N174" s="24"/>
      <c r="O174" s="19" t="s">
        <v>143</v>
      </c>
      <c r="P174" s="26"/>
      <c r="Q174" s="42" t="s">
        <v>184</v>
      </c>
      <c r="R174" s="50" t="s">
        <v>150</v>
      </c>
      <c r="S174" s="51"/>
      <c r="T174" s="46"/>
      <c r="U174" s="46"/>
      <c r="V174" s="46"/>
      <c r="W174" s="46"/>
      <c r="X174" s="46"/>
      <c r="Y174" s="46"/>
      <c r="Z174" s="46"/>
      <c r="AA174" s="46"/>
      <c r="AB174" s="46"/>
      <c r="AC174" s="46"/>
      <c r="AD174" s="46"/>
      <c r="AE174" s="46"/>
    </row>
    <row r="175" ht="15.75" customHeight="1">
      <c r="A175" s="40">
        <f t="shared" si="7"/>
        <v>170</v>
      </c>
      <c r="B175" s="40" t="str">
        <f t="shared" si="8"/>
        <v>ADS-170</v>
      </c>
      <c r="C175" s="19" t="s">
        <v>104</v>
      </c>
      <c r="D175" s="68" t="s">
        <v>549</v>
      </c>
      <c r="E175" s="42" t="s">
        <v>104</v>
      </c>
      <c r="F175" s="51"/>
      <c r="G175" s="19" t="s">
        <v>156</v>
      </c>
      <c r="H175" s="40" t="s">
        <v>155</v>
      </c>
      <c r="I175" s="40" t="str">
        <f t="array" ref="I175">IF(G175="","",IFERROR(INDEX('Người sử dụng'!$H$5:$H$140,MATCH(G175,'Người sử dụng'!$C$5:$C$140,0)),"Chưa có trong DS"))</f>
        <v>Đang làm</v>
      </c>
      <c r="J175" s="19" t="s">
        <v>545</v>
      </c>
      <c r="K175" s="24"/>
      <c r="L175" s="23"/>
      <c r="M175" s="24"/>
      <c r="N175" s="24"/>
      <c r="O175" s="19" t="s">
        <v>143</v>
      </c>
      <c r="P175" s="26"/>
      <c r="Q175" s="42" t="s">
        <v>184</v>
      </c>
      <c r="R175" s="50" t="s">
        <v>150</v>
      </c>
      <c r="S175" s="51"/>
      <c r="T175" s="46"/>
      <c r="U175" s="46"/>
      <c r="V175" s="46"/>
      <c r="W175" s="46"/>
      <c r="X175" s="46"/>
      <c r="Y175" s="46"/>
      <c r="Z175" s="46"/>
      <c r="AA175" s="46"/>
      <c r="AB175" s="46"/>
      <c r="AC175" s="46"/>
      <c r="AD175" s="46"/>
      <c r="AE175" s="46"/>
    </row>
    <row r="176" ht="15.75" customHeight="1">
      <c r="A176" s="40">
        <f t="shared" si="7"/>
        <v>171</v>
      </c>
      <c r="B176" s="40" t="str">
        <f t="shared" si="8"/>
        <v>ADS-171</v>
      </c>
      <c r="C176" s="19" t="s">
        <v>104</v>
      </c>
      <c r="D176" s="68" t="s">
        <v>550</v>
      </c>
      <c r="E176" s="42" t="s">
        <v>104</v>
      </c>
      <c r="F176" s="51"/>
      <c r="G176" s="19" t="s">
        <v>156</v>
      </c>
      <c r="H176" s="40" t="s">
        <v>155</v>
      </c>
      <c r="I176" s="40" t="str">
        <f t="array" ref="I176">IF(G176="","",IFERROR(INDEX('Người sử dụng'!$H$5:$H$140,MATCH(G176,'Người sử dụng'!$C$5:$C$140,0)),"Chưa có trong DS"))</f>
        <v>Đang làm</v>
      </c>
      <c r="J176" s="19" t="s">
        <v>545</v>
      </c>
      <c r="K176" s="24"/>
      <c r="L176" s="23"/>
      <c r="M176" s="24"/>
      <c r="N176" s="24"/>
      <c r="O176" s="19" t="s">
        <v>143</v>
      </c>
      <c r="P176" s="26"/>
      <c r="Q176" s="42" t="s">
        <v>184</v>
      </c>
      <c r="R176" s="50" t="s">
        <v>150</v>
      </c>
      <c r="S176" s="51"/>
      <c r="T176" s="46"/>
      <c r="U176" s="46"/>
      <c r="V176" s="46"/>
      <c r="W176" s="46"/>
      <c r="X176" s="46"/>
      <c r="Y176" s="46"/>
      <c r="Z176" s="46"/>
      <c r="AA176" s="46"/>
      <c r="AB176" s="46"/>
      <c r="AC176" s="46"/>
      <c r="AD176" s="46"/>
      <c r="AE176" s="46"/>
    </row>
    <row r="177" ht="15.75" customHeight="1">
      <c r="A177" s="40">
        <f t="shared" si="7"/>
        <v>172</v>
      </c>
      <c r="B177" s="40" t="str">
        <f t="shared" si="8"/>
        <v>ADS-172</v>
      </c>
      <c r="C177" s="19" t="s">
        <v>104</v>
      </c>
      <c r="D177" s="68" t="s">
        <v>551</v>
      </c>
      <c r="E177" s="42" t="s">
        <v>104</v>
      </c>
      <c r="F177" s="51"/>
      <c r="G177" s="19" t="s">
        <v>156</v>
      </c>
      <c r="H177" s="40" t="s">
        <v>155</v>
      </c>
      <c r="I177" s="40" t="str">
        <f t="array" ref="I177">IF(G177="","",IFERROR(INDEX('Người sử dụng'!$H$5:$H$140,MATCH(G177,'Người sử dụng'!$C$5:$C$140,0)),"Chưa có trong DS"))</f>
        <v>Đang làm</v>
      </c>
      <c r="J177" s="19" t="s">
        <v>545</v>
      </c>
      <c r="K177" s="24"/>
      <c r="L177" s="23"/>
      <c r="M177" s="24"/>
      <c r="N177" s="24"/>
      <c r="O177" s="19" t="s">
        <v>143</v>
      </c>
      <c r="P177" s="26"/>
      <c r="Q177" s="42" t="s">
        <v>184</v>
      </c>
      <c r="R177" s="50" t="s">
        <v>150</v>
      </c>
      <c r="S177" s="51"/>
      <c r="T177" s="46"/>
      <c r="U177" s="46"/>
      <c r="V177" s="46"/>
      <c r="W177" s="46"/>
      <c r="X177" s="46"/>
      <c r="Y177" s="46"/>
      <c r="Z177" s="46"/>
      <c r="AA177" s="46"/>
      <c r="AB177" s="46"/>
      <c r="AC177" s="46"/>
      <c r="AD177" s="46"/>
      <c r="AE177" s="46"/>
    </row>
    <row r="178" ht="15.75" customHeight="1">
      <c r="A178" s="40">
        <f t="shared" si="7"/>
        <v>173</v>
      </c>
      <c r="B178" s="40" t="str">
        <f t="shared" si="8"/>
        <v>ADS-173</v>
      </c>
      <c r="C178" s="19" t="s">
        <v>104</v>
      </c>
      <c r="D178" s="68" t="s">
        <v>552</v>
      </c>
      <c r="E178" s="42" t="s">
        <v>104</v>
      </c>
      <c r="F178" s="51"/>
      <c r="G178" s="19" t="s">
        <v>156</v>
      </c>
      <c r="H178" s="40" t="s">
        <v>155</v>
      </c>
      <c r="I178" s="40" t="str">
        <f t="array" ref="I178">IF(G178="","",IFERROR(INDEX('Người sử dụng'!$H$5:$H$140,MATCH(G178,'Người sử dụng'!$C$5:$C$140,0)),"Chưa có trong DS"))</f>
        <v>Đang làm</v>
      </c>
      <c r="J178" s="19" t="s">
        <v>545</v>
      </c>
      <c r="K178" s="24"/>
      <c r="L178" s="23"/>
      <c r="M178" s="24"/>
      <c r="N178" s="24"/>
      <c r="O178" s="19" t="s">
        <v>143</v>
      </c>
      <c r="P178" s="26"/>
      <c r="Q178" s="42" t="s">
        <v>184</v>
      </c>
      <c r="R178" s="50" t="s">
        <v>150</v>
      </c>
      <c r="S178" s="51"/>
      <c r="T178" s="46"/>
      <c r="U178" s="46"/>
      <c r="V178" s="46"/>
      <c r="W178" s="46"/>
      <c r="X178" s="46"/>
      <c r="Y178" s="46"/>
      <c r="Z178" s="46"/>
      <c r="AA178" s="46"/>
      <c r="AB178" s="46"/>
      <c r="AC178" s="46"/>
      <c r="AD178" s="46"/>
      <c r="AE178" s="46"/>
    </row>
    <row r="179" ht="15.75" customHeight="1">
      <c r="A179" s="40">
        <f t="shared" si="7"/>
        <v>174</v>
      </c>
      <c r="B179" s="40" t="str">
        <f t="shared" si="8"/>
        <v>ADS-174</v>
      </c>
      <c r="C179" s="19" t="s">
        <v>104</v>
      </c>
      <c r="D179" s="68" t="s">
        <v>553</v>
      </c>
      <c r="E179" s="42" t="s">
        <v>104</v>
      </c>
      <c r="F179" s="51"/>
      <c r="G179" s="19" t="s">
        <v>156</v>
      </c>
      <c r="H179" s="40" t="s">
        <v>155</v>
      </c>
      <c r="I179" s="40" t="str">
        <f t="array" ref="I179">IF(G179="","",IFERROR(INDEX('Người sử dụng'!$H$5:$H$140,MATCH(G179,'Người sử dụng'!$C$5:$C$140,0)),"Chưa có trong DS"))</f>
        <v>Đang làm</v>
      </c>
      <c r="J179" s="19" t="s">
        <v>545</v>
      </c>
      <c r="K179" s="24"/>
      <c r="L179" s="23"/>
      <c r="M179" s="24"/>
      <c r="N179" s="24"/>
      <c r="O179" s="19" t="s">
        <v>143</v>
      </c>
      <c r="P179" s="26"/>
      <c r="Q179" s="42" t="s">
        <v>184</v>
      </c>
      <c r="R179" s="50" t="s">
        <v>150</v>
      </c>
      <c r="S179" s="51"/>
      <c r="T179" s="46"/>
      <c r="U179" s="46"/>
      <c r="V179" s="46"/>
      <c r="W179" s="46"/>
      <c r="X179" s="46"/>
      <c r="Y179" s="46"/>
      <c r="Z179" s="46"/>
      <c r="AA179" s="46"/>
      <c r="AB179" s="46"/>
      <c r="AC179" s="46"/>
      <c r="AD179" s="46"/>
      <c r="AE179" s="46"/>
    </row>
    <row r="180" ht="15.75" customHeight="1">
      <c r="A180" s="40">
        <f t="shared" si="7"/>
        <v>175</v>
      </c>
      <c r="B180" s="40" t="str">
        <f t="shared" si="8"/>
        <v>ADS-175</v>
      </c>
      <c r="C180" s="19" t="s">
        <v>104</v>
      </c>
      <c r="D180" s="68" t="s">
        <v>554</v>
      </c>
      <c r="E180" s="42" t="s">
        <v>104</v>
      </c>
      <c r="F180" s="51"/>
      <c r="G180" s="19" t="s">
        <v>156</v>
      </c>
      <c r="H180" s="40" t="s">
        <v>155</v>
      </c>
      <c r="I180" s="40" t="str">
        <f t="array" ref="I180">IF(G180="","",IFERROR(INDEX('Người sử dụng'!$H$5:$H$140,MATCH(G180,'Người sử dụng'!$C$5:$C$140,0)),"Chưa có trong DS"))</f>
        <v>Đang làm</v>
      </c>
      <c r="J180" s="19" t="s">
        <v>545</v>
      </c>
      <c r="K180" s="24"/>
      <c r="L180" s="23"/>
      <c r="M180" s="24"/>
      <c r="N180" s="24"/>
      <c r="O180" s="19" t="s">
        <v>143</v>
      </c>
      <c r="P180" s="26"/>
      <c r="Q180" s="42" t="s">
        <v>184</v>
      </c>
      <c r="R180" s="50" t="s">
        <v>150</v>
      </c>
      <c r="S180" s="51"/>
      <c r="T180" s="46"/>
      <c r="U180" s="46"/>
      <c r="V180" s="46"/>
      <c r="W180" s="46"/>
      <c r="X180" s="46"/>
      <c r="Y180" s="46"/>
      <c r="Z180" s="46"/>
      <c r="AA180" s="46"/>
      <c r="AB180" s="46"/>
      <c r="AC180" s="46"/>
      <c r="AD180" s="46"/>
      <c r="AE180" s="46"/>
    </row>
    <row r="181" ht="15.75" customHeight="1">
      <c r="A181" s="40">
        <f t="shared" si="7"/>
        <v>176</v>
      </c>
      <c r="B181" s="40" t="str">
        <f t="shared" si="8"/>
        <v>ADS-176</v>
      </c>
      <c r="C181" s="19" t="s">
        <v>104</v>
      </c>
      <c r="D181" s="68" t="s">
        <v>555</v>
      </c>
      <c r="E181" s="42" t="s">
        <v>104</v>
      </c>
      <c r="F181" s="51"/>
      <c r="G181" s="19" t="s">
        <v>156</v>
      </c>
      <c r="H181" s="40" t="s">
        <v>155</v>
      </c>
      <c r="I181" s="40" t="str">
        <f t="array" ref="I181">IF(G181="","",IFERROR(INDEX('Người sử dụng'!$H$5:$H$140,MATCH(G181,'Người sử dụng'!$C$5:$C$140,0)),"Chưa có trong DS"))</f>
        <v>Đang làm</v>
      </c>
      <c r="J181" s="19" t="s">
        <v>545</v>
      </c>
      <c r="K181" s="24"/>
      <c r="L181" s="23"/>
      <c r="M181" s="24"/>
      <c r="N181" s="24"/>
      <c r="O181" s="19" t="s">
        <v>143</v>
      </c>
      <c r="P181" s="26"/>
      <c r="Q181" s="42" t="s">
        <v>184</v>
      </c>
      <c r="R181" s="50" t="s">
        <v>150</v>
      </c>
      <c r="S181" s="51"/>
      <c r="T181" s="46"/>
      <c r="U181" s="46"/>
      <c r="V181" s="46"/>
      <c r="W181" s="46"/>
      <c r="X181" s="46"/>
      <c r="Y181" s="46"/>
      <c r="Z181" s="46"/>
      <c r="AA181" s="46"/>
      <c r="AB181" s="46"/>
      <c r="AC181" s="46"/>
      <c r="AD181" s="46"/>
      <c r="AE181" s="46"/>
    </row>
    <row r="182" ht="15.75" customHeight="1">
      <c r="A182" s="40">
        <f t="shared" si="7"/>
        <v>177</v>
      </c>
      <c r="B182" s="40" t="str">
        <f t="shared" si="8"/>
        <v>ADS-177</v>
      </c>
      <c r="C182" s="19" t="s">
        <v>104</v>
      </c>
      <c r="D182" s="68" t="s">
        <v>556</v>
      </c>
      <c r="E182" s="42" t="s">
        <v>104</v>
      </c>
      <c r="F182" s="51"/>
      <c r="G182" s="19" t="s">
        <v>156</v>
      </c>
      <c r="H182" s="40" t="s">
        <v>155</v>
      </c>
      <c r="I182" s="40" t="str">
        <f t="array" ref="I182">IF(G182="","",IFERROR(INDEX('Người sử dụng'!$H$5:$H$140,MATCH(G182,'Người sử dụng'!$C$5:$C$140,0)),"Chưa có trong DS"))</f>
        <v>Đang làm</v>
      </c>
      <c r="J182" s="19" t="s">
        <v>545</v>
      </c>
      <c r="K182" s="24"/>
      <c r="L182" s="23"/>
      <c r="M182" s="24"/>
      <c r="N182" s="24"/>
      <c r="O182" s="19" t="s">
        <v>143</v>
      </c>
      <c r="P182" s="26"/>
      <c r="Q182" s="42" t="s">
        <v>184</v>
      </c>
      <c r="R182" s="50" t="s">
        <v>150</v>
      </c>
      <c r="S182" s="51"/>
      <c r="T182" s="46"/>
      <c r="U182" s="46"/>
      <c r="V182" s="46"/>
      <c r="W182" s="46"/>
      <c r="X182" s="46"/>
      <c r="Y182" s="46"/>
      <c r="Z182" s="46"/>
      <c r="AA182" s="46"/>
      <c r="AB182" s="46"/>
      <c r="AC182" s="46"/>
      <c r="AD182" s="46"/>
      <c r="AE182" s="46"/>
    </row>
    <row r="183" ht="15.75" customHeight="1">
      <c r="A183" s="40">
        <f t="shared" si="7"/>
        <v>178</v>
      </c>
      <c r="B183" s="40" t="str">
        <f t="shared" si="8"/>
        <v>ADS-178</v>
      </c>
      <c r="C183" s="19" t="s">
        <v>104</v>
      </c>
      <c r="D183" s="68" t="s">
        <v>557</v>
      </c>
      <c r="E183" s="42" t="s">
        <v>104</v>
      </c>
      <c r="F183" s="51"/>
      <c r="G183" s="19" t="s">
        <v>156</v>
      </c>
      <c r="H183" s="40" t="s">
        <v>155</v>
      </c>
      <c r="I183" s="40" t="str">
        <f t="array" ref="I183">IF(G183="","",IFERROR(INDEX('Người sử dụng'!$H$5:$H$140,MATCH(G183,'Người sử dụng'!$C$5:$C$140,0)),"Chưa có trong DS"))</f>
        <v>Đang làm</v>
      </c>
      <c r="J183" s="19" t="s">
        <v>545</v>
      </c>
      <c r="K183" s="24"/>
      <c r="L183" s="23"/>
      <c r="M183" s="24"/>
      <c r="N183" s="24"/>
      <c r="O183" s="19" t="s">
        <v>143</v>
      </c>
      <c r="P183" s="26"/>
      <c r="Q183" s="42" t="s">
        <v>184</v>
      </c>
      <c r="R183" s="50" t="s">
        <v>150</v>
      </c>
      <c r="S183" s="51"/>
      <c r="T183" s="46"/>
      <c r="U183" s="46"/>
      <c r="V183" s="46"/>
      <c r="W183" s="46"/>
      <c r="X183" s="46"/>
      <c r="Y183" s="46"/>
      <c r="Z183" s="46"/>
      <c r="AA183" s="46"/>
      <c r="AB183" s="46"/>
      <c r="AC183" s="46"/>
      <c r="AD183" s="46"/>
      <c r="AE183" s="46"/>
    </row>
    <row r="184" ht="15.75" customHeight="1">
      <c r="A184" s="40">
        <f t="shared" si="7"/>
        <v>179</v>
      </c>
      <c r="B184" s="40" t="str">
        <f t="shared" si="8"/>
        <v>ADS-179</v>
      </c>
      <c r="C184" s="19" t="s">
        <v>104</v>
      </c>
      <c r="D184" s="68" t="s">
        <v>558</v>
      </c>
      <c r="E184" s="42" t="s">
        <v>104</v>
      </c>
      <c r="F184" s="51"/>
      <c r="G184" s="19" t="s">
        <v>156</v>
      </c>
      <c r="H184" s="40" t="s">
        <v>155</v>
      </c>
      <c r="I184" s="40" t="str">
        <f t="array" ref="I184">IF(G184="","",IFERROR(INDEX('Người sử dụng'!$H$5:$H$140,MATCH(G184,'Người sử dụng'!$C$5:$C$140,0)),"Chưa có trong DS"))</f>
        <v>Đang làm</v>
      </c>
      <c r="J184" s="19" t="s">
        <v>545</v>
      </c>
      <c r="K184" s="24"/>
      <c r="L184" s="23"/>
      <c r="M184" s="24"/>
      <c r="N184" s="24"/>
      <c r="O184" s="19" t="s">
        <v>143</v>
      </c>
      <c r="P184" s="26"/>
      <c r="Q184" s="42" t="s">
        <v>184</v>
      </c>
      <c r="R184" s="50" t="s">
        <v>150</v>
      </c>
      <c r="S184" s="51"/>
      <c r="T184" s="46"/>
      <c r="U184" s="46"/>
      <c r="V184" s="46"/>
      <c r="W184" s="46"/>
      <c r="X184" s="46"/>
      <c r="Y184" s="46"/>
      <c r="Z184" s="46"/>
      <c r="AA184" s="46"/>
      <c r="AB184" s="46"/>
      <c r="AC184" s="46"/>
      <c r="AD184" s="46"/>
      <c r="AE184" s="46"/>
    </row>
    <row r="185" ht="15.75" customHeight="1">
      <c r="A185" s="40">
        <f t="shared" si="7"/>
        <v>180</v>
      </c>
      <c r="B185" s="40" t="str">
        <f t="shared" si="8"/>
        <v>ADS-180</v>
      </c>
      <c r="C185" s="19" t="s">
        <v>104</v>
      </c>
      <c r="D185" s="68" t="s">
        <v>559</v>
      </c>
      <c r="E185" s="42" t="s">
        <v>104</v>
      </c>
      <c r="F185" s="51"/>
      <c r="G185" s="19" t="s">
        <v>156</v>
      </c>
      <c r="H185" s="40" t="s">
        <v>155</v>
      </c>
      <c r="I185" s="40" t="str">
        <f t="array" ref="I185">IF(G185="","",IFERROR(INDEX('Người sử dụng'!$H$5:$H$140,MATCH(G185,'Người sử dụng'!$C$5:$C$140,0)),"Chưa có trong DS"))</f>
        <v>Đang làm</v>
      </c>
      <c r="J185" s="19" t="s">
        <v>545</v>
      </c>
      <c r="K185" s="24"/>
      <c r="L185" s="23"/>
      <c r="M185" s="24"/>
      <c r="N185" s="24"/>
      <c r="O185" s="19" t="s">
        <v>143</v>
      </c>
      <c r="P185" s="26"/>
      <c r="Q185" s="42" t="s">
        <v>184</v>
      </c>
      <c r="R185" s="50" t="s">
        <v>150</v>
      </c>
      <c r="S185" s="51"/>
      <c r="T185" s="46"/>
      <c r="U185" s="46"/>
      <c r="V185" s="46"/>
      <c r="W185" s="46"/>
      <c r="X185" s="46"/>
      <c r="Y185" s="46"/>
      <c r="Z185" s="46"/>
      <c r="AA185" s="46"/>
      <c r="AB185" s="46"/>
      <c r="AC185" s="46"/>
      <c r="AD185" s="46"/>
      <c r="AE185" s="46"/>
    </row>
    <row r="186" ht="15.75" customHeight="1">
      <c r="A186" s="40">
        <f t="shared" si="7"/>
        <v>181</v>
      </c>
      <c r="B186" s="40" t="str">
        <f t="shared" si="8"/>
        <v>ADS-181</v>
      </c>
      <c r="C186" s="19" t="s">
        <v>104</v>
      </c>
      <c r="D186" s="68" t="s">
        <v>560</v>
      </c>
      <c r="E186" s="42" t="s">
        <v>104</v>
      </c>
      <c r="F186" s="51"/>
      <c r="G186" s="19" t="s">
        <v>156</v>
      </c>
      <c r="H186" s="40" t="s">
        <v>155</v>
      </c>
      <c r="I186" s="40" t="str">
        <f t="array" ref="I186">IF(G186="","",IFERROR(INDEX('Người sử dụng'!$H$5:$H$140,MATCH(G186,'Người sử dụng'!$C$5:$C$140,0)),"Chưa có trong DS"))</f>
        <v>Đang làm</v>
      </c>
      <c r="J186" s="19" t="s">
        <v>545</v>
      </c>
      <c r="K186" s="24"/>
      <c r="L186" s="23"/>
      <c r="M186" s="24"/>
      <c r="N186" s="24"/>
      <c r="O186" s="19" t="s">
        <v>143</v>
      </c>
      <c r="P186" s="26"/>
      <c r="Q186" s="42" t="s">
        <v>184</v>
      </c>
      <c r="R186" s="50" t="s">
        <v>150</v>
      </c>
      <c r="S186" s="51"/>
      <c r="T186" s="46"/>
      <c r="U186" s="46"/>
      <c r="V186" s="46"/>
      <c r="W186" s="46"/>
      <c r="X186" s="46"/>
      <c r="Y186" s="46"/>
      <c r="Z186" s="46"/>
      <c r="AA186" s="46"/>
      <c r="AB186" s="46"/>
      <c r="AC186" s="46"/>
      <c r="AD186" s="46"/>
      <c r="AE186" s="46"/>
    </row>
    <row r="187" ht="15.75" customHeight="1">
      <c r="A187" s="40">
        <f t="shared" si="7"/>
        <v>182</v>
      </c>
      <c r="B187" s="40" t="str">
        <f t="shared" si="8"/>
        <v>ADS-182</v>
      </c>
      <c r="C187" s="19" t="s">
        <v>104</v>
      </c>
      <c r="D187" s="68" t="s">
        <v>561</v>
      </c>
      <c r="E187" s="42" t="s">
        <v>104</v>
      </c>
      <c r="F187" s="51"/>
      <c r="G187" s="19" t="s">
        <v>156</v>
      </c>
      <c r="H187" s="40" t="s">
        <v>155</v>
      </c>
      <c r="I187" s="40" t="str">
        <f t="array" ref="I187">IF(G187="","",IFERROR(INDEX('Người sử dụng'!$H$5:$H$140,MATCH(G187,'Người sử dụng'!$C$5:$C$140,0)),"Chưa có trong DS"))</f>
        <v>Đang làm</v>
      </c>
      <c r="J187" s="19" t="s">
        <v>545</v>
      </c>
      <c r="K187" s="24"/>
      <c r="L187" s="23"/>
      <c r="M187" s="24"/>
      <c r="N187" s="24"/>
      <c r="O187" s="19" t="s">
        <v>143</v>
      </c>
      <c r="P187" s="26"/>
      <c r="Q187" s="42" t="s">
        <v>184</v>
      </c>
      <c r="R187" s="50" t="s">
        <v>150</v>
      </c>
      <c r="S187" s="51"/>
      <c r="T187" s="46"/>
      <c r="U187" s="46"/>
      <c r="V187" s="46"/>
      <c r="W187" s="46"/>
      <c r="X187" s="46"/>
      <c r="Y187" s="46"/>
      <c r="Z187" s="46"/>
      <c r="AA187" s="46"/>
      <c r="AB187" s="46"/>
      <c r="AC187" s="46"/>
      <c r="AD187" s="46"/>
      <c r="AE187" s="46"/>
    </row>
    <row r="188" ht="15.75" customHeight="1">
      <c r="A188" s="40">
        <f t="shared" si="7"/>
        <v>183</v>
      </c>
      <c r="B188" s="40" t="str">
        <f t="shared" si="8"/>
        <v>ADS-183</v>
      </c>
      <c r="C188" s="19" t="s">
        <v>104</v>
      </c>
      <c r="D188" s="68" t="s">
        <v>562</v>
      </c>
      <c r="E188" s="42" t="s">
        <v>104</v>
      </c>
      <c r="F188" s="51"/>
      <c r="G188" s="19" t="s">
        <v>156</v>
      </c>
      <c r="H188" s="40" t="s">
        <v>155</v>
      </c>
      <c r="I188" s="40" t="str">
        <f t="array" ref="I188">IF(G188="","",IFERROR(INDEX('Người sử dụng'!$H$5:$H$140,MATCH(G188,'Người sử dụng'!$C$5:$C$140,0)),"Chưa có trong DS"))</f>
        <v>Đang làm</v>
      </c>
      <c r="J188" s="19" t="s">
        <v>545</v>
      </c>
      <c r="K188" s="24"/>
      <c r="L188" s="23"/>
      <c r="M188" s="24"/>
      <c r="N188" s="24"/>
      <c r="O188" s="19" t="s">
        <v>143</v>
      </c>
      <c r="P188" s="26"/>
      <c r="Q188" s="42" t="s">
        <v>184</v>
      </c>
      <c r="R188" s="50" t="s">
        <v>150</v>
      </c>
      <c r="S188" s="51"/>
      <c r="T188" s="46"/>
      <c r="U188" s="46"/>
      <c r="V188" s="46"/>
      <c r="W188" s="46"/>
      <c r="X188" s="46"/>
      <c r="Y188" s="46"/>
      <c r="Z188" s="46"/>
      <c r="AA188" s="46"/>
      <c r="AB188" s="46"/>
      <c r="AC188" s="46"/>
      <c r="AD188" s="46"/>
      <c r="AE188" s="46"/>
    </row>
    <row r="189" ht="15.75" customHeight="1">
      <c r="A189" s="40">
        <f t="shared" si="7"/>
        <v>184</v>
      </c>
      <c r="B189" s="40" t="str">
        <f t="shared" si="8"/>
        <v>ADS-184</v>
      </c>
      <c r="C189" s="19" t="s">
        <v>104</v>
      </c>
      <c r="D189" s="68" t="s">
        <v>563</v>
      </c>
      <c r="E189" s="42" t="s">
        <v>104</v>
      </c>
      <c r="F189" s="51"/>
      <c r="G189" s="19" t="s">
        <v>156</v>
      </c>
      <c r="H189" s="40" t="s">
        <v>155</v>
      </c>
      <c r="I189" s="40" t="str">
        <f t="array" ref="I189">IF(G189="","",IFERROR(INDEX('Người sử dụng'!$H$5:$H$140,MATCH(G189,'Người sử dụng'!$C$5:$C$140,0)),"Chưa có trong DS"))</f>
        <v>Đang làm</v>
      </c>
      <c r="J189" s="19" t="s">
        <v>545</v>
      </c>
      <c r="K189" s="24"/>
      <c r="L189" s="23"/>
      <c r="M189" s="24"/>
      <c r="N189" s="24"/>
      <c r="O189" s="19" t="s">
        <v>143</v>
      </c>
      <c r="P189" s="26"/>
      <c r="Q189" s="42" t="s">
        <v>184</v>
      </c>
      <c r="R189" s="50" t="s">
        <v>150</v>
      </c>
      <c r="S189" s="51"/>
      <c r="T189" s="46"/>
      <c r="U189" s="46"/>
      <c r="V189" s="46"/>
      <c r="W189" s="46"/>
      <c r="X189" s="46"/>
      <c r="Y189" s="46"/>
      <c r="Z189" s="46"/>
      <c r="AA189" s="46"/>
      <c r="AB189" s="46"/>
      <c r="AC189" s="46"/>
      <c r="AD189" s="46"/>
      <c r="AE189" s="46"/>
    </row>
    <row r="190" ht="15.75" customHeight="1">
      <c r="A190" s="40">
        <f t="shared" si="7"/>
        <v>185</v>
      </c>
      <c r="B190" s="40" t="str">
        <f t="shared" si="8"/>
        <v>ADS-185</v>
      </c>
      <c r="C190" s="19" t="s">
        <v>104</v>
      </c>
      <c r="D190" s="68" t="s">
        <v>564</v>
      </c>
      <c r="E190" s="42" t="s">
        <v>104</v>
      </c>
      <c r="F190" s="51"/>
      <c r="G190" s="19" t="s">
        <v>156</v>
      </c>
      <c r="H190" s="40" t="s">
        <v>155</v>
      </c>
      <c r="I190" s="40" t="str">
        <f t="array" ref="I190">IF(G190="","",IFERROR(INDEX('Người sử dụng'!$H$5:$H$140,MATCH(G190,'Người sử dụng'!$C$5:$C$140,0)),"Chưa có trong DS"))</f>
        <v>Đang làm</v>
      </c>
      <c r="J190" s="19" t="s">
        <v>545</v>
      </c>
      <c r="K190" s="24"/>
      <c r="L190" s="23"/>
      <c r="M190" s="24"/>
      <c r="N190" s="24"/>
      <c r="O190" s="19" t="s">
        <v>143</v>
      </c>
      <c r="P190" s="26"/>
      <c r="Q190" s="42" t="s">
        <v>184</v>
      </c>
      <c r="R190" s="50" t="s">
        <v>150</v>
      </c>
      <c r="S190" s="51"/>
      <c r="T190" s="46"/>
      <c r="U190" s="46"/>
      <c r="V190" s="46"/>
      <c r="W190" s="46"/>
      <c r="X190" s="46"/>
      <c r="Y190" s="46"/>
      <c r="Z190" s="46"/>
      <c r="AA190" s="46"/>
      <c r="AB190" s="46"/>
      <c r="AC190" s="46"/>
      <c r="AD190" s="46"/>
      <c r="AE190" s="46"/>
    </row>
    <row r="191" ht="15.75" customHeight="1">
      <c r="A191" s="40">
        <f t="shared" si="7"/>
        <v>186</v>
      </c>
      <c r="B191" s="40" t="str">
        <f t="shared" si="8"/>
        <v>ADS-186</v>
      </c>
      <c r="C191" s="19" t="s">
        <v>104</v>
      </c>
      <c r="D191" s="75" t="s">
        <v>565</v>
      </c>
      <c r="E191" s="42" t="s">
        <v>104</v>
      </c>
      <c r="F191" s="51"/>
      <c r="G191" s="19" t="s">
        <v>156</v>
      </c>
      <c r="H191" s="40" t="s">
        <v>155</v>
      </c>
      <c r="I191" s="40" t="str">
        <f t="array" ref="I191">IF(G191="","",IFERROR(INDEX('Người sử dụng'!$H$5:$H$140,MATCH(G191,'Người sử dụng'!$C$5:$C$140,0)),"Chưa có trong DS"))</f>
        <v>Đang làm</v>
      </c>
      <c r="J191" s="19" t="s">
        <v>545</v>
      </c>
      <c r="K191" s="24"/>
      <c r="L191" s="23"/>
      <c r="M191" s="24"/>
      <c r="N191" s="24"/>
      <c r="O191" s="19" t="s">
        <v>143</v>
      </c>
      <c r="P191" s="26"/>
      <c r="Q191" s="42" t="s">
        <v>184</v>
      </c>
      <c r="R191" s="50" t="s">
        <v>150</v>
      </c>
      <c r="S191" s="51"/>
      <c r="T191" s="46"/>
      <c r="U191" s="46"/>
      <c r="V191" s="46"/>
      <c r="W191" s="46"/>
      <c r="X191" s="46"/>
      <c r="Y191" s="46"/>
      <c r="Z191" s="46"/>
      <c r="AA191" s="46"/>
      <c r="AB191" s="46"/>
      <c r="AC191" s="46"/>
      <c r="AD191" s="46"/>
      <c r="AE191" s="46"/>
    </row>
    <row r="192" ht="15.75" customHeight="1">
      <c r="A192" s="40">
        <f t="shared" si="7"/>
        <v>187</v>
      </c>
      <c r="B192" s="40" t="str">
        <f t="shared" si="8"/>
        <v>ADS-187</v>
      </c>
      <c r="C192" s="19" t="s">
        <v>104</v>
      </c>
      <c r="D192" s="76" t="s">
        <v>566</v>
      </c>
      <c r="E192" s="42" t="s">
        <v>104</v>
      </c>
      <c r="F192" s="51"/>
      <c r="G192" s="19" t="s">
        <v>156</v>
      </c>
      <c r="H192" s="40" t="s">
        <v>155</v>
      </c>
      <c r="I192" s="40" t="str">
        <f t="array" ref="I192">IF(G192="","",IFERROR(INDEX('Người sử dụng'!$H$5:$H$140,MATCH(G192,'Người sử dụng'!$C$5:$C$140,0)),"Chưa có trong DS"))</f>
        <v>Đang làm</v>
      </c>
      <c r="J192" s="19" t="s">
        <v>545</v>
      </c>
      <c r="K192" s="24"/>
      <c r="L192" s="23"/>
      <c r="M192" s="24"/>
      <c r="N192" s="24"/>
      <c r="O192" s="19" t="s">
        <v>143</v>
      </c>
      <c r="P192" s="26"/>
      <c r="Q192" s="42" t="s">
        <v>184</v>
      </c>
      <c r="R192" s="50" t="s">
        <v>150</v>
      </c>
      <c r="S192" s="51"/>
      <c r="T192" s="46"/>
      <c r="U192" s="46"/>
      <c r="V192" s="46"/>
      <c r="W192" s="46"/>
      <c r="X192" s="46"/>
      <c r="Y192" s="46"/>
      <c r="Z192" s="46"/>
      <c r="AA192" s="46"/>
      <c r="AB192" s="46"/>
      <c r="AC192" s="46"/>
      <c r="AD192" s="46"/>
      <c r="AE192" s="46"/>
    </row>
    <row r="193" ht="15.75" customHeight="1">
      <c r="A193" s="40">
        <f t="shared" si="7"/>
        <v>188</v>
      </c>
      <c r="B193" s="40" t="str">
        <f t="shared" si="8"/>
        <v>ADS-188</v>
      </c>
      <c r="C193" s="19" t="s">
        <v>104</v>
      </c>
      <c r="D193" s="77" t="s">
        <v>567</v>
      </c>
      <c r="E193" s="42" t="s">
        <v>104</v>
      </c>
      <c r="F193" s="51"/>
      <c r="G193" s="19" t="s">
        <v>156</v>
      </c>
      <c r="H193" s="40" t="s">
        <v>155</v>
      </c>
      <c r="I193" s="40" t="str">
        <f t="array" ref="I193">IF(G193="","",IFERROR(INDEX('Người sử dụng'!$H$5:$H$140,MATCH(G193,'Người sử dụng'!$C$5:$C$140,0)),"Chưa có trong DS"))</f>
        <v>Đang làm</v>
      </c>
      <c r="J193" s="19" t="s">
        <v>545</v>
      </c>
      <c r="K193" s="24"/>
      <c r="L193" s="23"/>
      <c r="M193" s="24"/>
      <c r="N193" s="24"/>
      <c r="O193" s="19" t="s">
        <v>143</v>
      </c>
      <c r="P193" s="26"/>
      <c r="Q193" s="42" t="s">
        <v>184</v>
      </c>
      <c r="R193" s="50" t="s">
        <v>150</v>
      </c>
      <c r="S193" s="51"/>
      <c r="T193" s="46"/>
      <c r="U193" s="46"/>
      <c r="V193" s="46"/>
      <c r="W193" s="46"/>
      <c r="X193" s="46"/>
      <c r="Y193" s="46"/>
      <c r="Z193" s="46"/>
      <c r="AA193" s="46"/>
      <c r="AB193" s="46"/>
      <c r="AC193" s="46"/>
      <c r="AD193" s="46"/>
      <c r="AE193" s="46"/>
    </row>
    <row r="194" ht="15.75" customHeight="1">
      <c r="A194" s="40">
        <f t="shared" si="7"/>
        <v>189</v>
      </c>
      <c r="B194" s="40" t="str">
        <f t="shared" si="8"/>
        <v>ADS-189</v>
      </c>
      <c r="C194" s="19" t="s">
        <v>104</v>
      </c>
      <c r="D194" s="77" t="s">
        <v>568</v>
      </c>
      <c r="E194" s="42" t="s">
        <v>104</v>
      </c>
      <c r="F194" s="51"/>
      <c r="G194" s="19" t="s">
        <v>156</v>
      </c>
      <c r="H194" s="40" t="s">
        <v>155</v>
      </c>
      <c r="I194" s="40" t="str">
        <f t="array" ref="I194">IF(G194="","",IFERROR(INDEX('Người sử dụng'!$H$5:$H$140,MATCH(G194,'Người sử dụng'!$C$5:$C$140,0)),"Chưa có trong DS"))</f>
        <v>Đang làm</v>
      </c>
      <c r="J194" s="19" t="s">
        <v>545</v>
      </c>
      <c r="K194" s="24"/>
      <c r="L194" s="23"/>
      <c r="M194" s="24"/>
      <c r="N194" s="24"/>
      <c r="O194" s="19" t="s">
        <v>143</v>
      </c>
      <c r="P194" s="26"/>
      <c r="Q194" s="42" t="s">
        <v>184</v>
      </c>
      <c r="R194" s="50" t="s">
        <v>150</v>
      </c>
      <c r="S194" s="51"/>
      <c r="T194" s="46"/>
      <c r="U194" s="46"/>
      <c r="V194" s="46"/>
      <c r="W194" s="46"/>
      <c r="X194" s="46"/>
      <c r="Y194" s="46"/>
      <c r="Z194" s="46"/>
      <c r="AA194" s="46"/>
      <c r="AB194" s="46"/>
      <c r="AC194" s="46"/>
      <c r="AD194" s="46"/>
      <c r="AE194" s="46"/>
    </row>
    <row r="195" ht="15.75" customHeight="1">
      <c r="A195" s="40">
        <f t="shared" si="7"/>
        <v>190</v>
      </c>
      <c r="B195" s="40" t="str">
        <f t="shared" si="8"/>
        <v>ADS-190</v>
      </c>
      <c r="C195" s="19" t="s">
        <v>104</v>
      </c>
      <c r="D195" s="78" t="s">
        <v>569</v>
      </c>
      <c r="E195" s="42" t="s">
        <v>104</v>
      </c>
      <c r="F195" s="51"/>
      <c r="G195" s="19" t="s">
        <v>156</v>
      </c>
      <c r="H195" s="40" t="s">
        <v>155</v>
      </c>
      <c r="I195" s="40" t="str">
        <f t="array" ref="I195">IF(G195="","",IFERROR(INDEX('Người sử dụng'!$H$5:$H$140,MATCH(G195,'Người sử dụng'!$C$5:$C$140,0)),"Chưa có trong DS"))</f>
        <v>Đang làm</v>
      </c>
      <c r="J195" s="19" t="s">
        <v>545</v>
      </c>
      <c r="K195" s="24"/>
      <c r="L195" s="23"/>
      <c r="M195" s="24"/>
      <c r="N195" s="24"/>
      <c r="O195" s="19" t="s">
        <v>143</v>
      </c>
      <c r="P195" s="26"/>
      <c r="Q195" s="42" t="s">
        <v>184</v>
      </c>
      <c r="R195" s="50" t="s">
        <v>150</v>
      </c>
      <c r="S195" s="51"/>
      <c r="T195" s="46"/>
      <c r="U195" s="46"/>
      <c r="V195" s="46"/>
      <c r="W195" s="46"/>
      <c r="X195" s="46"/>
      <c r="Y195" s="46"/>
      <c r="Z195" s="46"/>
      <c r="AA195" s="46"/>
      <c r="AB195" s="46"/>
      <c r="AC195" s="46"/>
      <c r="AD195" s="46"/>
      <c r="AE195" s="46"/>
    </row>
    <row r="196" ht="15.75" customHeight="1">
      <c r="A196" s="40">
        <f t="shared" si="7"/>
        <v>191</v>
      </c>
      <c r="B196" s="40" t="str">
        <f t="shared" si="8"/>
        <v>ADS-191</v>
      </c>
      <c r="C196" s="19" t="s">
        <v>104</v>
      </c>
      <c r="D196" s="78" t="s">
        <v>570</v>
      </c>
      <c r="E196" s="42" t="s">
        <v>104</v>
      </c>
      <c r="F196" s="51"/>
      <c r="G196" s="19" t="s">
        <v>156</v>
      </c>
      <c r="H196" s="40" t="s">
        <v>155</v>
      </c>
      <c r="I196" s="40" t="str">
        <f t="array" ref="I196">IF(G196="","",IFERROR(INDEX('Người sử dụng'!$H$5:$H$140,MATCH(G196,'Người sử dụng'!$C$5:$C$140,0)),"Chưa có trong DS"))</f>
        <v>Đang làm</v>
      </c>
      <c r="J196" s="19" t="s">
        <v>545</v>
      </c>
      <c r="K196" s="24"/>
      <c r="L196" s="23"/>
      <c r="M196" s="24"/>
      <c r="N196" s="24"/>
      <c r="O196" s="19" t="s">
        <v>143</v>
      </c>
      <c r="P196" s="26"/>
      <c r="Q196" s="42" t="s">
        <v>184</v>
      </c>
      <c r="R196" s="50" t="s">
        <v>150</v>
      </c>
      <c r="S196" s="51"/>
      <c r="T196" s="46"/>
      <c r="U196" s="46"/>
      <c r="V196" s="46"/>
      <c r="W196" s="46"/>
      <c r="X196" s="46"/>
      <c r="Y196" s="46"/>
      <c r="Z196" s="46"/>
      <c r="AA196" s="46"/>
      <c r="AB196" s="46"/>
      <c r="AC196" s="46"/>
      <c r="AD196" s="46"/>
      <c r="AE196" s="46"/>
    </row>
    <row r="197" ht="15.75" customHeight="1">
      <c r="A197" s="40"/>
      <c r="B197" s="40"/>
      <c r="C197" s="19"/>
      <c r="D197" s="60"/>
      <c r="E197" s="42"/>
      <c r="F197" s="51"/>
      <c r="G197" s="19"/>
      <c r="H197" s="40"/>
      <c r="I197" s="40"/>
      <c r="J197" s="19"/>
      <c r="K197" s="24"/>
      <c r="L197" s="23"/>
      <c r="M197" s="24"/>
      <c r="N197" s="24"/>
      <c r="O197" s="19"/>
      <c r="P197" s="26"/>
      <c r="Q197" s="42"/>
      <c r="R197" s="50"/>
      <c r="S197" s="51"/>
      <c r="T197" s="46"/>
      <c r="U197" s="46"/>
      <c r="V197" s="46"/>
      <c r="W197" s="46"/>
      <c r="X197" s="46"/>
      <c r="Y197" s="46"/>
      <c r="Z197" s="46"/>
      <c r="AA197" s="46"/>
      <c r="AB197" s="46"/>
      <c r="AC197" s="46"/>
      <c r="AD197" s="46"/>
      <c r="AE197" s="46"/>
    </row>
    <row r="198" ht="15.75" customHeight="1">
      <c r="A198" s="40"/>
      <c r="B198" s="40"/>
      <c r="C198" s="19"/>
      <c r="D198" s="60"/>
      <c r="E198" s="42"/>
      <c r="F198" s="51"/>
      <c r="G198" s="19"/>
      <c r="H198" s="40"/>
      <c r="I198" s="40"/>
      <c r="J198" s="19"/>
      <c r="K198" s="24"/>
      <c r="L198" s="23"/>
      <c r="M198" s="24"/>
      <c r="N198" s="24"/>
      <c r="O198" s="19"/>
      <c r="P198" s="26"/>
      <c r="Q198" s="42"/>
      <c r="R198" s="50"/>
      <c r="S198" s="51"/>
      <c r="T198" s="46"/>
      <c r="U198" s="46"/>
      <c r="V198" s="46"/>
      <c r="W198" s="46"/>
      <c r="X198" s="46"/>
      <c r="Y198" s="46"/>
      <c r="Z198" s="46"/>
      <c r="AA198" s="46"/>
      <c r="AB198" s="46"/>
      <c r="AC198" s="46"/>
      <c r="AD198" s="46"/>
      <c r="AE198" s="46"/>
    </row>
    <row r="199" ht="15.75" customHeight="1">
      <c r="A199" s="40"/>
      <c r="B199" s="40"/>
      <c r="C199" s="19"/>
      <c r="D199" s="60"/>
      <c r="E199" s="42"/>
      <c r="F199" s="51"/>
      <c r="G199" s="19"/>
      <c r="H199" s="40"/>
      <c r="I199" s="40"/>
      <c r="J199" s="19"/>
      <c r="K199" s="24"/>
      <c r="L199" s="23"/>
      <c r="M199" s="24"/>
      <c r="N199" s="24"/>
      <c r="O199" s="19"/>
      <c r="P199" s="26"/>
      <c r="Q199" s="42"/>
      <c r="R199" s="50"/>
      <c r="S199" s="51"/>
      <c r="T199" s="46"/>
      <c r="U199" s="46"/>
      <c r="V199" s="46"/>
      <c r="W199" s="46"/>
      <c r="X199" s="46"/>
      <c r="Y199" s="46"/>
      <c r="Z199" s="46"/>
      <c r="AA199" s="46"/>
      <c r="AB199" s="46"/>
      <c r="AC199" s="46"/>
      <c r="AD199" s="46"/>
      <c r="AE199" s="46"/>
    </row>
    <row r="200" ht="15.75" customHeight="1">
      <c r="A200" s="40"/>
      <c r="B200" s="40"/>
      <c r="C200" s="19"/>
      <c r="D200" s="60"/>
      <c r="E200" s="42"/>
      <c r="F200" s="51"/>
      <c r="G200" s="19"/>
      <c r="H200" s="40"/>
      <c r="I200" s="40"/>
      <c r="J200" s="19"/>
      <c r="K200" s="24"/>
      <c r="L200" s="23"/>
      <c r="M200" s="24"/>
      <c r="N200" s="24"/>
      <c r="O200" s="19"/>
      <c r="P200" s="26"/>
      <c r="Q200" s="42"/>
      <c r="R200" s="50"/>
      <c r="S200" s="51"/>
      <c r="T200" s="46"/>
      <c r="U200" s="46"/>
      <c r="V200" s="46"/>
      <c r="W200" s="46"/>
      <c r="X200" s="46"/>
      <c r="Y200" s="46"/>
      <c r="Z200" s="46"/>
      <c r="AA200" s="46"/>
      <c r="AB200" s="46"/>
      <c r="AC200" s="46"/>
      <c r="AD200" s="46"/>
      <c r="AE200" s="46"/>
    </row>
    <row r="201" ht="15.75" customHeight="1">
      <c r="A201" s="40"/>
      <c r="B201" s="40"/>
      <c r="C201" s="19"/>
      <c r="D201" s="60"/>
      <c r="E201" s="42"/>
      <c r="F201" s="51"/>
      <c r="G201" s="19"/>
      <c r="H201" s="40"/>
      <c r="I201" s="40"/>
      <c r="J201" s="19"/>
      <c r="K201" s="24"/>
      <c r="L201" s="23"/>
      <c r="M201" s="24"/>
      <c r="N201" s="24"/>
      <c r="O201" s="19"/>
      <c r="P201" s="26"/>
      <c r="Q201" s="42"/>
      <c r="R201" s="50"/>
      <c r="S201" s="51"/>
      <c r="T201" s="46"/>
      <c r="U201" s="46"/>
      <c r="V201" s="46"/>
      <c r="W201" s="46"/>
      <c r="X201" s="46"/>
      <c r="Y201" s="46"/>
      <c r="Z201" s="46"/>
      <c r="AA201" s="46"/>
      <c r="AB201" s="46"/>
      <c r="AC201" s="46"/>
      <c r="AD201" s="46"/>
      <c r="AE201" s="46"/>
    </row>
    <row r="202" ht="15.75" customHeight="1">
      <c r="A202" s="40"/>
      <c r="B202" s="40"/>
      <c r="C202" s="19"/>
      <c r="D202" s="60"/>
      <c r="E202" s="42"/>
      <c r="F202" s="51"/>
      <c r="G202" s="19"/>
      <c r="H202" s="40"/>
      <c r="I202" s="40"/>
      <c r="J202" s="19"/>
      <c r="K202" s="24"/>
      <c r="L202" s="23"/>
      <c r="M202" s="24"/>
      <c r="N202" s="24"/>
      <c r="O202" s="19"/>
      <c r="P202" s="26"/>
      <c r="Q202" s="42"/>
      <c r="R202" s="50"/>
      <c r="S202" s="51"/>
      <c r="T202" s="46"/>
      <c r="U202" s="46"/>
      <c r="V202" s="46"/>
      <c r="W202" s="46"/>
      <c r="X202" s="46"/>
      <c r="Y202" s="46"/>
      <c r="Z202" s="46"/>
      <c r="AA202" s="46"/>
      <c r="AB202" s="46"/>
      <c r="AC202" s="46"/>
      <c r="AD202" s="46"/>
      <c r="AE202" s="46"/>
    </row>
    <row r="203" ht="15.75" customHeight="1">
      <c r="A203" s="40"/>
      <c r="B203" s="40"/>
      <c r="C203" s="19"/>
      <c r="D203" s="60"/>
      <c r="E203" s="42"/>
      <c r="F203" s="51"/>
      <c r="G203" s="19"/>
      <c r="H203" s="40"/>
      <c r="I203" s="40"/>
      <c r="J203" s="19"/>
      <c r="K203" s="24"/>
      <c r="L203" s="23"/>
      <c r="M203" s="24"/>
      <c r="N203" s="24"/>
      <c r="O203" s="19"/>
      <c r="P203" s="26"/>
      <c r="Q203" s="42"/>
      <c r="R203" s="50"/>
      <c r="S203" s="51"/>
      <c r="T203" s="46"/>
      <c r="U203" s="46"/>
      <c r="V203" s="46"/>
      <c r="W203" s="46"/>
      <c r="X203" s="46"/>
      <c r="Y203" s="46"/>
      <c r="Z203" s="46"/>
      <c r="AA203" s="46"/>
      <c r="AB203" s="46"/>
      <c r="AC203" s="46"/>
      <c r="AD203" s="46"/>
      <c r="AE203" s="46"/>
    </row>
    <row r="204" ht="15.75" customHeight="1">
      <c r="A204" s="40"/>
      <c r="B204" s="40"/>
      <c r="C204" s="19"/>
      <c r="D204" s="60"/>
      <c r="E204" s="42"/>
      <c r="F204" s="51"/>
      <c r="G204" s="19"/>
      <c r="H204" s="40"/>
      <c r="I204" s="40"/>
      <c r="J204" s="19"/>
      <c r="K204" s="24"/>
      <c r="L204" s="23"/>
      <c r="M204" s="24"/>
      <c r="N204" s="24"/>
      <c r="O204" s="19"/>
      <c r="P204" s="26"/>
      <c r="Q204" s="42"/>
      <c r="R204" s="50"/>
      <c r="S204" s="51"/>
      <c r="T204" s="46"/>
      <c r="U204" s="46"/>
      <c r="V204" s="46"/>
      <c r="W204" s="46"/>
      <c r="X204" s="46"/>
      <c r="Y204" s="46"/>
      <c r="Z204" s="46"/>
      <c r="AA204" s="46"/>
      <c r="AB204" s="46"/>
      <c r="AC204" s="46"/>
      <c r="AD204" s="46"/>
      <c r="AE204" s="46"/>
    </row>
    <row r="205" ht="15.75" customHeight="1">
      <c r="A205" s="40"/>
      <c r="B205" s="40"/>
      <c r="C205" s="19"/>
      <c r="D205" s="60"/>
      <c r="E205" s="42"/>
      <c r="F205" s="51"/>
      <c r="G205" s="19"/>
      <c r="H205" s="40"/>
      <c r="I205" s="40"/>
      <c r="J205" s="19"/>
      <c r="K205" s="24"/>
      <c r="L205" s="23"/>
      <c r="M205" s="24"/>
      <c r="N205" s="24"/>
      <c r="O205" s="19"/>
      <c r="P205" s="26"/>
      <c r="Q205" s="42"/>
      <c r="R205" s="50"/>
      <c r="S205" s="51"/>
      <c r="T205" s="46"/>
      <c r="U205" s="46"/>
      <c r="V205" s="46"/>
      <c r="W205" s="46"/>
      <c r="X205" s="46"/>
      <c r="Y205" s="46"/>
      <c r="Z205" s="46"/>
      <c r="AA205" s="46"/>
      <c r="AB205" s="46"/>
      <c r="AC205" s="46"/>
      <c r="AD205" s="46"/>
      <c r="AE205" s="46"/>
    </row>
    <row r="206" ht="15.75" customHeight="1">
      <c r="A206" s="40"/>
      <c r="B206" s="40"/>
      <c r="C206" s="19"/>
      <c r="D206" s="60"/>
      <c r="E206" s="42"/>
      <c r="F206" s="51"/>
      <c r="G206" s="19"/>
      <c r="H206" s="40"/>
      <c r="I206" s="40"/>
      <c r="J206" s="19"/>
      <c r="K206" s="24"/>
      <c r="L206" s="23"/>
      <c r="M206" s="24"/>
      <c r="N206" s="24"/>
      <c r="O206" s="19"/>
      <c r="P206" s="26"/>
      <c r="Q206" s="42"/>
      <c r="R206" s="50"/>
      <c r="S206" s="51"/>
      <c r="T206" s="46"/>
      <c r="U206" s="46"/>
      <c r="V206" s="46"/>
      <c r="W206" s="46"/>
      <c r="X206" s="46"/>
      <c r="Y206" s="46"/>
      <c r="Z206" s="46"/>
      <c r="AA206" s="46"/>
      <c r="AB206" s="46"/>
      <c r="AC206" s="46"/>
      <c r="AD206" s="46"/>
      <c r="AE206" s="46"/>
    </row>
    <row r="207" ht="15.75" customHeight="1">
      <c r="A207" s="40"/>
      <c r="B207" s="40"/>
      <c r="C207" s="19"/>
      <c r="D207" s="60"/>
      <c r="E207" s="42"/>
      <c r="F207" s="51"/>
      <c r="G207" s="19"/>
      <c r="H207" s="40"/>
      <c r="I207" s="40"/>
      <c r="J207" s="19"/>
      <c r="K207" s="24"/>
      <c r="L207" s="23"/>
      <c r="M207" s="24"/>
      <c r="N207" s="24"/>
      <c r="O207" s="19"/>
      <c r="P207" s="26"/>
      <c r="Q207" s="42"/>
      <c r="R207" s="50"/>
      <c r="S207" s="51"/>
      <c r="T207" s="46"/>
      <c r="U207" s="46"/>
      <c r="V207" s="46"/>
      <c r="W207" s="46"/>
      <c r="X207" s="46"/>
      <c r="Y207" s="46"/>
      <c r="Z207" s="46"/>
      <c r="AA207" s="46"/>
      <c r="AB207" s="46"/>
      <c r="AC207" s="46"/>
      <c r="AD207" s="46"/>
      <c r="AE207" s="46"/>
    </row>
    <row r="208" ht="15.75" customHeight="1">
      <c r="A208" s="40"/>
      <c r="B208" s="40"/>
      <c r="C208" s="19"/>
      <c r="D208" s="60"/>
      <c r="E208" s="42"/>
      <c r="F208" s="51"/>
      <c r="G208" s="19"/>
      <c r="H208" s="40"/>
      <c r="I208" s="40"/>
      <c r="J208" s="19"/>
      <c r="K208" s="24"/>
      <c r="L208" s="23"/>
      <c r="M208" s="24"/>
      <c r="N208" s="24"/>
      <c r="O208" s="19"/>
      <c r="P208" s="26"/>
      <c r="Q208" s="42"/>
      <c r="R208" s="50"/>
      <c r="S208" s="51"/>
      <c r="T208" s="46"/>
      <c r="U208" s="46"/>
      <c r="V208" s="46"/>
      <c r="W208" s="46"/>
      <c r="X208" s="46"/>
      <c r="Y208" s="46"/>
      <c r="Z208" s="46"/>
      <c r="AA208" s="46"/>
      <c r="AB208" s="46"/>
      <c r="AC208" s="46"/>
      <c r="AD208" s="46"/>
      <c r="AE208" s="46"/>
    </row>
    <row r="209" ht="15.75" customHeight="1">
      <c r="A209" s="40" t="str">
        <f t="shared" ref="A209:A322" si="9">IF(C209="","",ROW()-5)</f>
        <v/>
      </c>
      <c r="B209" s="40" t="str">
        <f t="shared" ref="B209:B322" si="10">IF(C209="","","ADS-"&amp;TEXT(ROW()-5,"000"))</f>
        <v/>
      </c>
      <c r="C209" s="24"/>
      <c r="D209" s="79"/>
      <c r="E209" s="51"/>
      <c r="F209" s="51"/>
      <c r="G209" s="24"/>
      <c r="H209" s="40"/>
      <c r="I209" s="40" t="str">
        <f t="array" ref="I209">IF(G209="","",IFERROR(INDEX('Người sử dụng'!$H$5:$H$140,MATCH(G209,'Người sử dụng'!$C$5:$C$140,0)),"Chưa có trong DS"))</f>
        <v/>
      </c>
      <c r="J209" s="24"/>
      <c r="K209" s="24"/>
      <c r="L209" s="23"/>
      <c r="M209" s="24"/>
      <c r="N209" s="24"/>
      <c r="O209" s="24"/>
      <c r="P209" s="26"/>
      <c r="Q209" s="51"/>
      <c r="R209" s="46"/>
      <c r="S209" s="51"/>
      <c r="T209" s="46"/>
      <c r="U209" s="46"/>
      <c r="V209" s="46"/>
      <c r="W209" s="46"/>
      <c r="X209" s="46"/>
      <c r="Y209" s="46"/>
      <c r="Z209" s="46"/>
      <c r="AA209" s="46"/>
      <c r="AB209" s="46"/>
      <c r="AC209" s="46"/>
      <c r="AD209" s="46"/>
      <c r="AE209" s="46"/>
    </row>
    <row r="210" ht="15.75" customHeight="1">
      <c r="A210" s="40">
        <f t="shared" si="9"/>
        <v>205</v>
      </c>
      <c r="B210" s="40" t="str">
        <f t="shared" si="10"/>
        <v>ADS-205</v>
      </c>
      <c r="C210" s="19" t="s">
        <v>104</v>
      </c>
      <c r="D210" s="80" t="s">
        <v>571</v>
      </c>
      <c r="E210" s="42" t="s">
        <v>104</v>
      </c>
      <c r="F210" s="51"/>
      <c r="G210" s="19" t="s">
        <v>161</v>
      </c>
      <c r="H210" s="40" t="s">
        <v>160</v>
      </c>
      <c r="I210" s="40" t="str">
        <f t="array" ref="I210">IF(G210="","",IFERROR(INDEX('Người sử dụng'!$H$5:$H$140,MATCH(G210,'Người sử dụng'!$C$5:$C$140,0)),"Chưa có trong DS"))</f>
        <v>Đang làm</v>
      </c>
      <c r="J210" s="19" t="s">
        <v>545</v>
      </c>
      <c r="K210" s="24"/>
      <c r="L210" s="23"/>
      <c r="M210" s="24"/>
      <c r="N210" s="24"/>
      <c r="O210" s="24"/>
      <c r="P210" s="26"/>
      <c r="Q210" s="51"/>
      <c r="R210" s="46"/>
      <c r="S210" s="51"/>
      <c r="T210" s="46"/>
      <c r="U210" s="46"/>
      <c r="V210" s="46"/>
      <c r="W210" s="46"/>
      <c r="X210" s="46"/>
      <c r="Y210" s="46"/>
      <c r="Z210" s="46"/>
      <c r="AA210" s="46"/>
      <c r="AB210" s="46"/>
      <c r="AC210" s="46"/>
      <c r="AD210" s="46"/>
      <c r="AE210" s="46"/>
    </row>
    <row r="211" ht="15.75" customHeight="1">
      <c r="A211" s="40">
        <f t="shared" si="9"/>
        <v>206</v>
      </c>
      <c r="B211" s="40" t="str">
        <f t="shared" si="10"/>
        <v>ADS-206</v>
      </c>
      <c r="C211" s="19" t="s">
        <v>104</v>
      </c>
      <c r="D211" s="80" t="s">
        <v>572</v>
      </c>
      <c r="E211" s="42" t="s">
        <v>104</v>
      </c>
      <c r="F211" s="51"/>
      <c r="G211" s="19" t="s">
        <v>161</v>
      </c>
      <c r="H211" s="40" t="s">
        <v>160</v>
      </c>
      <c r="I211" s="40" t="str">
        <f t="array" ref="I211">IF(G211="","",IFERROR(INDEX('Người sử dụng'!$H$5:$H$140,MATCH(G211,'Người sử dụng'!$C$5:$C$140,0)),"Chưa có trong DS"))</f>
        <v>Đang làm</v>
      </c>
      <c r="J211" s="19" t="s">
        <v>545</v>
      </c>
      <c r="K211" s="24"/>
      <c r="L211" s="23"/>
      <c r="M211" s="24"/>
      <c r="N211" s="24"/>
      <c r="O211" s="24"/>
      <c r="P211" s="26"/>
      <c r="Q211" s="51"/>
      <c r="R211" s="46"/>
      <c r="S211" s="51"/>
      <c r="T211" s="46"/>
      <c r="U211" s="46"/>
      <c r="V211" s="46"/>
      <c r="W211" s="46"/>
      <c r="X211" s="46"/>
      <c r="Y211" s="46"/>
      <c r="Z211" s="46"/>
      <c r="AA211" s="46"/>
      <c r="AB211" s="46"/>
      <c r="AC211" s="46"/>
      <c r="AD211" s="46"/>
      <c r="AE211" s="46"/>
    </row>
    <row r="212" ht="15.75" customHeight="1">
      <c r="A212" s="40">
        <f t="shared" si="9"/>
        <v>207</v>
      </c>
      <c r="B212" s="40" t="str">
        <f t="shared" si="10"/>
        <v>ADS-207</v>
      </c>
      <c r="C212" s="19" t="s">
        <v>104</v>
      </c>
      <c r="D212" s="80" t="s">
        <v>573</v>
      </c>
      <c r="E212" s="42" t="s">
        <v>104</v>
      </c>
      <c r="F212" s="51"/>
      <c r="G212" s="19" t="s">
        <v>161</v>
      </c>
      <c r="H212" s="40" t="s">
        <v>160</v>
      </c>
      <c r="I212" s="40" t="str">
        <f t="array" ref="I212">IF(G212="","",IFERROR(INDEX('Người sử dụng'!$H$5:$H$140,MATCH(G212,'Người sử dụng'!$C$5:$C$140,0)),"Chưa có trong DS"))</f>
        <v>Đang làm</v>
      </c>
      <c r="J212" s="19" t="s">
        <v>545</v>
      </c>
      <c r="K212" s="24"/>
      <c r="L212" s="23"/>
      <c r="M212" s="24"/>
      <c r="N212" s="24"/>
      <c r="O212" s="24"/>
      <c r="P212" s="26"/>
      <c r="Q212" s="51"/>
      <c r="R212" s="46"/>
      <c r="S212" s="51"/>
      <c r="T212" s="46"/>
      <c r="U212" s="46"/>
      <c r="V212" s="46"/>
      <c r="W212" s="46"/>
      <c r="X212" s="46"/>
      <c r="Y212" s="46"/>
      <c r="Z212" s="46"/>
      <c r="AA212" s="46"/>
      <c r="AB212" s="46"/>
      <c r="AC212" s="46"/>
      <c r="AD212" s="46"/>
      <c r="AE212" s="46"/>
    </row>
    <row r="213" ht="15.75" customHeight="1">
      <c r="A213" s="40">
        <f t="shared" si="9"/>
        <v>208</v>
      </c>
      <c r="B213" s="40" t="str">
        <f t="shared" si="10"/>
        <v>ADS-208</v>
      </c>
      <c r="C213" s="19" t="s">
        <v>104</v>
      </c>
      <c r="D213" s="80" t="s">
        <v>574</v>
      </c>
      <c r="E213" s="42" t="s">
        <v>104</v>
      </c>
      <c r="F213" s="51"/>
      <c r="G213" s="19" t="s">
        <v>161</v>
      </c>
      <c r="H213" s="40" t="s">
        <v>160</v>
      </c>
      <c r="I213" s="40" t="str">
        <f t="array" ref="I213">IF(G213="","",IFERROR(INDEX('Người sử dụng'!$H$5:$H$140,MATCH(G213,'Người sử dụng'!$C$5:$C$140,0)),"Chưa có trong DS"))</f>
        <v>Đang làm</v>
      </c>
      <c r="J213" s="19" t="s">
        <v>545</v>
      </c>
      <c r="K213" s="24"/>
      <c r="L213" s="23"/>
      <c r="M213" s="24"/>
      <c r="N213" s="24"/>
      <c r="O213" s="24"/>
      <c r="P213" s="26"/>
      <c r="Q213" s="51"/>
      <c r="R213" s="46"/>
      <c r="S213" s="51"/>
      <c r="T213" s="46"/>
      <c r="U213" s="46"/>
      <c r="V213" s="46"/>
      <c r="W213" s="46"/>
      <c r="X213" s="46"/>
      <c r="Y213" s="46"/>
      <c r="Z213" s="46"/>
      <c r="AA213" s="46"/>
      <c r="AB213" s="46"/>
      <c r="AC213" s="46"/>
      <c r="AD213" s="46"/>
      <c r="AE213" s="46"/>
    </row>
    <row r="214" ht="15.75" customHeight="1">
      <c r="A214" s="40">
        <f t="shared" si="9"/>
        <v>209</v>
      </c>
      <c r="B214" s="40" t="str">
        <f t="shared" si="10"/>
        <v>ADS-209</v>
      </c>
      <c r="C214" s="19" t="s">
        <v>104</v>
      </c>
      <c r="D214" s="80" t="s">
        <v>575</v>
      </c>
      <c r="E214" s="42" t="s">
        <v>104</v>
      </c>
      <c r="F214" s="51"/>
      <c r="G214" s="19" t="s">
        <v>161</v>
      </c>
      <c r="H214" s="40" t="s">
        <v>160</v>
      </c>
      <c r="I214" s="40" t="str">
        <f t="array" ref="I214">IF(G214="","",IFERROR(INDEX('Người sử dụng'!$H$5:$H$140,MATCH(G214,'Người sử dụng'!$C$5:$C$140,0)),"Chưa có trong DS"))</f>
        <v>Đang làm</v>
      </c>
      <c r="J214" s="19" t="s">
        <v>545</v>
      </c>
      <c r="K214" s="24"/>
      <c r="L214" s="23"/>
      <c r="M214" s="24"/>
      <c r="N214" s="24"/>
      <c r="O214" s="24"/>
      <c r="P214" s="26"/>
      <c r="Q214" s="51"/>
      <c r="R214" s="46"/>
      <c r="S214" s="51"/>
      <c r="T214" s="46"/>
      <c r="U214" s="46"/>
      <c r="V214" s="46"/>
      <c r="W214" s="46"/>
      <c r="X214" s="46"/>
      <c r="Y214" s="46"/>
      <c r="Z214" s="46"/>
      <c r="AA214" s="46"/>
      <c r="AB214" s="46"/>
      <c r="AC214" s="46"/>
      <c r="AD214" s="46"/>
      <c r="AE214" s="46"/>
    </row>
    <row r="215" ht="15.75" customHeight="1">
      <c r="A215" s="40">
        <f t="shared" si="9"/>
        <v>210</v>
      </c>
      <c r="B215" s="40" t="str">
        <f t="shared" si="10"/>
        <v>ADS-210</v>
      </c>
      <c r="C215" s="19" t="s">
        <v>104</v>
      </c>
      <c r="D215" s="80" t="s">
        <v>576</v>
      </c>
      <c r="E215" s="42" t="s">
        <v>104</v>
      </c>
      <c r="F215" s="51"/>
      <c r="G215" s="19" t="s">
        <v>161</v>
      </c>
      <c r="H215" s="40" t="s">
        <v>160</v>
      </c>
      <c r="I215" s="40" t="str">
        <f t="array" ref="I215">IF(G215="","",IFERROR(INDEX('Người sử dụng'!$H$5:$H$140,MATCH(G215,'Người sử dụng'!$C$5:$C$140,0)),"Chưa có trong DS"))</f>
        <v>Đang làm</v>
      </c>
      <c r="J215" s="19" t="s">
        <v>545</v>
      </c>
      <c r="K215" s="24"/>
      <c r="L215" s="23"/>
      <c r="M215" s="24"/>
      <c r="N215" s="24"/>
      <c r="O215" s="24"/>
      <c r="P215" s="26"/>
      <c r="Q215" s="51"/>
      <c r="R215" s="46"/>
      <c r="S215" s="51"/>
      <c r="T215" s="46"/>
      <c r="U215" s="46"/>
      <c r="V215" s="46"/>
      <c r="W215" s="46"/>
      <c r="X215" s="46"/>
      <c r="Y215" s="46"/>
      <c r="Z215" s="46"/>
      <c r="AA215" s="46"/>
      <c r="AB215" s="46"/>
      <c r="AC215" s="46"/>
      <c r="AD215" s="46"/>
      <c r="AE215" s="46"/>
    </row>
    <row r="216" ht="15.75" customHeight="1">
      <c r="A216" s="40">
        <f t="shared" si="9"/>
        <v>211</v>
      </c>
      <c r="B216" s="40" t="str">
        <f t="shared" si="10"/>
        <v>ADS-211</v>
      </c>
      <c r="C216" s="19" t="s">
        <v>104</v>
      </c>
      <c r="D216" s="81" t="s">
        <v>577</v>
      </c>
      <c r="E216" s="42" t="s">
        <v>104</v>
      </c>
      <c r="F216" s="51"/>
      <c r="G216" s="19" t="s">
        <v>161</v>
      </c>
      <c r="H216" s="40" t="s">
        <v>160</v>
      </c>
      <c r="I216" s="40" t="str">
        <f t="array" ref="I216">IF(G216="","",IFERROR(INDEX('Người sử dụng'!$H$5:$H$140,MATCH(G216,'Người sử dụng'!$C$5:$C$140,0)),"Chưa có trong DS"))</f>
        <v>Đang làm</v>
      </c>
      <c r="J216" s="19" t="s">
        <v>545</v>
      </c>
      <c r="K216" s="24"/>
      <c r="L216" s="23"/>
      <c r="M216" s="24"/>
      <c r="N216" s="24"/>
      <c r="O216" s="24"/>
      <c r="P216" s="26"/>
      <c r="Q216" s="51"/>
      <c r="R216" s="46"/>
      <c r="S216" s="51"/>
      <c r="T216" s="46"/>
      <c r="U216" s="46"/>
      <c r="V216" s="46"/>
      <c r="W216" s="46"/>
      <c r="X216" s="46"/>
      <c r="Y216" s="46"/>
      <c r="Z216" s="46"/>
      <c r="AA216" s="46"/>
      <c r="AB216" s="46"/>
      <c r="AC216" s="46"/>
      <c r="AD216" s="46"/>
      <c r="AE216" s="46"/>
    </row>
    <row r="217" ht="15.75" customHeight="1">
      <c r="A217" s="40">
        <f t="shared" si="9"/>
        <v>212</v>
      </c>
      <c r="B217" s="40" t="str">
        <f t="shared" si="10"/>
        <v>ADS-212</v>
      </c>
      <c r="C217" s="19" t="s">
        <v>104</v>
      </c>
      <c r="D217" s="81" t="s">
        <v>578</v>
      </c>
      <c r="E217" s="42" t="s">
        <v>104</v>
      </c>
      <c r="F217" s="51"/>
      <c r="G217" s="19" t="s">
        <v>161</v>
      </c>
      <c r="H217" s="40" t="s">
        <v>160</v>
      </c>
      <c r="I217" s="40" t="str">
        <f t="array" ref="I217">IF(G217="","",IFERROR(INDEX('Người sử dụng'!$H$5:$H$140,MATCH(G217,'Người sử dụng'!$C$5:$C$140,0)),"Chưa có trong DS"))</f>
        <v>Đang làm</v>
      </c>
      <c r="J217" s="19" t="s">
        <v>545</v>
      </c>
      <c r="K217" s="24"/>
      <c r="L217" s="23"/>
      <c r="M217" s="24"/>
      <c r="N217" s="24"/>
      <c r="O217" s="24"/>
      <c r="P217" s="26"/>
      <c r="Q217" s="51"/>
      <c r="R217" s="46"/>
      <c r="S217" s="51"/>
      <c r="T217" s="46"/>
      <c r="U217" s="46"/>
      <c r="V217" s="46"/>
      <c r="W217" s="46"/>
      <c r="X217" s="46"/>
      <c r="Y217" s="46"/>
      <c r="Z217" s="46"/>
      <c r="AA217" s="46"/>
      <c r="AB217" s="46"/>
      <c r="AC217" s="46"/>
      <c r="AD217" s="46"/>
      <c r="AE217" s="46"/>
    </row>
    <row r="218" ht="15.75" customHeight="1">
      <c r="A218" s="40">
        <f t="shared" si="9"/>
        <v>213</v>
      </c>
      <c r="B218" s="40" t="str">
        <f t="shared" si="10"/>
        <v>ADS-213</v>
      </c>
      <c r="C218" s="19" t="s">
        <v>104</v>
      </c>
      <c r="D218" s="80" t="s">
        <v>579</v>
      </c>
      <c r="E218" s="42" t="s">
        <v>104</v>
      </c>
      <c r="F218" s="51"/>
      <c r="G218" s="19" t="s">
        <v>161</v>
      </c>
      <c r="H218" s="40" t="s">
        <v>160</v>
      </c>
      <c r="I218" s="40" t="str">
        <f t="array" ref="I218">IF(G218="","",IFERROR(INDEX('Người sử dụng'!$H$5:$H$140,MATCH(G218,'Người sử dụng'!$C$5:$C$140,0)),"Chưa có trong DS"))</f>
        <v>Đang làm</v>
      </c>
      <c r="J218" s="19" t="s">
        <v>545</v>
      </c>
      <c r="K218" s="24"/>
      <c r="L218" s="23"/>
      <c r="M218" s="24"/>
      <c r="N218" s="24"/>
      <c r="O218" s="24"/>
      <c r="P218" s="26"/>
      <c r="Q218" s="51"/>
      <c r="R218" s="46"/>
      <c r="S218" s="51"/>
      <c r="T218" s="46"/>
      <c r="U218" s="46"/>
      <c r="V218" s="46"/>
      <c r="W218" s="46"/>
      <c r="X218" s="46"/>
      <c r="Y218" s="46"/>
      <c r="Z218" s="46"/>
      <c r="AA218" s="46"/>
      <c r="AB218" s="46"/>
      <c r="AC218" s="46"/>
      <c r="AD218" s="46"/>
      <c r="AE218" s="46"/>
    </row>
    <row r="219" ht="15.75" customHeight="1">
      <c r="A219" s="40">
        <f t="shared" si="9"/>
        <v>214</v>
      </c>
      <c r="B219" s="40" t="str">
        <f t="shared" si="10"/>
        <v>ADS-214</v>
      </c>
      <c r="C219" s="19" t="s">
        <v>84</v>
      </c>
      <c r="D219" s="60" t="s">
        <v>580</v>
      </c>
      <c r="E219" s="42" t="s">
        <v>84</v>
      </c>
      <c r="F219" s="82" t="s">
        <v>581</v>
      </c>
      <c r="G219" s="19" t="s">
        <v>161</v>
      </c>
      <c r="H219" s="40" t="s">
        <v>160</v>
      </c>
      <c r="I219" s="40" t="str">
        <f t="array" ref="I219">IF(G219="","",IFERROR(INDEX('Người sử dụng'!$H$5:$H$140,MATCH(G219,'Người sử dụng'!$C$5:$C$140,0)),"Chưa có trong DS"))</f>
        <v>Đang làm</v>
      </c>
      <c r="J219" s="19" t="s">
        <v>89</v>
      </c>
      <c r="K219" s="24"/>
      <c r="L219" s="23"/>
      <c r="M219" s="24"/>
      <c r="N219" s="24"/>
      <c r="O219" s="24"/>
      <c r="P219" s="26"/>
      <c r="Q219" s="51"/>
      <c r="R219" s="46"/>
      <c r="S219" s="51"/>
      <c r="T219" s="46"/>
      <c r="U219" s="46"/>
      <c r="V219" s="46"/>
      <c r="W219" s="46"/>
      <c r="X219" s="46"/>
      <c r="Y219" s="46"/>
      <c r="Z219" s="46"/>
      <c r="AA219" s="46"/>
      <c r="AB219" s="46"/>
      <c r="AC219" s="46"/>
      <c r="AD219" s="46"/>
      <c r="AE219" s="46"/>
    </row>
    <row r="220" ht="15.75" customHeight="1">
      <c r="A220" s="40">
        <f t="shared" si="9"/>
        <v>215</v>
      </c>
      <c r="B220" s="40" t="str">
        <f t="shared" si="10"/>
        <v>ADS-215</v>
      </c>
      <c r="C220" s="19" t="s">
        <v>84</v>
      </c>
      <c r="D220" s="60" t="s">
        <v>582</v>
      </c>
      <c r="E220" s="42" t="s">
        <v>84</v>
      </c>
      <c r="F220" s="82" t="s">
        <v>583</v>
      </c>
      <c r="G220" s="19" t="s">
        <v>161</v>
      </c>
      <c r="H220" s="40" t="s">
        <v>160</v>
      </c>
      <c r="I220" s="40" t="str">
        <f t="array" ref="I220">IF(G220="","",IFERROR(INDEX('Người sử dụng'!$H$5:$H$140,MATCH(G220,'Người sử dụng'!$C$5:$C$140,0)),"Chưa có trong DS"))</f>
        <v>Đang làm</v>
      </c>
      <c r="J220" s="19" t="s">
        <v>89</v>
      </c>
      <c r="K220" s="24"/>
      <c r="L220" s="23"/>
      <c r="M220" s="24"/>
      <c r="N220" s="24"/>
      <c r="O220" s="24"/>
      <c r="P220" s="26"/>
      <c r="Q220" s="51"/>
      <c r="R220" s="46"/>
      <c r="S220" s="51"/>
      <c r="T220" s="46"/>
      <c r="U220" s="46"/>
      <c r="V220" s="46"/>
      <c r="W220" s="46"/>
      <c r="X220" s="46"/>
      <c r="Y220" s="46"/>
      <c r="Z220" s="46"/>
      <c r="AA220" s="46"/>
      <c r="AB220" s="46"/>
      <c r="AC220" s="46"/>
      <c r="AD220" s="46"/>
      <c r="AE220" s="46"/>
    </row>
    <row r="221" ht="15.75" customHeight="1">
      <c r="A221" s="40">
        <f t="shared" si="9"/>
        <v>216</v>
      </c>
      <c r="B221" s="40" t="str">
        <f t="shared" si="10"/>
        <v>ADS-216</v>
      </c>
      <c r="C221" s="19" t="s">
        <v>84</v>
      </c>
      <c r="D221" s="60" t="s">
        <v>584</v>
      </c>
      <c r="E221" s="42" t="s">
        <v>84</v>
      </c>
      <c r="F221" s="82" t="s">
        <v>585</v>
      </c>
      <c r="G221" s="19" t="s">
        <v>161</v>
      </c>
      <c r="H221" s="40" t="s">
        <v>160</v>
      </c>
      <c r="I221" s="40" t="str">
        <f t="array" ref="I221">IF(G221="","",IFERROR(INDEX('Người sử dụng'!$H$5:$H$140,MATCH(G221,'Người sử dụng'!$C$5:$C$140,0)),"Chưa có trong DS"))</f>
        <v>Đang làm</v>
      </c>
      <c r="J221" s="19" t="s">
        <v>89</v>
      </c>
      <c r="K221" s="24"/>
      <c r="L221" s="23"/>
      <c r="M221" s="24"/>
      <c r="N221" s="24"/>
      <c r="O221" s="24"/>
      <c r="P221" s="26"/>
      <c r="Q221" s="51"/>
      <c r="R221" s="46"/>
      <c r="S221" s="51"/>
      <c r="T221" s="46"/>
      <c r="U221" s="46"/>
      <c r="V221" s="46"/>
      <c r="W221" s="46"/>
      <c r="X221" s="46"/>
      <c r="Y221" s="46"/>
      <c r="Z221" s="46"/>
      <c r="AA221" s="46"/>
      <c r="AB221" s="46"/>
      <c r="AC221" s="46"/>
      <c r="AD221" s="46"/>
      <c r="AE221" s="46"/>
    </row>
    <row r="222" ht="15.75" customHeight="1">
      <c r="A222" s="40">
        <f t="shared" si="9"/>
        <v>217</v>
      </c>
      <c r="B222" s="40" t="str">
        <f t="shared" si="10"/>
        <v>ADS-217</v>
      </c>
      <c r="C222" s="19" t="s">
        <v>84</v>
      </c>
      <c r="D222" s="60" t="s">
        <v>586</v>
      </c>
      <c r="E222" s="42" t="s">
        <v>84</v>
      </c>
      <c r="F222" s="82" t="s">
        <v>587</v>
      </c>
      <c r="G222" s="19" t="s">
        <v>161</v>
      </c>
      <c r="H222" s="40" t="s">
        <v>160</v>
      </c>
      <c r="I222" s="40" t="str">
        <f t="array" ref="I222">IF(G222="","",IFERROR(INDEX('Người sử dụng'!$H$5:$H$140,MATCH(G222,'Người sử dụng'!$C$5:$C$140,0)),"Chưa có trong DS"))</f>
        <v>Đang làm</v>
      </c>
      <c r="J222" s="19" t="s">
        <v>89</v>
      </c>
      <c r="K222" s="24"/>
      <c r="L222" s="23"/>
      <c r="M222" s="24"/>
      <c r="N222" s="24"/>
      <c r="O222" s="24"/>
      <c r="P222" s="26"/>
      <c r="Q222" s="51"/>
      <c r="R222" s="46"/>
      <c r="S222" s="51"/>
      <c r="T222" s="46"/>
      <c r="U222" s="46"/>
      <c r="V222" s="46"/>
      <c r="W222" s="46"/>
      <c r="X222" s="46"/>
      <c r="Y222" s="46"/>
      <c r="Z222" s="46"/>
      <c r="AA222" s="46"/>
      <c r="AB222" s="46"/>
      <c r="AC222" s="46"/>
      <c r="AD222" s="46"/>
      <c r="AE222" s="46"/>
    </row>
    <row r="223" ht="15.75" customHeight="1">
      <c r="A223" s="40">
        <f t="shared" si="9"/>
        <v>218</v>
      </c>
      <c r="B223" s="40" t="str">
        <f t="shared" si="10"/>
        <v>ADS-218</v>
      </c>
      <c r="C223" s="19" t="s">
        <v>101</v>
      </c>
      <c r="D223" s="83" t="s">
        <v>588</v>
      </c>
      <c r="E223" s="42" t="s">
        <v>101</v>
      </c>
      <c r="F223" s="53" t="s">
        <v>589</v>
      </c>
      <c r="G223" s="19" t="s">
        <v>161</v>
      </c>
      <c r="H223" s="40" t="s">
        <v>160</v>
      </c>
      <c r="I223" s="40" t="str">
        <f t="array" ref="I223">IF(G223="","",IFERROR(INDEX('Người sử dụng'!$H$5:$H$140,MATCH(G223,'Người sử dụng'!$C$5:$C$140,0)),"Chưa có trong DS"))</f>
        <v>Đang làm</v>
      </c>
      <c r="J223" s="19" t="s">
        <v>485</v>
      </c>
      <c r="K223" s="24"/>
      <c r="L223" s="23"/>
      <c r="M223" s="19" t="s">
        <v>91</v>
      </c>
      <c r="N223" s="19" t="s">
        <v>590</v>
      </c>
      <c r="O223" s="19" t="s">
        <v>143</v>
      </c>
      <c r="P223" s="26"/>
      <c r="Q223" s="42" t="s">
        <v>591</v>
      </c>
      <c r="R223" s="46"/>
      <c r="S223" s="51"/>
      <c r="T223" s="46"/>
      <c r="U223" s="46"/>
      <c r="V223" s="46"/>
      <c r="W223" s="46"/>
      <c r="X223" s="46"/>
      <c r="Y223" s="46"/>
      <c r="Z223" s="46"/>
      <c r="AA223" s="46"/>
      <c r="AB223" s="46"/>
      <c r="AC223" s="46"/>
      <c r="AD223" s="46"/>
      <c r="AE223" s="46"/>
    </row>
    <row r="224" ht="15.75" customHeight="1">
      <c r="A224" s="40">
        <f t="shared" si="9"/>
        <v>219</v>
      </c>
      <c r="B224" s="40" t="str">
        <f t="shared" si="10"/>
        <v>ADS-219</v>
      </c>
      <c r="C224" s="19" t="s">
        <v>101</v>
      </c>
      <c r="D224" s="83" t="s">
        <v>592</v>
      </c>
      <c r="E224" s="42" t="s">
        <v>101</v>
      </c>
      <c r="F224" s="45" t="s">
        <v>593</v>
      </c>
      <c r="G224" s="19" t="s">
        <v>161</v>
      </c>
      <c r="H224" s="40" t="s">
        <v>160</v>
      </c>
      <c r="I224" s="40" t="str">
        <f t="array" ref="I224">IF(G224="","",IFERROR(INDEX('Người sử dụng'!$H$5:$H$140,MATCH(G224,'Người sử dụng'!$C$5:$C$140,0)),"Chưa có trong DS"))</f>
        <v>Đang làm</v>
      </c>
      <c r="J224" s="19" t="s">
        <v>485</v>
      </c>
      <c r="K224" s="24"/>
      <c r="L224" s="23"/>
      <c r="M224" s="19" t="s">
        <v>91</v>
      </c>
      <c r="N224" s="19" t="s">
        <v>590</v>
      </c>
      <c r="O224" s="19" t="s">
        <v>143</v>
      </c>
      <c r="P224" s="26"/>
      <c r="Q224" s="42" t="s">
        <v>184</v>
      </c>
      <c r="R224" s="46"/>
      <c r="S224" s="51"/>
      <c r="T224" s="46"/>
      <c r="U224" s="46"/>
      <c r="V224" s="46"/>
      <c r="W224" s="46"/>
      <c r="X224" s="46"/>
      <c r="Y224" s="46"/>
      <c r="Z224" s="46"/>
      <c r="AA224" s="46"/>
      <c r="AB224" s="46"/>
      <c r="AC224" s="46"/>
      <c r="AD224" s="46"/>
      <c r="AE224" s="46"/>
    </row>
    <row r="225" ht="15.75" customHeight="1">
      <c r="A225" s="40">
        <f t="shared" si="9"/>
        <v>220</v>
      </c>
      <c r="B225" s="40" t="str">
        <f t="shared" si="10"/>
        <v>ADS-220</v>
      </c>
      <c r="C225" s="19" t="s">
        <v>101</v>
      </c>
      <c r="D225" s="83" t="s">
        <v>594</v>
      </c>
      <c r="E225" s="42" t="s">
        <v>595</v>
      </c>
      <c r="F225" s="53" t="s">
        <v>596</v>
      </c>
      <c r="G225" s="19" t="s">
        <v>161</v>
      </c>
      <c r="H225" s="40" t="s">
        <v>160</v>
      </c>
      <c r="I225" s="40" t="str">
        <f t="array" ref="I225">IF(G225="","",IFERROR(INDEX('Người sử dụng'!$H$5:$H$140,MATCH(G225,'Người sử dụng'!$C$5:$C$140,0)),"Chưa có trong DS"))</f>
        <v>Đang làm</v>
      </c>
      <c r="J225" s="19" t="s">
        <v>485</v>
      </c>
      <c r="K225" s="24"/>
      <c r="L225" s="23"/>
      <c r="M225" s="19" t="s">
        <v>91</v>
      </c>
      <c r="N225" s="19" t="s">
        <v>590</v>
      </c>
      <c r="O225" s="19" t="s">
        <v>143</v>
      </c>
      <c r="P225" s="26"/>
      <c r="Q225" s="42" t="s">
        <v>184</v>
      </c>
      <c r="R225" s="46"/>
      <c r="S225" s="51"/>
      <c r="T225" s="46"/>
      <c r="U225" s="46"/>
      <c r="V225" s="46"/>
      <c r="W225" s="46"/>
      <c r="X225" s="46"/>
      <c r="Y225" s="46"/>
      <c r="Z225" s="46"/>
      <c r="AA225" s="46"/>
      <c r="AB225" s="46"/>
      <c r="AC225" s="46"/>
      <c r="AD225" s="46"/>
      <c r="AE225" s="46"/>
    </row>
    <row r="226" ht="15.75" customHeight="1">
      <c r="A226" s="40">
        <f t="shared" si="9"/>
        <v>221</v>
      </c>
      <c r="B226" s="40" t="str">
        <f t="shared" si="10"/>
        <v>ADS-221</v>
      </c>
      <c r="C226" s="19" t="s">
        <v>101</v>
      </c>
      <c r="D226" s="83" t="s">
        <v>597</v>
      </c>
      <c r="E226" s="42" t="s">
        <v>101</v>
      </c>
      <c r="F226" s="53" t="s">
        <v>598</v>
      </c>
      <c r="G226" s="19" t="s">
        <v>161</v>
      </c>
      <c r="H226" s="40" t="s">
        <v>160</v>
      </c>
      <c r="I226" s="40" t="str">
        <f t="array" ref="I226">IF(G226="","",IFERROR(INDEX('Người sử dụng'!$H$5:$H$140,MATCH(G226,'Người sử dụng'!$C$5:$C$140,0)),"Chưa có trong DS"))</f>
        <v>Đang làm</v>
      </c>
      <c r="J226" s="19" t="s">
        <v>485</v>
      </c>
      <c r="K226" s="24"/>
      <c r="L226" s="23"/>
      <c r="M226" s="19" t="s">
        <v>91</v>
      </c>
      <c r="N226" s="19" t="s">
        <v>288</v>
      </c>
      <c r="O226" s="19" t="s">
        <v>143</v>
      </c>
      <c r="P226" s="26"/>
      <c r="Q226" s="42" t="s">
        <v>184</v>
      </c>
      <c r="R226" s="46"/>
      <c r="S226" s="51"/>
      <c r="T226" s="46"/>
      <c r="U226" s="46"/>
      <c r="V226" s="46"/>
      <c r="W226" s="46"/>
      <c r="X226" s="46"/>
      <c r="Y226" s="46"/>
      <c r="Z226" s="46"/>
      <c r="AA226" s="46"/>
      <c r="AB226" s="46"/>
      <c r="AC226" s="46"/>
      <c r="AD226" s="46"/>
      <c r="AE226" s="46"/>
    </row>
    <row r="227" ht="15.75" customHeight="1">
      <c r="A227" s="40" t="str">
        <f t="shared" si="9"/>
        <v/>
      </c>
      <c r="B227" s="40" t="str">
        <f t="shared" si="10"/>
        <v/>
      </c>
      <c r="C227" s="24"/>
      <c r="D227" s="23"/>
      <c r="E227" s="51"/>
      <c r="F227" s="51"/>
      <c r="G227" s="24"/>
      <c r="H227" s="40"/>
      <c r="I227" s="40" t="str">
        <f t="array" ref="I227">IF(G227="","",IFERROR(INDEX('Người sử dụng'!$H$5:$H$140,MATCH(G227,'Người sử dụng'!$C$5:$C$140,0)),"Chưa có trong DS"))</f>
        <v/>
      </c>
      <c r="J227" s="24"/>
      <c r="K227" s="24"/>
      <c r="L227" s="23"/>
      <c r="M227" s="24"/>
      <c r="N227" s="24"/>
      <c r="O227" s="24"/>
      <c r="P227" s="26"/>
      <c r="Q227" s="51"/>
      <c r="R227" s="46"/>
      <c r="S227" s="51"/>
      <c r="T227" s="46"/>
      <c r="U227" s="46"/>
      <c r="V227" s="46"/>
      <c r="W227" s="46"/>
      <c r="X227" s="46"/>
      <c r="Y227" s="46"/>
      <c r="Z227" s="46"/>
      <c r="AA227" s="46"/>
      <c r="AB227" s="46"/>
      <c r="AC227" s="46"/>
      <c r="AD227" s="46"/>
      <c r="AE227" s="46"/>
    </row>
    <row r="228" ht="15.75" customHeight="1">
      <c r="A228" s="40" t="str">
        <f t="shared" si="9"/>
        <v/>
      </c>
      <c r="B228" s="40" t="str">
        <f t="shared" si="10"/>
        <v/>
      </c>
      <c r="C228" s="24"/>
      <c r="D228" s="23"/>
      <c r="E228" s="51"/>
      <c r="F228" s="51"/>
      <c r="G228" s="24"/>
      <c r="H228" s="40"/>
      <c r="I228" s="40" t="str">
        <f t="array" ref="I228">IF(G228="","",IFERROR(INDEX('Người sử dụng'!$H$5:$H$140,MATCH(G228,'Người sử dụng'!$C$5:$C$140,0)),"Chưa có trong DS"))</f>
        <v/>
      </c>
      <c r="J228" s="24"/>
      <c r="K228" s="24"/>
      <c r="L228" s="23"/>
      <c r="M228" s="24"/>
      <c r="N228" s="24"/>
      <c r="O228" s="24"/>
      <c r="P228" s="26"/>
      <c r="Q228" s="51"/>
      <c r="R228" s="46"/>
      <c r="S228" s="51"/>
      <c r="T228" s="46"/>
      <c r="U228" s="46"/>
      <c r="V228" s="46"/>
      <c r="W228" s="46"/>
      <c r="X228" s="46"/>
      <c r="Y228" s="46"/>
      <c r="Z228" s="46"/>
      <c r="AA228" s="46"/>
      <c r="AB228" s="46"/>
      <c r="AC228" s="46"/>
      <c r="AD228" s="46"/>
      <c r="AE228" s="46"/>
    </row>
    <row r="229" ht="15.75" customHeight="1">
      <c r="A229" s="40" t="str">
        <f t="shared" si="9"/>
        <v/>
      </c>
      <c r="B229" s="40" t="str">
        <f t="shared" si="10"/>
        <v/>
      </c>
      <c r="C229" s="24"/>
      <c r="D229" s="23"/>
      <c r="E229" s="51"/>
      <c r="F229" s="51"/>
      <c r="G229" s="24"/>
      <c r="H229" s="40"/>
      <c r="I229" s="40" t="str">
        <f t="array" ref="I229">IF(G229="","",IFERROR(INDEX('Người sử dụng'!$H$5:$H$140,MATCH(G229,'Người sử dụng'!$C$5:$C$140,0)),"Chưa có trong DS"))</f>
        <v/>
      </c>
      <c r="J229" s="24"/>
      <c r="K229" s="24"/>
      <c r="L229" s="23"/>
      <c r="M229" s="24"/>
      <c r="N229" s="24"/>
      <c r="O229" s="24"/>
      <c r="P229" s="26"/>
      <c r="Q229" s="51"/>
      <c r="R229" s="46"/>
      <c r="S229" s="51"/>
      <c r="T229" s="46"/>
      <c r="U229" s="46"/>
      <c r="V229" s="46"/>
      <c r="W229" s="46"/>
      <c r="X229" s="46"/>
      <c r="Y229" s="46"/>
      <c r="Z229" s="46"/>
      <c r="AA229" s="46"/>
      <c r="AB229" s="46"/>
      <c r="AC229" s="46"/>
      <c r="AD229" s="46"/>
      <c r="AE229" s="46"/>
    </row>
    <row r="230" ht="15.75" customHeight="1">
      <c r="A230" s="40" t="str">
        <f t="shared" si="9"/>
        <v/>
      </c>
      <c r="B230" s="40" t="str">
        <f t="shared" si="10"/>
        <v/>
      </c>
      <c r="C230" s="24"/>
      <c r="D230" s="23"/>
      <c r="E230" s="51"/>
      <c r="F230" s="51"/>
      <c r="G230" s="24"/>
      <c r="H230" s="40"/>
      <c r="I230" s="40" t="str">
        <f t="array" ref="I230">IF(G230="","",IFERROR(INDEX('Người sử dụng'!$H$5:$H$140,MATCH(G230,'Người sử dụng'!$C$5:$C$140,0)),"Chưa có trong DS"))</f>
        <v/>
      </c>
      <c r="J230" s="24"/>
      <c r="K230" s="24"/>
      <c r="L230" s="23"/>
      <c r="M230" s="24"/>
      <c r="N230" s="24"/>
      <c r="O230" s="24"/>
      <c r="P230" s="26"/>
      <c r="Q230" s="51"/>
      <c r="R230" s="46"/>
      <c r="S230" s="51"/>
      <c r="T230" s="46"/>
      <c r="U230" s="46"/>
      <c r="V230" s="46"/>
      <c r="W230" s="46"/>
      <c r="X230" s="46"/>
      <c r="Y230" s="46"/>
      <c r="Z230" s="46"/>
      <c r="AA230" s="46"/>
      <c r="AB230" s="46"/>
      <c r="AC230" s="46"/>
      <c r="AD230" s="46"/>
      <c r="AE230" s="46"/>
    </row>
    <row r="231" ht="15.75" customHeight="1">
      <c r="A231" s="40" t="str">
        <f t="shared" si="9"/>
        <v/>
      </c>
      <c r="B231" s="40" t="str">
        <f t="shared" si="10"/>
        <v/>
      </c>
      <c r="C231" s="24"/>
      <c r="D231" s="23"/>
      <c r="E231" s="51"/>
      <c r="F231" s="51"/>
      <c r="G231" s="24"/>
      <c r="H231" s="40"/>
      <c r="I231" s="40" t="str">
        <f t="array" ref="I231">IF(G231="","",IFERROR(INDEX('Người sử dụng'!$H$5:$H$140,MATCH(G231,'Người sử dụng'!$C$5:$C$140,0)),"Chưa có trong DS"))</f>
        <v/>
      </c>
      <c r="J231" s="24"/>
      <c r="K231" s="24"/>
      <c r="L231" s="23"/>
      <c r="M231" s="24"/>
      <c r="N231" s="24"/>
      <c r="O231" s="24"/>
      <c r="P231" s="26"/>
      <c r="Q231" s="51"/>
      <c r="R231" s="46"/>
      <c r="S231" s="51"/>
      <c r="T231" s="46"/>
      <c r="U231" s="46"/>
      <c r="V231" s="46"/>
      <c r="W231" s="46"/>
      <c r="X231" s="46"/>
      <c r="Y231" s="46"/>
      <c r="Z231" s="46"/>
      <c r="AA231" s="46"/>
      <c r="AB231" s="46"/>
      <c r="AC231" s="46"/>
      <c r="AD231" s="46"/>
      <c r="AE231" s="46"/>
    </row>
    <row r="232" ht="15.75" customHeight="1">
      <c r="A232" s="40" t="str">
        <f t="shared" si="9"/>
        <v/>
      </c>
      <c r="B232" s="40" t="str">
        <f t="shared" si="10"/>
        <v/>
      </c>
      <c r="C232" s="24"/>
      <c r="D232" s="23"/>
      <c r="E232" s="51"/>
      <c r="F232" s="51"/>
      <c r="G232" s="24"/>
      <c r="H232" s="40"/>
      <c r="I232" s="40" t="str">
        <f t="array" ref="I232">IF(G232="","",IFERROR(INDEX('Người sử dụng'!$H$5:$H$140,MATCH(G232,'Người sử dụng'!$C$5:$C$140,0)),"Chưa có trong DS"))</f>
        <v/>
      </c>
      <c r="J232" s="24"/>
      <c r="K232" s="24"/>
      <c r="L232" s="23"/>
      <c r="M232" s="24"/>
      <c r="N232" s="24"/>
      <c r="O232" s="24"/>
      <c r="P232" s="26"/>
      <c r="Q232" s="51"/>
      <c r="R232" s="46"/>
      <c r="S232" s="51"/>
      <c r="T232" s="46"/>
      <c r="U232" s="46"/>
      <c r="V232" s="46"/>
      <c r="W232" s="46"/>
      <c r="X232" s="46"/>
      <c r="Y232" s="46"/>
      <c r="Z232" s="46"/>
      <c r="AA232" s="46"/>
      <c r="AB232" s="46"/>
      <c r="AC232" s="46"/>
      <c r="AD232" s="46"/>
      <c r="AE232" s="46"/>
    </row>
    <row r="233" ht="15.75" customHeight="1">
      <c r="A233" s="40" t="str">
        <f t="shared" si="9"/>
        <v/>
      </c>
      <c r="B233" s="40" t="str">
        <f t="shared" si="10"/>
        <v/>
      </c>
      <c r="C233" s="24"/>
      <c r="D233" s="23"/>
      <c r="E233" s="51"/>
      <c r="F233" s="51"/>
      <c r="G233" s="24"/>
      <c r="H233" s="40"/>
      <c r="I233" s="40" t="str">
        <f t="array" ref="I233">IF(G233="","",IFERROR(INDEX('Người sử dụng'!$H$5:$H$140,MATCH(G233,'Người sử dụng'!$C$5:$C$140,0)),"Chưa có trong DS"))</f>
        <v/>
      </c>
      <c r="J233" s="24"/>
      <c r="K233" s="24"/>
      <c r="L233" s="23"/>
      <c r="M233" s="24"/>
      <c r="N233" s="24"/>
      <c r="O233" s="24"/>
      <c r="P233" s="26"/>
      <c r="Q233" s="51"/>
      <c r="R233" s="46"/>
      <c r="S233" s="51"/>
      <c r="T233" s="46"/>
      <c r="U233" s="46"/>
      <c r="V233" s="46"/>
      <c r="W233" s="46"/>
      <c r="X233" s="46"/>
      <c r="Y233" s="46"/>
      <c r="Z233" s="46"/>
      <c r="AA233" s="46"/>
      <c r="AB233" s="46"/>
      <c r="AC233" s="46"/>
      <c r="AD233" s="46"/>
      <c r="AE233" s="46"/>
    </row>
    <row r="234" ht="15.75" customHeight="1">
      <c r="A234" s="40" t="str">
        <f t="shared" si="9"/>
        <v/>
      </c>
      <c r="B234" s="40" t="str">
        <f t="shared" si="10"/>
        <v/>
      </c>
      <c r="C234" s="24"/>
      <c r="D234" s="23"/>
      <c r="E234" s="51"/>
      <c r="F234" s="51"/>
      <c r="G234" s="24"/>
      <c r="H234" s="40"/>
      <c r="I234" s="40" t="str">
        <f t="array" ref="I234">IF(G234="","",IFERROR(INDEX('Người sử dụng'!$H$5:$H$140,MATCH(G234,'Người sử dụng'!$C$5:$C$140,0)),"Chưa có trong DS"))</f>
        <v/>
      </c>
      <c r="J234" s="24"/>
      <c r="K234" s="24"/>
      <c r="L234" s="23"/>
      <c r="M234" s="24"/>
      <c r="N234" s="24"/>
      <c r="O234" s="24"/>
      <c r="P234" s="26"/>
      <c r="Q234" s="51"/>
      <c r="R234" s="46"/>
      <c r="S234" s="51"/>
      <c r="T234" s="46"/>
      <c r="U234" s="46"/>
      <c r="V234" s="46"/>
      <c r="W234" s="46"/>
      <c r="X234" s="46"/>
      <c r="Y234" s="46"/>
      <c r="Z234" s="46"/>
      <c r="AA234" s="46"/>
      <c r="AB234" s="46"/>
      <c r="AC234" s="46"/>
      <c r="AD234" s="46"/>
      <c r="AE234" s="46"/>
    </row>
    <row r="235" ht="15.75" customHeight="1">
      <c r="A235" s="40" t="str">
        <f t="shared" si="9"/>
        <v/>
      </c>
      <c r="B235" s="40" t="str">
        <f t="shared" si="10"/>
        <v/>
      </c>
      <c r="C235" s="24"/>
      <c r="D235" s="23"/>
      <c r="E235" s="51"/>
      <c r="F235" s="51"/>
      <c r="G235" s="24"/>
      <c r="H235" s="40"/>
      <c r="I235" s="40" t="str">
        <f t="array" ref="I235">IF(G235="","",IFERROR(INDEX('Người sử dụng'!$H$5:$H$140,MATCH(G235,'Người sử dụng'!$C$5:$C$140,0)),"Chưa có trong DS"))</f>
        <v/>
      </c>
      <c r="J235" s="24"/>
      <c r="K235" s="24"/>
      <c r="L235" s="23"/>
      <c r="M235" s="24"/>
      <c r="N235" s="24"/>
      <c r="O235" s="24"/>
      <c r="P235" s="26"/>
      <c r="Q235" s="51"/>
      <c r="R235" s="46"/>
      <c r="S235" s="51"/>
      <c r="T235" s="46"/>
      <c r="U235" s="46"/>
      <c r="V235" s="46"/>
      <c r="W235" s="46"/>
      <c r="X235" s="46"/>
      <c r="Y235" s="46"/>
      <c r="Z235" s="46"/>
      <c r="AA235" s="46"/>
      <c r="AB235" s="46"/>
      <c r="AC235" s="46"/>
      <c r="AD235" s="46"/>
      <c r="AE235" s="46"/>
    </row>
    <row r="236" ht="15.75" customHeight="1">
      <c r="A236" s="40">
        <f t="shared" si="9"/>
        <v>231</v>
      </c>
      <c r="B236" s="40" t="str">
        <f t="shared" si="10"/>
        <v>ADS-231</v>
      </c>
      <c r="C236" s="19" t="s">
        <v>101</v>
      </c>
      <c r="D236" s="41" t="s">
        <v>599</v>
      </c>
      <c r="E236" s="42" t="s">
        <v>595</v>
      </c>
      <c r="F236" s="53" t="s">
        <v>600</v>
      </c>
      <c r="G236" s="19" t="s">
        <v>140</v>
      </c>
      <c r="H236" s="40" t="s">
        <v>139</v>
      </c>
      <c r="I236" s="40" t="str">
        <f t="array" ref="I236">IF(G236="","",IFERROR(INDEX('Người sử dụng'!$H$5:$H$140,MATCH(G236,'Người sử dụng'!$C$5:$C$140,0)),"Chưa có trong DS"))</f>
        <v>Đang làm</v>
      </c>
      <c r="J236" s="19" t="s">
        <v>485</v>
      </c>
      <c r="K236" s="24"/>
      <c r="L236" s="23"/>
      <c r="M236" s="19" t="s">
        <v>91</v>
      </c>
      <c r="N236" s="19" t="s">
        <v>601</v>
      </c>
      <c r="O236" s="19" t="s">
        <v>143</v>
      </c>
      <c r="P236" s="26"/>
      <c r="Q236" s="42" t="s">
        <v>184</v>
      </c>
      <c r="R236" s="46"/>
      <c r="S236" s="51"/>
      <c r="T236" s="46"/>
      <c r="U236" s="46"/>
      <c r="V236" s="46"/>
      <c r="W236" s="46"/>
      <c r="X236" s="46"/>
      <c r="Y236" s="46"/>
      <c r="Z236" s="46"/>
      <c r="AA236" s="46"/>
      <c r="AB236" s="46"/>
      <c r="AC236" s="46"/>
      <c r="AD236" s="46"/>
      <c r="AE236" s="46"/>
    </row>
    <row r="237" ht="15.75" customHeight="1">
      <c r="A237" s="40">
        <f t="shared" si="9"/>
        <v>232</v>
      </c>
      <c r="B237" s="40" t="str">
        <f t="shared" si="10"/>
        <v>ADS-232</v>
      </c>
      <c r="C237" s="19" t="s">
        <v>104</v>
      </c>
      <c r="D237" s="84" t="s">
        <v>602</v>
      </c>
      <c r="E237" s="42" t="s">
        <v>104</v>
      </c>
      <c r="F237" s="51"/>
      <c r="G237" s="19" t="s">
        <v>140</v>
      </c>
      <c r="H237" s="40" t="s">
        <v>139</v>
      </c>
      <c r="I237" s="40" t="str">
        <f t="array" ref="I237">IF(G237="","",IFERROR(INDEX('Người sử dụng'!$H$5:$H$140,MATCH(G237,'Người sử dụng'!$C$5:$C$140,0)),"Chưa có trong DS"))</f>
        <v>Đang làm</v>
      </c>
      <c r="J237" s="19" t="s">
        <v>545</v>
      </c>
      <c r="K237" s="24"/>
      <c r="L237" s="23"/>
      <c r="M237" s="24"/>
      <c r="N237" s="24"/>
      <c r="O237" s="24"/>
      <c r="P237" s="26"/>
      <c r="Q237" s="51"/>
      <c r="R237" s="46"/>
      <c r="S237" s="51"/>
      <c r="T237" s="46"/>
      <c r="U237" s="46"/>
      <c r="V237" s="46"/>
      <c r="W237" s="46"/>
      <c r="X237" s="46"/>
      <c r="Y237" s="46"/>
      <c r="Z237" s="46"/>
      <c r="AA237" s="46"/>
      <c r="AB237" s="46"/>
      <c r="AC237" s="46"/>
      <c r="AD237" s="46"/>
      <c r="AE237" s="46"/>
    </row>
    <row r="238" ht="15.75" customHeight="1">
      <c r="A238" s="40">
        <f t="shared" si="9"/>
        <v>233</v>
      </c>
      <c r="B238" s="40" t="str">
        <f t="shared" si="10"/>
        <v>ADS-233</v>
      </c>
      <c r="C238" s="19" t="s">
        <v>104</v>
      </c>
      <c r="D238" s="84" t="s">
        <v>603</v>
      </c>
      <c r="E238" s="42" t="s">
        <v>104</v>
      </c>
      <c r="F238" s="51"/>
      <c r="G238" s="19" t="s">
        <v>140</v>
      </c>
      <c r="H238" s="40" t="s">
        <v>139</v>
      </c>
      <c r="I238" s="40" t="str">
        <f t="array" ref="I238">IF(G238="","",IFERROR(INDEX('Người sử dụng'!$H$5:$H$140,MATCH(G238,'Người sử dụng'!$C$5:$C$140,0)),"Chưa có trong DS"))</f>
        <v>Đang làm</v>
      </c>
      <c r="J238" s="19" t="s">
        <v>545</v>
      </c>
      <c r="K238" s="24"/>
      <c r="L238" s="23"/>
      <c r="M238" s="24"/>
      <c r="N238" s="24"/>
      <c r="O238" s="24"/>
      <c r="P238" s="26"/>
      <c r="Q238" s="51"/>
      <c r="R238" s="46"/>
      <c r="S238" s="51"/>
      <c r="T238" s="46"/>
      <c r="U238" s="46"/>
      <c r="V238" s="46"/>
      <c r="W238" s="46"/>
      <c r="X238" s="46"/>
      <c r="Y238" s="46"/>
      <c r="Z238" s="46"/>
      <c r="AA238" s="46"/>
      <c r="AB238" s="46"/>
      <c r="AC238" s="46"/>
      <c r="AD238" s="46"/>
      <c r="AE238" s="46"/>
    </row>
    <row r="239" ht="15.75" customHeight="1">
      <c r="A239" s="40">
        <f t="shared" si="9"/>
        <v>234</v>
      </c>
      <c r="B239" s="40" t="str">
        <f t="shared" si="10"/>
        <v>ADS-234</v>
      </c>
      <c r="C239" s="19" t="s">
        <v>104</v>
      </c>
      <c r="D239" s="84" t="s">
        <v>604</v>
      </c>
      <c r="E239" s="42" t="s">
        <v>104</v>
      </c>
      <c r="F239" s="51"/>
      <c r="G239" s="19" t="s">
        <v>140</v>
      </c>
      <c r="H239" s="40" t="s">
        <v>139</v>
      </c>
      <c r="I239" s="40" t="str">
        <f t="array" ref="I239">IF(G239="","",IFERROR(INDEX('Người sử dụng'!$H$5:$H$140,MATCH(G239,'Người sử dụng'!$C$5:$C$140,0)),"Chưa có trong DS"))</f>
        <v>Đang làm</v>
      </c>
      <c r="J239" s="19" t="s">
        <v>545</v>
      </c>
      <c r="K239" s="24"/>
      <c r="L239" s="23"/>
      <c r="M239" s="24"/>
      <c r="N239" s="24"/>
      <c r="O239" s="24"/>
      <c r="P239" s="26"/>
      <c r="Q239" s="51"/>
      <c r="R239" s="46"/>
      <c r="S239" s="51"/>
      <c r="T239" s="46"/>
      <c r="U239" s="46"/>
      <c r="V239" s="46"/>
      <c r="W239" s="46"/>
      <c r="X239" s="46"/>
      <c r="Y239" s="46"/>
      <c r="Z239" s="46"/>
      <c r="AA239" s="46"/>
      <c r="AB239" s="46"/>
      <c r="AC239" s="46"/>
      <c r="AD239" s="46"/>
      <c r="AE239" s="46"/>
    </row>
    <row r="240" ht="15.75" customHeight="1">
      <c r="A240" s="40">
        <f t="shared" si="9"/>
        <v>235</v>
      </c>
      <c r="B240" s="40" t="str">
        <f t="shared" si="10"/>
        <v>ADS-235</v>
      </c>
      <c r="C240" s="19" t="s">
        <v>104</v>
      </c>
      <c r="D240" s="84" t="s">
        <v>605</v>
      </c>
      <c r="E240" s="42" t="s">
        <v>104</v>
      </c>
      <c r="F240" s="51"/>
      <c r="G240" s="19" t="s">
        <v>140</v>
      </c>
      <c r="H240" s="40" t="s">
        <v>139</v>
      </c>
      <c r="I240" s="40" t="str">
        <f t="array" ref="I240">IF(G240="","",IFERROR(INDEX('Người sử dụng'!$H$5:$H$140,MATCH(G240,'Người sử dụng'!$C$5:$C$140,0)),"Chưa có trong DS"))</f>
        <v>Đang làm</v>
      </c>
      <c r="J240" s="19" t="s">
        <v>545</v>
      </c>
      <c r="K240" s="24"/>
      <c r="L240" s="23"/>
      <c r="M240" s="24"/>
      <c r="N240" s="24"/>
      <c r="O240" s="24"/>
      <c r="P240" s="26"/>
      <c r="Q240" s="51"/>
      <c r="R240" s="46"/>
      <c r="S240" s="51"/>
      <c r="T240" s="46"/>
      <c r="U240" s="46"/>
      <c r="V240" s="46"/>
      <c r="W240" s="46"/>
      <c r="X240" s="46"/>
      <c r="Y240" s="46"/>
      <c r="Z240" s="46"/>
      <c r="AA240" s="46"/>
      <c r="AB240" s="46"/>
      <c r="AC240" s="46"/>
      <c r="AD240" s="46"/>
      <c r="AE240" s="46"/>
    </row>
    <row r="241" ht="15.75" customHeight="1">
      <c r="A241" s="40">
        <f t="shared" si="9"/>
        <v>236</v>
      </c>
      <c r="B241" s="40" t="str">
        <f t="shared" si="10"/>
        <v>ADS-236</v>
      </c>
      <c r="C241" s="19" t="s">
        <v>104</v>
      </c>
      <c r="D241" s="84" t="s">
        <v>605</v>
      </c>
      <c r="E241" s="42" t="s">
        <v>104</v>
      </c>
      <c r="F241" s="51"/>
      <c r="G241" s="19" t="s">
        <v>140</v>
      </c>
      <c r="H241" s="40" t="s">
        <v>139</v>
      </c>
      <c r="I241" s="40" t="str">
        <f t="array" ref="I241">IF(G241="","",IFERROR(INDEX('Người sử dụng'!$H$5:$H$140,MATCH(G241,'Người sử dụng'!$C$5:$C$140,0)),"Chưa có trong DS"))</f>
        <v>Đang làm</v>
      </c>
      <c r="J241" s="19" t="s">
        <v>545</v>
      </c>
      <c r="K241" s="24"/>
      <c r="L241" s="23"/>
      <c r="M241" s="24"/>
      <c r="N241" s="24"/>
      <c r="O241" s="24"/>
      <c r="P241" s="26"/>
      <c r="Q241" s="51"/>
      <c r="R241" s="46"/>
      <c r="S241" s="51"/>
      <c r="T241" s="46"/>
      <c r="U241" s="46"/>
      <c r="V241" s="46"/>
      <c r="W241" s="46"/>
      <c r="X241" s="46"/>
      <c r="Y241" s="46"/>
      <c r="Z241" s="46"/>
      <c r="AA241" s="46"/>
      <c r="AB241" s="46"/>
      <c r="AC241" s="46"/>
      <c r="AD241" s="46"/>
      <c r="AE241" s="46"/>
    </row>
    <row r="242" ht="15.75" customHeight="1">
      <c r="A242" s="40" t="str">
        <f t="shared" si="9"/>
        <v/>
      </c>
      <c r="B242" s="40" t="str">
        <f t="shared" si="10"/>
        <v/>
      </c>
      <c r="C242" s="24"/>
      <c r="D242" s="23"/>
      <c r="E242" s="51"/>
      <c r="F242" s="51"/>
      <c r="G242" s="24"/>
      <c r="H242" s="40"/>
      <c r="I242" s="40" t="str">
        <f t="array" ref="I242">IF(G242="","",IFERROR(INDEX('Người sử dụng'!$H$5:$H$140,MATCH(G242,'Người sử dụng'!$C$5:$C$140,0)),"Chưa có trong DS"))</f>
        <v/>
      </c>
      <c r="J242" s="24"/>
      <c r="K242" s="24"/>
      <c r="L242" s="23"/>
      <c r="M242" s="24"/>
      <c r="N242" s="24"/>
      <c r="O242" s="24"/>
      <c r="P242" s="26"/>
      <c r="Q242" s="51"/>
      <c r="R242" s="46"/>
      <c r="S242" s="51"/>
      <c r="T242" s="46"/>
      <c r="U242" s="46"/>
      <c r="V242" s="46"/>
      <c r="W242" s="46"/>
      <c r="X242" s="46"/>
      <c r="Y242" s="46"/>
      <c r="Z242" s="46"/>
      <c r="AA242" s="46"/>
      <c r="AB242" s="46"/>
      <c r="AC242" s="46"/>
      <c r="AD242" s="46"/>
      <c r="AE242" s="46"/>
    </row>
    <row r="243" ht="15.75" customHeight="1">
      <c r="A243" s="40" t="str">
        <f t="shared" si="9"/>
        <v/>
      </c>
      <c r="B243" s="40" t="str">
        <f t="shared" si="10"/>
        <v/>
      </c>
      <c r="C243" s="24"/>
      <c r="D243" s="23"/>
      <c r="E243" s="51"/>
      <c r="F243" s="51"/>
      <c r="G243" s="24"/>
      <c r="H243" s="40"/>
      <c r="I243" s="40" t="str">
        <f t="array" ref="I243">IF(G243="","",IFERROR(INDEX('Người sử dụng'!$H$5:$H$140,MATCH(G243,'Người sử dụng'!$C$5:$C$140,0)),"Chưa có trong DS"))</f>
        <v/>
      </c>
      <c r="J243" s="24"/>
      <c r="K243" s="24"/>
      <c r="L243" s="23"/>
      <c r="M243" s="24"/>
      <c r="N243" s="24"/>
      <c r="O243" s="24"/>
      <c r="P243" s="26"/>
      <c r="Q243" s="51"/>
      <c r="R243" s="46"/>
      <c r="S243" s="51"/>
      <c r="T243" s="46"/>
      <c r="U243" s="46"/>
      <c r="V243" s="46"/>
      <c r="W243" s="46"/>
      <c r="X243" s="46"/>
      <c r="Y243" s="46"/>
      <c r="Z243" s="46"/>
      <c r="AA243" s="46"/>
      <c r="AB243" s="46"/>
      <c r="AC243" s="46"/>
      <c r="AD243" s="46"/>
      <c r="AE243" s="46"/>
    </row>
    <row r="244" ht="15.75" customHeight="1">
      <c r="A244" s="40" t="str">
        <f t="shared" si="9"/>
        <v/>
      </c>
      <c r="B244" s="40" t="str">
        <f t="shared" si="10"/>
        <v/>
      </c>
      <c r="C244" s="24"/>
      <c r="D244" s="23"/>
      <c r="E244" s="51"/>
      <c r="F244" s="51"/>
      <c r="G244" s="24"/>
      <c r="H244" s="40"/>
      <c r="I244" s="40" t="str">
        <f t="array" ref="I244">IF(G244="","",IFERROR(INDEX('Người sử dụng'!$H$5:$H$140,MATCH(G244,'Người sử dụng'!$C$5:$C$140,0)),"Chưa có trong DS"))</f>
        <v/>
      </c>
      <c r="J244" s="24"/>
      <c r="K244" s="24"/>
      <c r="L244" s="23"/>
      <c r="M244" s="24"/>
      <c r="N244" s="24"/>
      <c r="O244" s="24"/>
      <c r="P244" s="26"/>
      <c r="Q244" s="51"/>
      <c r="R244" s="46"/>
      <c r="S244" s="51"/>
      <c r="T244" s="46"/>
      <c r="U244" s="46"/>
      <c r="V244" s="46"/>
      <c r="W244" s="46"/>
      <c r="X244" s="46"/>
      <c r="Y244" s="46"/>
      <c r="Z244" s="46"/>
      <c r="AA244" s="46"/>
      <c r="AB244" s="46"/>
      <c r="AC244" s="46"/>
      <c r="AD244" s="46"/>
      <c r="AE244" s="46"/>
    </row>
    <row r="245" ht="15.75" customHeight="1">
      <c r="A245" s="40" t="str">
        <f t="shared" si="9"/>
        <v/>
      </c>
      <c r="B245" s="40" t="str">
        <f t="shared" si="10"/>
        <v/>
      </c>
      <c r="C245" s="24"/>
      <c r="D245" s="23"/>
      <c r="E245" s="51"/>
      <c r="F245" s="51"/>
      <c r="G245" s="24"/>
      <c r="H245" s="40"/>
      <c r="I245" s="40" t="str">
        <f t="array" ref="I245">IF(G245="","",IFERROR(INDEX('Người sử dụng'!$H$5:$H$140,MATCH(G245,'Người sử dụng'!$C$5:$C$140,0)),"Chưa có trong DS"))</f>
        <v/>
      </c>
      <c r="J245" s="24"/>
      <c r="K245" s="24"/>
      <c r="L245" s="23"/>
      <c r="M245" s="24"/>
      <c r="N245" s="24"/>
      <c r="O245" s="24"/>
      <c r="P245" s="26"/>
      <c r="Q245" s="51"/>
      <c r="R245" s="46"/>
      <c r="S245" s="51"/>
      <c r="T245" s="46"/>
      <c r="U245" s="46"/>
      <c r="V245" s="46"/>
      <c r="W245" s="46"/>
      <c r="X245" s="46"/>
      <c r="Y245" s="46"/>
      <c r="Z245" s="46"/>
      <c r="AA245" s="46"/>
      <c r="AB245" s="46"/>
      <c r="AC245" s="46"/>
      <c r="AD245" s="46"/>
      <c r="AE245" s="46"/>
    </row>
    <row r="246" ht="15.75" customHeight="1">
      <c r="A246" s="40" t="str">
        <f t="shared" si="9"/>
        <v/>
      </c>
      <c r="B246" s="40" t="str">
        <f t="shared" si="10"/>
        <v/>
      </c>
      <c r="C246" s="24"/>
      <c r="D246" s="23"/>
      <c r="E246" s="51"/>
      <c r="F246" s="51"/>
      <c r="G246" s="24"/>
      <c r="H246" s="40"/>
      <c r="I246" s="40" t="str">
        <f t="array" ref="I246">IF(G246="","",IFERROR(INDEX('Người sử dụng'!$H$5:$H$140,MATCH(G246,'Người sử dụng'!$C$5:$C$140,0)),"Chưa có trong DS"))</f>
        <v/>
      </c>
      <c r="J246" s="24"/>
      <c r="K246" s="24"/>
      <c r="L246" s="23"/>
      <c r="M246" s="24"/>
      <c r="N246" s="24"/>
      <c r="O246" s="24"/>
      <c r="P246" s="26"/>
      <c r="Q246" s="51"/>
      <c r="R246" s="46"/>
      <c r="S246" s="51"/>
      <c r="T246" s="46"/>
      <c r="U246" s="46"/>
      <c r="V246" s="46"/>
      <c r="W246" s="46"/>
      <c r="X246" s="46"/>
      <c r="Y246" s="46"/>
      <c r="Z246" s="46"/>
      <c r="AA246" s="46"/>
      <c r="AB246" s="46"/>
      <c r="AC246" s="46"/>
      <c r="AD246" s="46"/>
      <c r="AE246" s="46"/>
    </row>
    <row r="247" ht="15.75" customHeight="1">
      <c r="A247" s="40" t="str">
        <f t="shared" si="9"/>
        <v/>
      </c>
      <c r="B247" s="40" t="str">
        <f t="shared" si="10"/>
        <v/>
      </c>
      <c r="C247" s="24"/>
      <c r="D247" s="23"/>
      <c r="E247" s="51"/>
      <c r="F247" s="51"/>
      <c r="G247" s="24"/>
      <c r="H247" s="40"/>
      <c r="I247" s="40" t="str">
        <f t="array" ref="I247">IF(G247="","",IFERROR(INDEX('Người sử dụng'!$H$5:$H$140,MATCH(G247,'Người sử dụng'!$C$5:$C$140,0)),"Chưa có trong DS"))</f>
        <v/>
      </c>
      <c r="J247" s="24"/>
      <c r="K247" s="24"/>
      <c r="L247" s="23"/>
      <c r="M247" s="24"/>
      <c r="N247" s="24"/>
      <c r="O247" s="24"/>
      <c r="P247" s="26"/>
      <c r="Q247" s="51"/>
      <c r="R247" s="46"/>
      <c r="S247" s="51"/>
      <c r="T247" s="46"/>
      <c r="U247" s="46"/>
      <c r="V247" s="46"/>
      <c r="W247" s="46"/>
      <c r="X247" s="46"/>
      <c r="Y247" s="46"/>
      <c r="Z247" s="46"/>
      <c r="AA247" s="46"/>
      <c r="AB247" s="46"/>
      <c r="AC247" s="46"/>
      <c r="AD247" s="46"/>
      <c r="AE247" s="46"/>
    </row>
    <row r="248" ht="15.75" customHeight="1">
      <c r="A248" s="40" t="str">
        <f t="shared" si="9"/>
        <v/>
      </c>
      <c r="B248" s="40" t="str">
        <f t="shared" si="10"/>
        <v/>
      </c>
      <c r="C248" s="24"/>
      <c r="D248" s="23"/>
      <c r="E248" s="51"/>
      <c r="F248" s="51"/>
      <c r="G248" s="24"/>
      <c r="H248" s="40"/>
      <c r="I248" s="40" t="str">
        <f t="array" ref="I248">IF(G248="","",IFERROR(INDEX('Người sử dụng'!$H$5:$H$140,MATCH(G248,'Người sử dụng'!$C$5:$C$140,0)),"Chưa có trong DS"))</f>
        <v/>
      </c>
      <c r="J248" s="24"/>
      <c r="K248" s="24"/>
      <c r="L248" s="23"/>
      <c r="M248" s="24"/>
      <c r="N248" s="24"/>
      <c r="O248" s="24"/>
      <c r="P248" s="26"/>
      <c r="Q248" s="51"/>
      <c r="R248" s="46"/>
      <c r="S248" s="51"/>
      <c r="T248" s="46"/>
      <c r="U248" s="46"/>
      <c r="V248" s="46"/>
      <c r="W248" s="46"/>
      <c r="X248" s="46"/>
      <c r="Y248" s="46"/>
      <c r="Z248" s="46"/>
      <c r="AA248" s="46"/>
      <c r="AB248" s="46"/>
      <c r="AC248" s="46"/>
      <c r="AD248" s="46"/>
      <c r="AE248" s="46"/>
    </row>
    <row r="249" ht="15.75" customHeight="1">
      <c r="A249" s="40" t="str">
        <f t="shared" si="9"/>
        <v/>
      </c>
      <c r="B249" s="40" t="str">
        <f t="shared" si="10"/>
        <v/>
      </c>
      <c r="C249" s="24"/>
      <c r="D249" s="23"/>
      <c r="E249" s="51"/>
      <c r="F249" s="51"/>
      <c r="G249" s="24"/>
      <c r="H249" s="40"/>
      <c r="I249" s="40" t="str">
        <f t="array" ref="I249">IF(G249="","",IFERROR(INDEX('Người sử dụng'!$H$5:$H$140,MATCH(G249,'Người sử dụng'!$C$5:$C$140,0)),"Chưa có trong DS"))</f>
        <v/>
      </c>
      <c r="J249" s="24"/>
      <c r="K249" s="24"/>
      <c r="L249" s="23"/>
      <c r="M249" s="24"/>
      <c r="N249" s="24"/>
      <c r="O249" s="24"/>
      <c r="P249" s="26"/>
      <c r="Q249" s="51"/>
      <c r="R249" s="46"/>
      <c r="S249" s="51"/>
      <c r="T249" s="46"/>
      <c r="U249" s="46"/>
      <c r="V249" s="46"/>
      <c r="W249" s="46"/>
      <c r="X249" s="46"/>
      <c r="Y249" s="46"/>
      <c r="Z249" s="46"/>
      <c r="AA249" s="46"/>
      <c r="AB249" s="46"/>
      <c r="AC249" s="46"/>
      <c r="AD249" s="46"/>
      <c r="AE249" s="46"/>
    </row>
    <row r="250" ht="15.75" customHeight="1">
      <c r="A250" s="40" t="str">
        <f t="shared" si="9"/>
        <v/>
      </c>
      <c r="B250" s="40" t="str">
        <f t="shared" si="10"/>
        <v/>
      </c>
      <c r="C250" s="24"/>
      <c r="D250" s="23"/>
      <c r="E250" s="51"/>
      <c r="F250" s="51"/>
      <c r="G250" s="24"/>
      <c r="H250" s="40"/>
      <c r="I250" s="40" t="str">
        <f t="array" ref="I250">IF(G250="","",IFERROR(INDEX('Người sử dụng'!$H$5:$H$140,MATCH(G250,'Người sử dụng'!$C$5:$C$140,0)),"Chưa có trong DS"))</f>
        <v/>
      </c>
      <c r="J250" s="24"/>
      <c r="K250" s="24"/>
      <c r="L250" s="23"/>
      <c r="M250" s="24"/>
      <c r="N250" s="24"/>
      <c r="O250" s="24"/>
      <c r="P250" s="26"/>
      <c r="Q250" s="51"/>
      <c r="R250" s="46"/>
      <c r="S250" s="51"/>
      <c r="T250" s="46"/>
      <c r="U250" s="46"/>
      <c r="V250" s="46"/>
      <c r="W250" s="46"/>
      <c r="X250" s="46"/>
      <c r="Y250" s="46"/>
      <c r="Z250" s="46"/>
      <c r="AA250" s="46"/>
      <c r="AB250" s="46"/>
      <c r="AC250" s="46"/>
      <c r="AD250" s="46"/>
      <c r="AE250" s="46"/>
    </row>
    <row r="251" ht="15.75" customHeight="1">
      <c r="A251" s="40">
        <f t="shared" si="9"/>
        <v>246</v>
      </c>
      <c r="B251" s="40" t="str">
        <f t="shared" si="10"/>
        <v>ADS-246</v>
      </c>
      <c r="C251" s="19" t="s">
        <v>101</v>
      </c>
      <c r="D251" s="41" t="s">
        <v>386</v>
      </c>
      <c r="E251" s="42" t="s">
        <v>595</v>
      </c>
      <c r="F251" s="53" t="s">
        <v>606</v>
      </c>
      <c r="G251" s="19" t="s">
        <v>140</v>
      </c>
      <c r="H251" s="40" t="s">
        <v>139</v>
      </c>
      <c r="I251" s="40" t="str">
        <f t="array" ref="I251">IF(G251="","",IFERROR(INDEX('Người sử dụng'!$H$5:$H$140,MATCH(G251,'Người sử dụng'!$C$5:$C$140,0)),"Chưa có trong DS"))</f>
        <v>Đang làm</v>
      </c>
      <c r="J251" s="19" t="s">
        <v>485</v>
      </c>
      <c r="K251" s="24"/>
      <c r="L251" s="23"/>
      <c r="M251" s="19" t="s">
        <v>91</v>
      </c>
      <c r="N251" s="19" t="s">
        <v>601</v>
      </c>
      <c r="O251" s="19" t="s">
        <v>143</v>
      </c>
      <c r="P251" s="26"/>
      <c r="Q251" s="42" t="s">
        <v>184</v>
      </c>
      <c r="R251" s="46"/>
      <c r="S251" s="51"/>
      <c r="T251" s="46"/>
      <c r="U251" s="46"/>
      <c r="V251" s="46"/>
      <c r="W251" s="46"/>
      <c r="X251" s="46"/>
      <c r="Y251" s="46"/>
      <c r="Z251" s="46"/>
      <c r="AA251" s="46"/>
      <c r="AB251" s="46"/>
      <c r="AC251" s="46"/>
      <c r="AD251" s="46"/>
      <c r="AE251" s="46"/>
    </row>
    <row r="252" ht="15.75" customHeight="1">
      <c r="A252" s="40">
        <f t="shared" si="9"/>
        <v>247</v>
      </c>
      <c r="B252" s="40" t="str">
        <f t="shared" si="10"/>
        <v>ADS-247</v>
      </c>
      <c r="C252" s="19" t="s">
        <v>101</v>
      </c>
      <c r="D252" s="41" t="s">
        <v>387</v>
      </c>
      <c r="E252" s="42" t="s">
        <v>595</v>
      </c>
      <c r="F252" s="42"/>
      <c r="G252" s="19" t="s">
        <v>140</v>
      </c>
      <c r="H252" s="40" t="s">
        <v>139</v>
      </c>
      <c r="I252" s="40" t="str">
        <f t="array" ref="I252">IF(G252="","",IFERROR(INDEX('Người sử dụng'!$H$5:$H$140,MATCH(G252,'Người sử dụng'!$C$5:$C$140,0)),"Chưa có trong DS"))</f>
        <v>Đang làm</v>
      </c>
      <c r="J252" s="19" t="s">
        <v>485</v>
      </c>
      <c r="K252" s="24"/>
      <c r="L252" s="23"/>
      <c r="M252" s="24"/>
      <c r="N252" s="24"/>
      <c r="O252" s="24"/>
      <c r="P252" s="26"/>
      <c r="Q252" s="51"/>
      <c r="R252" s="46"/>
      <c r="S252" s="51"/>
      <c r="T252" s="46"/>
      <c r="U252" s="46"/>
      <c r="V252" s="46"/>
      <c r="W252" s="46"/>
      <c r="X252" s="46"/>
      <c r="Y252" s="46"/>
      <c r="Z252" s="46"/>
      <c r="AA252" s="46"/>
      <c r="AB252" s="46"/>
      <c r="AC252" s="46"/>
      <c r="AD252" s="46"/>
      <c r="AE252" s="46"/>
    </row>
    <row r="253" ht="15.75" customHeight="1">
      <c r="A253" s="40">
        <f t="shared" si="9"/>
        <v>248</v>
      </c>
      <c r="B253" s="40" t="str">
        <f t="shared" si="10"/>
        <v>ADS-248</v>
      </c>
      <c r="C253" s="19" t="s">
        <v>101</v>
      </c>
      <c r="D253" s="41" t="s">
        <v>388</v>
      </c>
      <c r="E253" s="42" t="s">
        <v>595</v>
      </c>
      <c r="F253" s="51"/>
      <c r="G253" s="19" t="s">
        <v>140</v>
      </c>
      <c r="H253" s="40" t="s">
        <v>139</v>
      </c>
      <c r="I253" s="40" t="str">
        <f t="array" ref="I253">IF(G253="","",IFERROR(INDEX('Người sử dụng'!$H$5:$H$140,MATCH(G253,'Người sử dụng'!$C$5:$C$140,0)),"Chưa có trong DS"))</f>
        <v>Đang làm</v>
      </c>
      <c r="J253" s="19" t="s">
        <v>485</v>
      </c>
      <c r="K253" s="24"/>
      <c r="L253" s="23"/>
      <c r="M253" s="24"/>
      <c r="N253" s="24"/>
      <c r="O253" s="24"/>
      <c r="P253" s="26"/>
      <c r="Q253" s="51"/>
      <c r="R253" s="46"/>
      <c r="S253" s="51"/>
      <c r="T253" s="46"/>
      <c r="U253" s="46"/>
      <c r="V253" s="46"/>
      <c r="W253" s="46"/>
      <c r="X253" s="46"/>
      <c r="Y253" s="46"/>
      <c r="Z253" s="46"/>
      <c r="AA253" s="46"/>
      <c r="AB253" s="46"/>
      <c r="AC253" s="46"/>
      <c r="AD253" s="46"/>
      <c r="AE253" s="46"/>
    </row>
    <row r="254" ht="15.75" customHeight="1">
      <c r="A254" s="40">
        <f t="shared" si="9"/>
        <v>249</v>
      </c>
      <c r="B254" s="40" t="str">
        <f t="shared" si="10"/>
        <v>ADS-249</v>
      </c>
      <c r="C254" s="19" t="s">
        <v>104</v>
      </c>
      <c r="D254" s="85" t="s">
        <v>607</v>
      </c>
      <c r="E254" s="42" t="s">
        <v>104</v>
      </c>
      <c r="F254" s="51"/>
      <c r="G254" s="19" t="s">
        <v>140</v>
      </c>
      <c r="H254" s="40" t="s">
        <v>139</v>
      </c>
      <c r="I254" s="40" t="str">
        <f t="array" ref="I254">IF(G254="","",IFERROR(INDEX('Người sử dụng'!$H$5:$H$140,MATCH(G254,'Người sử dụng'!$C$5:$C$140,0)),"Chưa có trong DS"))</f>
        <v>Đang làm</v>
      </c>
      <c r="J254" s="19" t="s">
        <v>545</v>
      </c>
      <c r="K254" s="24"/>
      <c r="L254" s="23"/>
      <c r="M254" s="24"/>
      <c r="N254" s="24"/>
      <c r="O254" s="24"/>
      <c r="P254" s="26"/>
      <c r="Q254" s="51"/>
      <c r="R254" s="46"/>
      <c r="S254" s="51"/>
      <c r="T254" s="46"/>
      <c r="U254" s="46"/>
      <c r="V254" s="46"/>
      <c r="W254" s="46"/>
      <c r="X254" s="46"/>
      <c r="Y254" s="46"/>
      <c r="Z254" s="46"/>
      <c r="AA254" s="46"/>
      <c r="AB254" s="46"/>
      <c r="AC254" s="46"/>
      <c r="AD254" s="46"/>
      <c r="AE254" s="46"/>
    </row>
    <row r="255" ht="15.75" customHeight="1">
      <c r="A255" s="40">
        <f t="shared" si="9"/>
        <v>250</v>
      </c>
      <c r="B255" s="40" t="str">
        <f t="shared" si="10"/>
        <v>ADS-250</v>
      </c>
      <c r="C255" s="19" t="s">
        <v>104</v>
      </c>
      <c r="D255" s="86" t="s">
        <v>608</v>
      </c>
      <c r="E255" s="42" t="s">
        <v>104</v>
      </c>
      <c r="F255" s="51"/>
      <c r="G255" s="19" t="s">
        <v>140</v>
      </c>
      <c r="H255" s="40" t="s">
        <v>139</v>
      </c>
      <c r="I255" s="40" t="str">
        <f t="array" ref="I255">IF(G255="","",IFERROR(INDEX('Người sử dụng'!$H$5:$H$140,MATCH(G255,'Người sử dụng'!$C$5:$C$140,0)),"Chưa có trong DS"))</f>
        <v>Đang làm</v>
      </c>
      <c r="J255" s="19" t="s">
        <v>545</v>
      </c>
      <c r="K255" s="24"/>
      <c r="L255" s="23"/>
      <c r="M255" s="24"/>
      <c r="N255" s="24"/>
      <c r="O255" s="24"/>
      <c r="P255" s="26"/>
      <c r="Q255" s="51"/>
      <c r="R255" s="46"/>
      <c r="S255" s="51"/>
      <c r="T255" s="46"/>
      <c r="U255" s="46"/>
      <c r="V255" s="46"/>
      <c r="W255" s="46"/>
      <c r="X255" s="46"/>
      <c r="Y255" s="46"/>
      <c r="Z255" s="46"/>
      <c r="AA255" s="46"/>
      <c r="AB255" s="46"/>
      <c r="AC255" s="46"/>
      <c r="AD255" s="46"/>
      <c r="AE255" s="46"/>
    </row>
    <row r="256" ht="15.75" customHeight="1">
      <c r="A256" s="40">
        <f t="shared" si="9"/>
        <v>251</v>
      </c>
      <c r="B256" s="40" t="str">
        <f t="shared" si="10"/>
        <v>ADS-251</v>
      </c>
      <c r="C256" s="19" t="s">
        <v>104</v>
      </c>
      <c r="D256" s="86" t="s">
        <v>609</v>
      </c>
      <c r="E256" s="42" t="s">
        <v>104</v>
      </c>
      <c r="F256" s="51"/>
      <c r="G256" s="19" t="s">
        <v>140</v>
      </c>
      <c r="H256" s="40" t="s">
        <v>139</v>
      </c>
      <c r="I256" s="40" t="str">
        <f t="array" ref="I256">IF(G256="","",IFERROR(INDEX('Người sử dụng'!$H$5:$H$140,MATCH(G256,'Người sử dụng'!$C$5:$C$140,0)),"Chưa có trong DS"))</f>
        <v>Đang làm</v>
      </c>
      <c r="J256" s="19" t="s">
        <v>545</v>
      </c>
      <c r="K256" s="24"/>
      <c r="L256" s="23"/>
      <c r="M256" s="24"/>
      <c r="N256" s="24"/>
      <c r="O256" s="24"/>
      <c r="P256" s="26"/>
      <c r="Q256" s="51"/>
      <c r="R256" s="46"/>
      <c r="S256" s="51"/>
      <c r="T256" s="46"/>
      <c r="U256" s="46"/>
      <c r="V256" s="46"/>
      <c r="W256" s="46"/>
      <c r="X256" s="46"/>
      <c r="Y256" s="46"/>
      <c r="Z256" s="46"/>
      <c r="AA256" s="46"/>
      <c r="AB256" s="46"/>
      <c r="AC256" s="46"/>
      <c r="AD256" s="46"/>
      <c r="AE256" s="46"/>
    </row>
    <row r="257" ht="15.75" customHeight="1">
      <c r="A257" s="40">
        <f t="shared" si="9"/>
        <v>252</v>
      </c>
      <c r="B257" s="40" t="str">
        <f t="shared" si="10"/>
        <v>ADS-252</v>
      </c>
      <c r="C257" s="19" t="s">
        <v>104</v>
      </c>
      <c r="D257" s="85" t="s">
        <v>610</v>
      </c>
      <c r="E257" s="42" t="s">
        <v>104</v>
      </c>
      <c r="F257" s="51"/>
      <c r="G257" s="19" t="s">
        <v>140</v>
      </c>
      <c r="H257" s="40" t="s">
        <v>139</v>
      </c>
      <c r="I257" s="40" t="str">
        <f t="array" ref="I257">IF(G257="","",IFERROR(INDEX('Người sử dụng'!$H$5:$H$140,MATCH(G257,'Người sử dụng'!$C$5:$C$140,0)),"Chưa có trong DS"))</f>
        <v>Đang làm</v>
      </c>
      <c r="J257" s="19" t="s">
        <v>545</v>
      </c>
      <c r="K257" s="24"/>
      <c r="L257" s="23"/>
      <c r="M257" s="24"/>
      <c r="N257" s="24"/>
      <c r="O257" s="24"/>
      <c r="P257" s="26"/>
      <c r="Q257" s="51"/>
      <c r="R257" s="46"/>
      <c r="S257" s="51"/>
      <c r="T257" s="46"/>
      <c r="U257" s="46"/>
      <c r="V257" s="46"/>
      <c r="W257" s="46"/>
      <c r="X257" s="46"/>
      <c r="Y257" s="46"/>
      <c r="Z257" s="46"/>
      <c r="AA257" s="46"/>
      <c r="AB257" s="46"/>
      <c r="AC257" s="46"/>
      <c r="AD257" s="46"/>
      <c r="AE257" s="46"/>
    </row>
    <row r="258" ht="15.75" customHeight="1">
      <c r="A258" s="40">
        <f t="shared" si="9"/>
        <v>253</v>
      </c>
      <c r="B258" s="40" t="str">
        <f t="shared" si="10"/>
        <v>ADS-253</v>
      </c>
      <c r="C258" s="19" t="s">
        <v>104</v>
      </c>
      <c r="D258" s="86" t="s">
        <v>611</v>
      </c>
      <c r="E258" s="42" t="s">
        <v>104</v>
      </c>
      <c r="F258" s="51"/>
      <c r="G258" s="19" t="s">
        <v>140</v>
      </c>
      <c r="H258" s="40" t="s">
        <v>139</v>
      </c>
      <c r="I258" s="40" t="str">
        <f t="array" ref="I258">IF(G258="","",IFERROR(INDEX('Người sử dụng'!$H$5:$H$140,MATCH(G258,'Người sử dụng'!$C$5:$C$140,0)),"Chưa có trong DS"))</f>
        <v>Đang làm</v>
      </c>
      <c r="J258" s="19" t="s">
        <v>545</v>
      </c>
      <c r="K258" s="24"/>
      <c r="L258" s="23"/>
      <c r="M258" s="24"/>
      <c r="N258" s="24"/>
      <c r="O258" s="24"/>
      <c r="P258" s="26"/>
      <c r="Q258" s="51"/>
      <c r="R258" s="46"/>
      <c r="S258" s="51"/>
      <c r="T258" s="46"/>
      <c r="U258" s="46"/>
      <c r="V258" s="46"/>
      <c r="W258" s="46"/>
      <c r="X258" s="46"/>
      <c r="Y258" s="46"/>
      <c r="Z258" s="46"/>
      <c r="AA258" s="46"/>
      <c r="AB258" s="46"/>
      <c r="AC258" s="46"/>
      <c r="AD258" s="46"/>
      <c r="AE258" s="46"/>
    </row>
    <row r="259" ht="15.75" customHeight="1">
      <c r="A259" s="40">
        <f t="shared" si="9"/>
        <v>254</v>
      </c>
      <c r="B259" s="40" t="str">
        <f t="shared" si="10"/>
        <v>ADS-254</v>
      </c>
      <c r="C259" s="19" t="s">
        <v>104</v>
      </c>
      <c r="D259" s="85" t="s">
        <v>612</v>
      </c>
      <c r="E259" s="42" t="s">
        <v>104</v>
      </c>
      <c r="F259" s="51"/>
      <c r="G259" s="19" t="s">
        <v>140</v>
      </c>
      <c r="H259" s="40" t="s">
        <v>139</v>
      </c>
      <c r="I259" s="40" t="str">
        <f t="array" ref="I259">IF(G259="","",IFERROR(INDEX('Người sử dụng'!$H$5:$H$140,MATCH(G259,'Người sử dụng'!$C$5:$C$140,0)),"Chưa có trong DS"))</f>
        <v>Đang làm</v>
      </c>
      <c r="J259" s="19" t="s">
        <v>545</v>
      </c>
      <c r="K259" s="24"/>
      <c r="L259" s="23"/>
      <c r="M259" s="24"/>
      <c r="N259" s="24"/>
      <c r="O259" s="24"/>
      <c r="P259" s="26"/>
      <c r="Q259" s="51"/>
      <c r="R259" s="46"/>
      <c r="S259" s="51"/>
      <c r="T259" s="46"/>
      <c r="U259" s="46"/>
      <c r="V259" s="46"/>
      <c r="W259" s="46"/>
      <c r="X259" s="46"/>
      <c r="Y259" s="46"/>
      <c r="Z259" s="46"/>
      <c r="AA259" s="46"/>
      <c r="AB259" s="46"/>
      <c r="AC259" s="46"/>
      <c r="AD259" s="46"/>
      <c r="AE259" s="46"/>
    </row>
    <row r="260" ht="15.75" customHeight="1">
      <c r="A260" s="40">
        <f t="shared" si="9"/>
        <v>255</v>
      </c>
      <c r="B260" s="40" t="str">
        <f t="shared" si="10"/>
        <v>ADS-255</v>
      </c>
      <c r="C260" s="19" t="s">
        <v>104</v>
      </c>
      <c r="D260" s="85" t="s">
        <v>613</v>
      </c>
      <c r="E260" s="42" t="s">
        <v>104</v>
      </c>
      <c r="F260" s="51"/>
      <c r="G260" s="19" t="s">
        <v>140</v>
      </c>
      <c r="H260" s="40" t="s">
        <v>139</v>
      </c>
      <c r="I260" s="40" t="str">
        <f t="array" ref="I260">IF(G260="","",IFERROR(INDEX('Người sử dụng'!$H$5:$H$140,MATCH(G260,'Người sử dụng'!$C$5:$C$140,0)),"Chưa có trong DS"))</f>
        <v>Đang làm</v>
      </c>
      <c r="J260" s="19" t="s">
        <v>545</v>
      </c>
      <c r="K260" s="24"/>
      <c r="L260" s="23"/>
      <c r="M260" s="24"/>
      <c r="N260" s="24"/>
      <c r="O260" s="24"/>
      <c r="P260" s="26"/>
      <c r="Q260" s="51"/>
      <c r="R260" s="46"/>
      <c r="S260" s="51"/>
      <c r="T260" s="46"/>
      <c r="U260" s="46"/>
      <c r="V260" s="46"/>
      <c r="W260" s="46"/>
      <c r="X260" s="46"/>
      <c r="Y260" s="46"/>
      <c r="Z260" s="46"/>
      <c r="AA260" s="46"/>
      <c r="AB260" s="46"/>
      <c r="AC260" s="46"/>
      <c r="AD260" s="46"/>
      <c r="AE260" s="46"/>
    </row>
    <row r="261" ht="15.75" customHeight="1">
      <c r="A261" s="40">
        <f t="shared" si="9"/>
        <v>256</v>
      </c>
      <c r="B261" s="40" t="str">
        <f t="shared" si="10"/>
        <v>ADS-256</v>
      </c>
      <c r="C261" s="19" t="s">
        <v>104</v>
      </c>
      <c r="D261" s="86" t="s">
        <v>614</v>
      </c>
      <c r="E261" s="42" t="s">
        <v>104</v>
      </c>
      <c r="F261" s="51"/>
      <c r="G261" s="19" t="s">
        <v>140</v>
      </c>
      <c r="H261" s="40" t="s">
        <v>139</v>
      </c>
      <c r="I261" s="40" t="str">
        <f t="array" ref="I261">IF(G261="","",IFERROR(INDEX('Người sử dụng'!$H$5:$H$140,MATCH(G261,'Người sử dụng'!$C$5:$C$140,0)),"Chưa có trong DS"))</f>
        <v>Đang làm</v>
      </c>
      <c r="J261" s="19" t="s">
        <v>545</v>
      </c>
      <c r="K261" s="24"/>
      <c r="L261" s="23"/>
      <c r="M261" s="24"/>
      <c r="N261" s="24"/>
      <c r="O261" s="24"/>
      <c r="P261" s="26"/>
      <c r="Q261" s="51"/>
      <c r="R261" s="46"/>
      <c r="S261" s="51"/>
      <c r="T261" s="46"/>
      <c r="U261" s="46"/>
      <c r="V261" s="46"/>
      <c r="W261" s="46"/>
      <c r="X261" s="46"/>
      <c r="Y261" s="46"/>
      <c r="Z261" s="46"/>
      <c r="AA261" s="46"/>
      <c r="AB261" s="46"/>
      <c r="AC261" s="46"/>
      <c r="AD261" s="46"/>
      <c r="AE261" s="46"/>
    </row>
    <row r="262" ht="15.75" customHeight="1">
      <c r="A262" s="40">
        <f t="shared" si="9"/>
        <v>257</v>
      </c>
      <c r="B262" s="40" t="str">
        <f t="shared" si="10"/>
        <v>ADS-257</v>
      </c>
      <c r="C262" s="19" t="s">
        <v>104</v>
      </c>
      <c r="D262" s="85" t="s">
        <v>615</v>
      </c>
      <c r="E262" s="42" t="s">
        <v>104</v>
      </c>
      <c r="F262" s="51"/>
      <c r="G262" s="19" t="s">
        <v>140</v>
      </c>
      <c r="H262" s="40" t="s">
        <v>139</v>
      </c>
      <c r="I262" s="40" t="str">
        <f t="array" ref="I262">IF(G262="","",IFERROR(INDEX('Người sử dụng'!$H$5:$H$140,MATCH(G262,'Người sử dụng'!$C$5:$C$140,0)),"Chưa có trong DS"))</f>
        <v>Đang làm</v>
      </c>
      <c r="J262" s="19" t="s">
        <v>545</v>
      </c>
      <c r="K262" s="24"/>
      <c r="L262" s="23"/>
      <c r="M262" s="24"/>
      <c r="N262" s="24"/>
      <c r="O262" s="24"/>
      <c r="P262" s="26"/>
      <c r="Q262" s="51"/>
      <c r="R262" s="46"/>
      <c r="S262" s="51"/>
      <c r="T262" s="46"/>
      <c r="U262" s="46"/>
      <c r="V262" s="46"/>
      <c r="W262" s="46"/>
      <c r="X262" s="46"/>
      <c r="Y262" s="46"/>
      <c r="Z262" s="46"/>
      <c r="AA262" s="46"/>
      <c r="AB262" s="46"/>
      <c r="AC262" s="46"/>
      <c r="AD262" s="46"/>
      <c r="AE262" s="46"/>
    </row>
    <row r="263" ht="15.75" customHeight="1">
      <c r="A263" s="40">
        <f t="shared" si="9"/>
        <v>258</v>
      </c>
      <c r="B263" s="40" t="str">
        <f t="shared" si="10"/>
        <v>ADS-258</v>
      </c>
      <c r="C263" s="19" t="s">
        <v>104</v>
      </c>
      <c r="D263" s="86" t="s">
        <v>616</v>
      </c>
      <c r="E263" s="42" t="s">
        <v>104</v>
      </c>
      <c r="F263" s="51"/>
      <c r="G263" s="19" t="s">
        <v>140</v>
      </c>
      <c r="H263" s="40" t="s">
        <v>139</v>
      </c>
      <c r="I263" s="40" t="str">
        <f t="array" ref="I263">IF(G263="","",IFERROR(INDEX('Người sử dụng'!$H$5:$H$140,MATCH(G263,'Người sử dụng'!$C$5:$C$140,0)),"Chưa có trong DS"))</f>
        <v>Đang làm</v>
      </c>
      <c r="J263" s="19" t="s">
        <v>545</v>
      </c>
      <c r="K263" s="24"/>
      <c r="L263" s="23"/>
      <c r="M263" s="24"/>
      <c r="N263" s="24"/>
      <c r="O263" s="24"/>
      <c r="P263" s="26"/>
      <c r="Q263" s="51"/>
      <c r="R263" s="46"/>
      <c r="S263" s="51"/>
      <c r="T263" s="46"/>
      <c r="U263" s="46"/>
      <c r="V263" s="46"/>
      <c r="W263" s="46"/>
      <c r="X263" s="46"/>
      <c r="Y263" s="46"/>
      <c r="Z263" s="46"/>
      <c r="AA263" s="46"/>
      <c r="AB263" s="46"/>
      <c r="AC263" s="46"/>
      <c r="AD263" s="46"/>
      <c r="AE263" s="46"/>
    </row>
    <row r="264" ht="15.75" customHeight="1">
      <c r="A264" s="40">
        <f t="shared" si="9"/>
        <v>259</v>
      </c>
      <c r="B264" s="40" t="str">
        <f t="shared" si="10"/>
        <v>ADS-259</v>
      </c>
      <c r="C264" s="19" t="s">
        <v>104</v>
      </c>
      <c r="D264" s="86" t="s">
        <v>614</v>
      </c>
      <c r="E264" s="42" t="s">
        <v>104</v>
      </c>
      <c r="F264" s="51"/>
      <c r="G264" s="19" t="s">
        <v>140</v>
      </c>
      <c r="H264" s="40" t="s">
        <v>139</v>
      </c>
      <c r="I264" s="40" t="str">
        <f t="array" ref="I264">IF(G264="","",IFERROR(INDEX('Người sử dụng'!$H$5:$H$140,MATCH(G264,'Người sử dụng'!$C$5:$C$140,0)),"Chưa có trong DS"))</f>
        <v>Đang làm</v>
      </c>
      <c r="J264" s="19" t="s">
        <v>545</v>
      </c>
      <c r="K264" s="24"/>
      <c r="L264" s="23"/>
      <c r="M264" s="24"/>
      <c r="N264" s="24"/>
      <c r="O264" s="24"/>
      <c r="P264" s="26"/>
      <c r="Q264" s="51"/>
      <c r="R264" s="46"/>
      <c r="S264" s="51"/>
      <c r="T264" s="46"/>
      <c r="U264" s="46"/>
      <c r="V264" s="46"/>
      <c r="W264" s="46"/>
      <c r="X264" s="46"/>
      <c r="Y264" s="46"/>
      <c r="Z264" s="46"/>
      <c r="AA264" s="46"/>
      <c r="AB264" s="46"/>
      <c r="AC264" s="46"/>
      <c r="AD264" s="46"/>
      <c r="AE264" s="46"/>
    </row>
    <row r="265" ht="15.75" customHeight="1">
      <c r="A265" s="40">
        <f t="shared" si="9"/>
        <v>260</v>
      </c>
      <c r="B265" s="40" t="str">
        <f t="shared" si="10"/>
        <v>ADS-260</v>
      </c>
      <c r="C265" s="19" t="s">
        <v>104</v>
      </c>
      <c r="D265" s="87" t="s">
        <v>617</v>
      </c>
      <c r="E265" s="42" t="s">
        <v>104</v>
      </c>
      <c r="F265" s="51"/>
      <c r="G265" s="19" t="s">
        <v>140</v>
      </c>
      <c r="H265" s="40" t="s">
        <v>139</v>
      </c>
      <c r="I265" s="40" t="str">
        <f t="array" ref="I265">IF(G265="","",IFERROR(INDEX('Người sử dụng'!$H$5:$H$140,MATCH(G265,'Người sử dụng'!$C$5:$C$140,0)),"Chưa có trong DS"))</f>
        <v>Đang làm</v>
      </c>
      <c r="J265" s="19" t="s">
        <v>545</v>
      </c>
      <c r="K265" s="24"/>
      <c r="L265" s="23"/>
      <c r="M265" s="24"/>
      <c r="N265" s="24"/>
      <c r="O265" s="24"/>
      <c r="P265" s="26"/>
      <c r="Q265" s="51"/>
      <c r="R265" s="46"/>
      <c r="S265" s="51"/>
      <c r="T265" s="46"/>
      <c r="U265" s="46"/>
      <c r="V265" s="46"/>
      <c r="W265" s="46"/>
      <c r="X265" s="46"/>
      <c r="Y265" s="46"/>
      <c r="Z265" s="46"/>
      <c r="AA265" s="46"/>
      <c r="AB265" s="46"/>
      <c r="AC265" s="46"/>
      <c r="AD265" s="46"/>
      <c r="AE265" s="46"/>
    </row>
    <row r="266" ht="15.75" customHeight="1">
      <c r="A266" s="40" t="str">
        <f t="shared" si="9"/>
        <v/>
      </c>
      <c r="B266" s="40" t="str">
        <f t="shared" si="10"/>
        <v/>
      </c>
      <c r="C266" s="24"/>
      <c r="D266" s="23"/>
      <c r="E266" s="51"/>
      <c r="F266" s="51"/>
      <c r="G266" s="24"/>
      <c r="H266" s="40"/>
      <c r="I266" s="40" t="str">
        <f t="array" ref="I266">IF(G266="","",IFERROR(INDEX('Người sử dụng'!$H$5:$H$140,MATCH(G266,'Người sử dụng'!$C$5:$C$140,0)),"Chưa có trong DS"))</f>
        <v/>
      </c>
      <c r="J266" s="24"/>
      <c r="K266" s="24"/>
      <c r="L266" s="23"/>
      <c r="M266" s="24"/>
      <c r="N266" s="24"/>
      <c r="O266" s="24"/>
      <c r="P266" s="26"/>
      <c r="Q266" s="51"/>
      <c r="R266" s="46"/>
      <c r="S266" s="51"/>
      <c r="T266" s="46"/>
      <c r="U266" s="46"/>
      <c r="V266" s="46"/>
      <c r="W266" s="46"/>
      <c r="X266" s="46"/>
      <c r="Y266" s="46"/>
      <c r="Z266" s="46"/>
      <c r="AA266" s="46"/>
      <c r="AB266" s="46"/>
      <c r="AC266" s="46"/>
      <c r="AD266" s="46"/>
      <c r="AE266" s="46"/>
    </row>
    <row r="267" ht="15.75" customHeight="1">
      <c r="A267" s="40" t="str">
        <f t="shared" si="9"/>
        <v/>
      </c>
      <c r="B267" s="40" t="str">
        <f t="shared" si="10"/>
        <v/>
      </c>
      <c r="C267" s="24"/>
      <c r="D267" s="23"/>
      <c r="E267" s="51"/>
      <c r="F267" s="51"/>
      <c r="G267" s="24"/>
      <c r="H267" s="40"/>
      <c r="I267" s="40" t="str">
        <f t="array" ref="I267">IF(G267="","",IFERROR(INDEX('Người sử dụng'!$H$5:$H$140,MATCH(G267,'Người sử dụng'!$C$5:$C$140,0)),"Chưa có trong DS"))</f>
        <v/>
      </c>
      <c r="J267" s="24"/>
      <c r="K267" s="24"/>
      <c r="L267" s="23"/>
      <c r="M267" s="24"/>
      <c r="N267" s="24"/>
      <c r="O267" s="24"/>
      <c r="P267" s="26"/>
      <c r="Q267" s="51"/>
      <c r="R267" s="46"/>
      <c r="S267" s="51"/>
      <c r="T267" s="46"/>
      <c r="U267" s="46"/>
      <c r="V267" s="46"/>
      <c r="W267" s="46"/>
      <c r="X267" s="46"/>
      <c r="Y267" s="46"/>
      <c r="Z267" s="46"/>
      <c r="AA267" s="46"/>
      <c r="AB267" s="46"/>
      <c r="AC267" s="46"/>
      <c r="AD267" s="46"/>
      <c r="AE267" s="46"/>
    </row>
    <row r="268" ht="15.75" customHeight="1">
      <c r="A268" s="40" t="str">
        <f t="shared" si="9"/>
        <v/>
      </c>
      <c r="B268" s="40" t="str">
        <f t="shared" si="10"/>
        <v/>
      </c>
      <c r="C268" s="24"/>
      <c r="D268" s="23"/>
      <c r="E268" s="51"/>
      <c r="F268" s="51"/>
      <c r="G268" s="24"/>
      <c r="H268" s="40"/>
      <c r="I268" s="40" t="str">
        <f t="array" ref="I268">IF(G268="","",IFERROR(INDEX('Người sử dụng'!$H$5:$H$140,MATCH(G268,'Người sử dụng'!$C$5:$C$140,0)),"Chưa có trong DS"))</f>
        <v/>
      </c>
      <c r="J268" s="24"/>
      <c r="K268" s="24"/>
      <c r="L268" s="23"/>
      <c r="M268" s="24"/>
      <c r="N268" s="24"/>
      <c r="O268" s="24"/>
      <c r="P268" s="26"/>
      <c r="Q268" s="51"/>
      <c r="R268" s="46"/>
      <c r="S268" s="51"/>
      <c r="T268" s="46"/>
      <c r="U268" s="46"/>
      <c r="V268" s="46"/>
      <c r="W268" s="46"/>
      <c r="X268" s="46"/>
      <c r="Y268" s="46"/>
      <c r="Z268" s="46"/>
      <c r="AA268" s="46"/>
      <c r="AB268" s="46"/>
      <c r="AC268" s="46"/>
      <c r="AD268" s="46"/>
      <c r="AE268" s="46"/>
    </row>
    <row r="269" ht="15.75" customHeight="1">
      <c r="A269" s="40" t="str">
        <f t="shared" si="9"/>
        <v/>
      </c>
      <c r="B269" s="40" t="str">
        <f t="shared" si="10"/>
        <v/>
      </c>
      <c r="C269" s="24"/>
      <c r="D269" s="23"/>
      <c r="E269" s="51"/>
      <c r="F269" s="51"/>
      <c r="G269" s="24"/>
      <c r="H269" s="40"/>
      <c r="I269" s="40" t="str">
        <f t="array" ref="I269">IF(G269="","",IFERROR(INDEX('Người sử dụng'!$H$5:$H$140,MATCH(G269,'Người sử dụng'!$C$5:$C$140,0)),"Chưa có trong DS"))</f>
        <v/>
      </c>
      <c r="J269" s="24"/>
      <c r="K269" s="24"/>
      <c r="L269" s="23"/>
      <c r="M269" s="24"/>
      <c r="N269" s="24"/>
      <c r="O269" s="24"/>
      <c r="P269" s="26"/>
      <c r="Q269" s="51"/>
      <c r="R269" s="46"/>
      <c r="S269" s="51"/>
      <c r="T269" s="46"/>
      <c r="U269" s="46"/>
      <c r="V269" s="46"/>
      <c r="W269" s="46"/>
      <c r="X269" s="46"/>
      <c r="Y269" s="46"/>
      <c r="Z269" s="46"/>
      <c r="AA269" s="46"/>
      <c r="AB269" s="46"/>
      <c r="AC269" s="46"/>
      <c r="AD269" s="46"/>
      <c r="AE269" s="46"/>
    </row>
    <row r="270" ht="15.75" customHeight="1">
      <c r="A270" s="40" t="str">
        <f t="shared" si="9"/>
        <v/>
      </c>
      <c r="B270" s="40" t="str">
        <f t="shared" si="10"/>
        <v/>
      </c>
      <c r="C270" s="24"/>
      <c r="D270" s="23"/>
      <c r="E270" s="51"/>
      <c r="F270" s="51"/>
      <c r="G270" s="24"/>
      <c r="H270" s="40"/>
      <c r="I270" s="40" t="str">
        <f t="array" ref="I270">IF(G270="","",IFERROR(INDEX('Người sử dụng'!$H$5:$H$140,MATCH(G270,'Người sử dụng'!$C$5:$C$140,0)),"Chưa có trong DS"))</f>
        <v/>
      </c>
      <c r="J270" s="24"/>
      <c r="K270" s="24"/>
      <c r="L270" s="23"/>
      <c r="M270" s="24"/>
      <c r="N270" s="24"/>
      <c r="O270" s="24"/>
      <c r="P270" s="26"/>
      <c r="Q270" s="51"/>
      <c r="R270" s="46"/>
      <c r="S270" s="51"/>
      <c r="T270" s="46"/>
      <c r="U270" s="46"/>
      <c r="V270" s="46"/>
      <c r="W270" s="46"/>
      <c r="X270" s="46"/>
      <c r="Y270" s="46"/>
      <c r="Z270" s="46"/>
      <c r="AA270" s="46"/>
      <c r="AB270" s="46"/>
      <c r="AC270" s="46"/>
      <c r="AD270" s="46"/>
      <c r="AE270" s="46"/>
    </row>
    <row r="271" ht="15.75" customHeight="1">
      <c r="A271" s="40" t="str">
        <f t="shared" si="9"/>
        <v/>
      </c>
      <c r="B271" s="40" t="str">
        <f t="shared" si="10"/>
        <v/>
      </c>
      <c r="C271" s="24"/>
      <c r="D271" s="23"/>
      <c r="E271" s="51"/>
      <c r="F271" s="51"/>
      <c r="G271" s="24"/>
      <c r="H271" s="40"/>
      <c r="I271" s="40" t="str">
        <f t="array" ref="I271">IF(G271="","",IFERROR(INDEX('Người sử dụng'!$H$5:$H$140,MATCH(G271,'Người sử dụng'!$C$5:$C$140,0)),"Chưa có trong DS"))</f>
        <v/>
      </c>
      <c r="J271" s="24"/>
      <c r="K271" s="24"/>
      <c r="L271" s="23"/>
      <c r="M271" s="24"/>
      <c r="N271" s="24"/>
      <c r="O271" s="24"/>
      <c r="P271" s="26"/>
      <c r="Q271" s="51"/>
      <c r="R271" s="46"/>
      <c r="S271" s="51"/>
      <c r="T271" s="46"/>
      <c r="U271" s="46"/>
      <c r="V271" s="46"/>
      <c r="W271" s="46"/>
      <c r="X271" s="46"/>
      <c r="Y271" s="46"/>
      <c r="Z271" s="46"/>
      <c r="AA271" s="46"/>
      <c r="AB271" s="46"/>
      <c r="AC271" s="46"/>
      <c r="AD271" s="46"/>
      <c r="AE271" s="46"/>
    </row>
    <row r="272" ht="15.75" customHeight="1">
      <c r="A272" s="40" t="str">
        <f t="shared" si="9"/>
        <v/>
      </c>
      <c r="B272" s="40" t="str">
        <f t="shared" si="10"/>
        <v/>
      </c>
      <c r="C272" s="24"/>
      <c r="D272" s="23"/>
      <c r="E272" s="51"/>
      <c r="F272" s="51"/>
      <c r="G272" s="24"/>
      <c r="H272" s="40"/>
      <c r="I272" s="40" t="str">
        <f t="array" ref="I272">IF(G272="","",IFERROR(INDEX('Người sử dụng'!$H$5:$H$140,MATCH(G272,'Người sử dụng'!$C$5:$C$140,0)),"Chưa có trong DS"))</f>
        <v/>
      </c>
      <c r="J272" s="24"/>
      <c r="K272" s="24"/>
      <c r="L272" s="23"/>
      <c r="M272" s="24"/>
      <c r="N272" s="24"/>
      <c r="O272" s="24"/>
      <c r="P272" s="26"/>
      <c r="Q272" s="51"/>
      <c r="R272" s="46"/>
      <c r="S272" s="51"/>
      <c r="T272" s="46"/>
      <c r="U272" s="46"/>
      <c r="V272" s="46"/>
      <c r="W272" s="46"/>
      <c r="X272" s="46"/>
      <c r="Y272" s="46"/>
      <c r="Z272" s="46"/>
      <c r="AA272" s="46"/>
      <c r="AB272" s="46"/>
      <c r="AC272" s="46"/>
      <c r="AD272" s="46"/>
      <c r="AE272" s="46"/>
    </row>
    <row r="273" ht="15.75" customHeight="1">
      <c r="A273" s="40">
        <f t="shared" si="9"/>
        <v>268</v>
      </c>
      <c r="B273" s="40" t="str">
        <f t="shared" si="10"/>
        <v>ADS-268</v>
      </c>
      <c r="C273" s="19" t="s">
        <v>102</v>
      </c>
      <c r="D273" s="23"/>
      <c r="E273" s="51"/>
      <c r="F273" s="51"/>
      <c r="G273" s="24"/>
      <c r="H273" s="40"/>
      <c r="I273" s="40" t="str">
        <f t="array" ref="I273">IF(G273="","",IFERROR(INDEX('Người sử dụng'!$H$5:$H$140,MATCH(G273,'Người sử dụng'!$C$5:$C$140,0)),"Chưa có trong DS"))</f>
        <v/>
      </c>
      <c r="J273" s="24"/>
      <c r="K273" s="24"/>
      <c r="L273" s="23"/>
      <c r="M273" s="24"/>
      <c r="N273" s="24"/>
      <c r="O273" s="24"/>
      <c r="P273" s="26"/>
      <c r="Q273" s="51"/>
      <c r="R273" s="46"/>
      <c r="S273" s="51"/>
      <c r="T273" s="46"/>
      <c r="U273" s="46"/>
      <c r="V273" s="46"/>
      <c r="W273" s="46"/>
      <c r="X273" s="46"/>
      <c r="Y273" s="46"/>
      <c r="Z273" s="46"/>
      <c r="AA273" s="46"/>
      <c r="AB273" s="46"/>
      <c r="AC273" s="46"/>
      <c r="AD273" s="46"/>
      <c r="AE273" s="46"/>
    </row>
    <row r="274" ht="15.75" customHeight="1">
      <c r="A274" s="40">
        <f t="shared" si="9"/>
        <v>269</v>
      </c>
      <c r="B274" s="40" t="str">
        <f t="shared" si="10"/>
        <v>ADS-269</v>
      </c>
      <c r="C274" s="19" t="s">
        <v>84</v>
      </c>
      <c r="D274" s="23"/>
      <c r="E274" s="51"/>
      <c r="F274" s="51"/>
      <c r="G274" s="24"/>
      <c r="H274" s="40"/>
      <c r="I274" s="40" t="str">
        <f t="array" ref="I274">IF(G274="","",IFERROR(INDEX('Người sử dụng'!$H$5:$H$140,MATCH(G274,'Người sử dụng'!$C$5:$C$140,0)),"Chưa có trong DS"))</f>
        <v/>
      </c>
      <c r="J274" s="24"/>
      <c r="K274" s="24"/>
      <c r="L274" s="23"/>
      <c r="M274" s="24"/>
      <c r="N274" s="24"/>
      <c r="O274" s="24"/>
      <c r="P274" s="26"/>
      <c r="Q274" s="51"/>
      <c r="R274" s="46"/>
      <c r="S274" s="51"/>
      <c r="T274" s="46"/>
      <c r="U274" s="46"/>
      <c r="V274" s="46"/>
      <c r="W274" s="46"/>
      <c r="X274" s="46"/>
      <c r="Y274" s="46"/>
      <c r="Z274" s="46"/>
      <c r="AA274" s="46"/>
      <c r="AB274" s="46"/>
      <c r="AC274" s="46"/>
      <c r="AD274" s="46"/>
      <c r="AE274" s="46"/>
    </row>
    <row r="275" ht="15.75" customHeight="1">
      <c r="A275" s="40" t="str">
        <f t="shared" si="9"/>
        <v/>
      </c>
      <c r="B275" s="40" t="str">
        <f t="shared" si="10"/>
        <v/>
      </c>
      <c r="C275" s="24"/>
      <c r="D275" s="23"/>
      <c r="E275" s="51"/>
      <c r="F275" s="51"/>
      <c r="G275" s="24"/>
      <c r="H275" s="40"/>
      <c r="I275" s="40" t="str">
        <f t="array" ref="I275">IF(G275="","",IFERROR(INDEX('Người sử dụng'!$H$5:$H$140,MATCH(G275,'Người sử dụng'!$C$5:$C$140,0)),"Chưa có trong DS"))</f>
        <v/>
      </c>
      <c r="J275" s="24"/>
      <c r="K275" s="24"/>
      <c r="L275" s="23"/>
      <c r="M275" s="24"/>
      <c r="N275" s="24"/>
      <c r="O275" s="24"/>
      <c r="P275" s="26"/>
      <c r="Q275" s="51"/>
      <c r="R275" s="46"/>
      <c r="S275" s="51"/>
      <c r="T275" s="46"/>
      <c r="U275" s="46"/>
      <c r="V275" s="46"/>
      <c r="W275" s="46"/>
      <c r="X275" s="46"/>
      <c r="Y275" s="46"/>
      <c r="Z275" s="46"/>
      <c r="AA275" s="46"/>
      <c r="AB275" s="46"/>
      <c r="AC275" s="46"/>
      <c r="AD275" s="46"/>
      <c r="AE275" s="46"/>
    </row>
    <row r="276" ht="15.75" customHeight="1">
      <c r="A276" s="40" t="str">
        <f t="shared" si="9"/>
        <v/>
      </c>
      <c r="B276" s="40" t="str">
        <f t="shared" si="10"/>
        <v/>
      </c>
      <c r="C276" s="24"/>
      <c r="D276" s="23"/>
      <c r="E276" s="51"/>
      <c r="F276" s="51"/>
      <c r="G276" s="24"/>
      <c r="H276" s="40"/>
      <c r="I276" s="40" t="str">
        <f t="array" ref="I276">IF(G276="","",IFERROR(INDEX('Người sử dụng'!$H$5:$H$140,MATCH(G276,'Người sử dụng'!$C$5:$C$140,0)),"Chưa có trong DS"))</f>
        <v/>
      </c>
      <c r="J276" s="24"/>
      <c r="K276" s="24"/>
      <c r="L276" s="23"/>
      <c r="M276" s="24"/>
      <c r="N276" s="24"/>
      <c r="O276" s="24"/>
      <c r="P276" s="26"/>
      <c r="Q276" s="51"/>
      <c r="R276" s="46"/>
      <c r="S276" s="51"/>
      <c r="T276" s="46"/>
      <c r="U276" s="46"/>
      <c r="V276" s="46"/>
      <c r="W276" s="46"/>
      <c r="X276" s="46"/>
      <c r="Y276" s="46"/>
      <c r="Z276" s="46"/>
      <c r="AA276" s="46"/>
      <c r="AB276" s="46"/>
      <c r="AC276" s="46"/>
      <c r="AD276" s="46"/>
      <c r="AE276" s="46"/>
    </row>
    <row r="277" ht="15.75" customHeight="1">
      <c r="A277" s="40" t="str">
        <f t="shared" si="9"/>
        <v/>
      </c>
      <c r="B277" s="40" t="str">
        <f t="shared" si="10"/>
        <v/>
      </c>
      <c r="C277" s="24"/>
      <c r="D277" s="23"/>
      <c r="E277" s="51"/>
      <c r="F277" s="51"/>
      <c r="G277" s="24"/>
      <c r="H277" s="40"/>
      <c r="I277" s="40" t="str">
        <f t="array" ref="I277">IF(G277="","",IFERROR(INDEX('Người sử dụng'!$H$5:$H$140,MATCH(G277,'Người sử dụng'!$C$5:$C$140,0)),"Chưa có trong DS"))</f>
        <v/>
      </c>
      <c r="J277" s="24"/>
      <c r="K277" s="24"/>
      <c r="L277" s="23"/>
      <c r="M277" s="24"/>
      <c r="N277" s="24"/>
      <c r="O277" s="24"/>
      <c r="P277" s="26"/>
      <c r="Q277" s="51"/>
      <c r="R277" s="46"/>
      <c r="S277" s="51"/>
      <c r="T277" s="46"/>
      <c r="U277" s="46"/>
      <c r="V277" s="46"/>
      <c r="W277" s="46"/>
      <c r="X277" s="46"/>
      <c r="Y277" s="46"/>
      <c r="Z277" s="46"/>
      <c r="AA277" s="46"/>
      <c r="AB277" s="46"/>
      <c r="AC277" s="46"/>
      <c r="AD277" s="46"/>
      <c r="AE277" s="46"/>
    </row>
    <row r="278" ht="15.75" customHeight="1">
      <c r="A278" s="40" t="str">
        <f t="shared" si="9"/>
        <v/>
      </c>
      <c r="B278" s="40" t="str">
        <f t="shared" si="10"/>
        <v/>
      </c>
      <c r="C278" s="24"/>
      <c r="D278" s="23"/>
      <c r="E278" s="51"/>
      <c r="F278" s="51"/>
      <c r="G278" s="24"/>
      <c r="H278" s="40"/>
      <c r="I278" s="40" t="str">
        <f t="array" ref="I278">IF(G278="","",IFERROR(INDEX('Người sử dụng'!$H$5:$H$140,MATCH(G278,'Người sử dụng'!$C$5:$C$140,0)),"Chưa có trong DS"))</f>
        <v/>
      </c>
      <c r="J278" s="24"/>
      <c r="K278" s="24"/>
      <c r="L278" s="23"/>
      <c r="M278" s="24"/>
      <c r="N278" s="24"/>
      <c r="O278" s="24"/>
      <c r="P278" s="26"/>
      <c r="Q278" s="51"/>
      <c r="R278" s="46"/>
      <c r="S278" s="51"/>
      <c r="T278" s="46"/>
      <c r="U278" s="46"/>
      <c r="V278" s="46"/>
      <c r="W278" s="46"/>
      <c r="X278" s="46"/>
      <c r="Y278" s="46"/>
      <c r="Z278" s="46"/>
      <c r="AA278" s="46"/>
      <c r="AB278" s="46"/>
      <c r="AC278" s="46"/>
      <c r="AD278" s="46"/>
      <c r="AE278" s="46"/>
    </row>
    <row r="279" ht="15.75" customHeight="1">
      <c r="A279" s="40" t="str">
        <f t="shared" si="9"/>
        <v/>
      </c>
      <c r="B279" s="40" t="str">
        <f t="shared" si="10"/>
        <v/>
      </c>
      <c r="C279" s="24"/>
      <c r="D279" s="23"/>
      <c r="E279" s="51"/>
      <c r="F279" s="51"/>
      <c r="G279" s="24"/>
      <c r="H279" s="40"/>
      <c r="I279" s="40" t="str">
        <f t="array" ref="I279">IF(G279="","",IFERROR(INDEX('Người sử dụng'!$H$5:$H$140,MATCH(G279,'Người sử dụng'!$C$5:$C$140,0)),"Chưa có trong DS"))</f>
        <v/>
      </c>
      <c r="J279" s="24"/>
      <c r="K279" s="24"/>
      <c r="L279" s="23"/>
      <c r="M279" s="24"/>
      <c r="N279" s="24"/>
      <c r="O279" s="24"/>
      <c r="P279" s="26"/>
      <c r="Q279" s="51"/>
      <c r="R279" s="46"/>
      <c r="S279" s="51"/>
      <c r="T279" s="46"/>
      <c r="U279" s="46"/>
      <c r="V279" s="46"/>
      <c r="W279" s="46"/>
      <c r="X279" s="46"/>
      <c r="Y279" s="46"/>
      <c r="Z279" s="46"/>
      <c r="AA279" s="46"/>
      <c r="AB279" s="46"/>
      <c r="AC279" s="46"/>
      <c r="AD279" s="46"/>
      <c r="AE279" s="46"/>
    </row>
    <row r="280" ht="15.75" customHeight="1">
      <c r="A280" s="40" t="str">
        <f t="shared" si="9"/>
        <v/>
      </c>
      <c r="B280" s="40" t="str">
        <f t="shared" si="10"/>
        <v/>
      </c>
      <c r="C280" s="24"/>
      <c r="D280" s="23"/>
      <c r="E280" s="51"/>
      <c r="F280" s="51"/>
      <c r="G280" s="24"/>
      <c r="H280" s="40"/>
      <c r="I280" s="40" t="str">
        <f t="array" ref="I280">IF(G280="","",IFERROR(INDEX('Người sử dụng'!$H$5:$H$140,MATCH(G280,'Người sử dụng'!$C$5:$C$140,0)),"Chưa có trong DS"))</f>
        <v/>
      </c>
      <c r="J280" s="24"/>
      <c r="K280" s="24"/>
      <c r="L280" s="23"/>
      <c r="M280" s="24"/>
      <c r="N280" s="24"/>
      <c r="O280" s="24"/>
      <c r="P280" s="26"/>
      <c r="Q280" s="51"/>
      <c r="R280" s="46"/>
      <c r="S280" s="51"/>
      <c r="T280" s="46"/>
      <c r="U280" s="46"/>
      <c r="V280" s="46"/>
      <c r="W280" s="46"/>
      <c r="X280" s="46"/>
      <c r="Y280" s="46"/>
      <c r="Z280" s="46"/>
      <c r="AA280" s="46"/>
      <c r="AB280" s="46"/>
      <c r="AC280" s="46"/>
      <c r="AD280" s="46"/>
      <c r="AE280" s="46"/>
    </row>
    <row r="281" ht="15.75" customHeight="1">
      <c r="A281" s="40" t="str">
        <f t="shared" si="9"/>
        <v/>
      </c>
      <c r="B281" s="40" t="str">
        <f t="shared" si="10"/>
        <v/>
      </c>
      <c r="C281" s="24"/>
      <c r="D281" s="23"/>
      <c r="E281" s="51"/>
      <c r="F281" s="51"/>
      <c r="G281" s="24"/>
      <c r="H281" s="40"/>
      <c r="I281" s="40" t="str">
        <f t="array" ref="I281">IF(G281="","",IFERROR(INDEX('Người sử dụng'!$H$5:$H$140,MATCH(G281,'Người sử dụng'!$C$5:$C$140,0)),"Chưa có trong DS"))</f>
        <v/>
      </c>
      <c r="J281" s="24"/>
      <c r="K281" s="24"/>
      <c r="L281" s="23"/>
      <c r="M281" s="24"/>
      <c r="N281" s="24"/>
      <c r="O281" s="24"/>
      <c r="P281" s="26"/>
      <c r="Q281" s="51"/>
      <c r="R281" s="46"/>
      <c r="S281" s="51"/>
      <c r="T281" s="46"/>
      <c r="U281" s="46"/>
      <c r="V281" s="46"/>
      <c r="W281" s="46"/>
      <c r="X281" s="46"/>
      <c r="Y281" s="46"/>
      <c r="Z281" s="46"/>
      <c r="AA281" s="46"/>
      <c r="AB281" s="46"/>
      <c r="AC281" s="46"/>
      <c r="AD281" s="46"/>
      <c r="AE281" s="46"/>
    </row>
    <row r="282" ht="15.75" customHeight="1">
      <c r="A282" s="40" t="str">
        <f t="shared" si="9"/>
        <v/>
      </c>
      <c r="B282" s="40" t="str">
        <f t="shared" si="10"/>
        <v/>
      </c>
      <c r="C282" s="24"/>
      <c r="D282" s="23"/>
      <c r="E282" s="51"/>
      <c r="F282" s="51"/>
      <c r="G282" s="24"/>
      <c r="H282" s="40"/>
      <c r="I282" s="40" t="str">
        <f t="array" ref="I282">IF(G282="","",IFERROR(INDEX('Người sử dụng'!$H$5:$H$140,MATCH(G282,'Người sử dụng'!$C$5:$C$140,0)),"Chưa có trong DS"))</f>
        <v/>
      </c>
      <c r="J282" s="24"/>
      <c r="K282" s="24"/>
      <c r="L282" s="23"/>
      <c r="M282" s="24"/>
      <c r="N282" s="24"/>
      <c r="O282" s="24"/>
      <c r="P282" s="26"/>
      <c r="Q282" s="51"/>
      <c r="R282" s="46"/>
      <c r="S282" s="51"/>
      <c r="T282" s="46"/>
      <c r="U282" s="46"/>
      <c r="V282" s="46"/>
      <c r="W282" s="46"/>
      <c r="X282" s="46"/>
      <c r="Y282" s="46"/>
      <c r="Z282" s="46"/>
      <c r="AA282" s="46"/>
      <c r="AB282" s="46"/>
      <c r="AC282" s="46"/>
      <c r="AD282" s="46"/>
      <c r="AE282" s="46"/>
    </row>
    <row r="283" ht="15.75" customHeight="1">
      <c r="A283" s="40" t="str">
        <f t="shared" si="9"/>
        <v/>
      </c>
      <c r="B283" s="40" t="str">
        <f t="shared" si="10"/>
        <v/>
      </c>
      <c r="C283" s="24"/>
      <c r="D283" s="23"/>
      <c r="E283" s="51"/>
      <c r="F283" s="51"/>
      <c r="G283" s="24"/>
      <c r="H283" s="40"/>
      <c r="I283" s="40" t="str">
        <f t="array" ref="I283">IF(G283="","",IFERROR(INDEX('Người sử dụng'!$H$5:$H$140,MATCH(G283,'Người sử dụng'!$C$5:$C$140,0)),"Chưa có trong DS"))</f>
        <v/>
      </c>
      <c r="J283" s="24"/>
      <c r="K283" s="24"/>
      <c r="L283" s="23"/>
      <c r="M283" s="24"/>
      <c r="N283" s="24"/>
      <c r="O283" s="24"/>
      <c r="P283" s="26"/>
      <c r="Q283" s="51"/>
      <c r="R283" s="46"/>
      <c r="S283" s="51"/>
      <c r="T283" s="46"/>
      <c r="U283" s="46"/>
      <c r="V283" s="46"/>
      <c r="W283" s="46"/>
      <c r="X283" s="46"/>
      <c r="Y283" s="46"/>
      <c r="Z283" s="46"/>
      <c r="AA283" s="46"/>
      <c r="AB283" s="46"/>
      <c r="AC283" s="46"/>
      <c r="AD283" s="46"/>
      <c r="AE283" s="46"/>
    </row>
    <row r="284" ht="15.75" customHeight="1">
      <c r="A284" s="40" t="str">
        <f t="shared" si="9"/>
        <v/>
      </c>
      <c r="B284" s="40" t="str">
        <f t="shared" si="10"/>
        <v/>
      </c>
      <c r="C284" s="24"/>
      <c r="D284" s="23"/>
      <c r="E284" s="51"/>
      <c r="F284" s="51"/>
      <c r="G284" s="24"/>
      <c r="H284" s="40"/>
      <c r="I284" s="40" t="str">
        <f t="array" ref="I284">IF(G284="","",IFERROR(INDEX('Người sử dụng'!$H$5:$H$140,MATCH(G284,'Người sử dụng'!$C$5:$C$140,0)),"Chưa có trong DS"))</f>
        <v/>
      </c>
      <c r="J284" s="24"/>
      <c r="K284" s="24"/>
      <c r="L284" s="23"/>
      <c r="M284" s="24"/>
      <c r="N284" s="24"/>
      <c r="O284" s="24"/>
      <c r="P284" s="26"/>
      <c r="Q284" s="51"/>
      <c r="R284" s="46"/>
      <c r="S284" s="51"/>
      <c r="T284" s="46"/>
      <c r="U284" s="46"/>
      <c r="V284" s="46"/>
      <c r="W284" s="46"/>
      <c r="X284" s="46"/>
      <c r="Y284" s="46"/>
      <c r="Z284" s="46"/>
      <c r="AA284" s="46"/>
      <c r="AB284" s="46"/>
      <c r="AC284" s="46"/>
      <c r="AD284" s="46"/>
      <c r="AE284" s="46"/>
    </row>
    <row r="285" ht="15.75" customHeight="1">
      <c r="A285" s="40" t="str">
        <f t="shared" si="9"/>
        <v/>
      </c>
      <c r="B285" s="40" t="str">
        <f t="shared" si="10"/>
        <v/>
      </c>
      <c r="C285" s="24"/>
      <c r="D285" s="23"/>
      <c r="E285" s="51"/>
      <c r="F285" s="51"/>
      <c r="G285" s="24"/>
      <c r="H285" s="40"/>
      <c r="I285" s="40" t="str">
        <f t="array" ref="I285">IF(G285="","",IFERROR(INDEX('Người sử dụng'!$H$5:$H$140,MATCH(G285,'Người sử dụng'!$C$5:$C$140,0)),"Chưa có trong DS"))</f>
        <v/>
      </c>
      <c r="J285" s="24"/>
      <c r="K285" s="24"/>
      <c r="L285" s="23"/>
      <c r="M285" s="24"/>
      <c r="N285" s="24"/>
      <c r="O285" s="24"/>
      <c r="P285" s="26"/>
      <c r="Q285" s="51"/>
      <c r="R285" s="46"/>
      <c r="S285" s="51"/>
      <c r="T285" s="46"/>
      <c r="U285" s="46"/>
      <c r="V285" s="46"/>
      <c r="W285" s="46"/>
      <c r="X285" s="46"/>
      <c r="Y285" s="46"/>
      <c r="Z285" s="46"/>
      <c r="AA285" s="46"/>
      <c r="AB285" s="46"/>
      <c r="AC285" s="46"/>
      <c r="AD285" s="46"/>
      <c r="AE285" s="46"/>
    </row>
    <row r="286" ht="15.75" customHeight="1">
      <c r="A286" s="40" t="str">
        <f t="shared" si="9"/>
        <v/>
      </c>
      <c r="B286" s="40" t="str">
        <f t="shared" si="10"/>
        <v/>
      </c>
      <c r="C286" s="24"/>
      <c r="D286" s="23"/>
      <c r="E286" s="51"/>
      <c r="F286" s="51"/>
      <c r="G286" s="24"/>
      <c r="H286" s="40"/>
      <c r="I286" s="40" t="str">
        <f t="array" ref="I286">IF(G286="","",IFERROR(INDEX('Người sử dụng'!$H$5:$H$140,MATCH(G286,'Người sử dụng'!$C$5:$C$140,0)),"Chưa có trong DS"))</f>
        <v/>
      </c>
      <c r="J286" s="24"/>
      <c r="K286" s="24"/>
      <c r="L286" s="23"/>
      <c r="M286" s="24"/>
      <c r="N286" s="24"/>
      <c r="O286" s="24"/>
      <c r="P286" s="26"/>
      <c r="Q286" s="51"/>
      <c r="R286" s="46"/>
      <c r="S286" s="51"/>
      <c r="T286" s="46"/>
      <c r="U286" s="46"/>
      <c r="V286" s="46"/>
      <c r="W286" s="46"/>
      <c r="X286" s="46"/>
      <c r="Y286" s="46"/>
      <c r="Z286" s="46"/>
      <c r="AA286" s="46"/>
      <c r="AB286" s="46"/>
      <c r="AC286" s="46"/>
      <c r="AD286" s="46"/>
      <c r="AE286" s="46"/>
    </row>
    <row r="287" ht="15.75" customHeight="1">
      <c r="A287" s="40" t="str">
        <f t="shared" si="9"/>
        <v/>
      </c>
      <c r="B287" s="40" t="str">
        <f t="shared" si="10"/>
        <v/>
      </c>
      <c r="C287" s="24"/>
      <c r="D287" s="23"/>
      <c r="E287" s="51"/>
      <c r="F287" s="51"/>
      <c r="G287" s="24"/>
      <c r="H287" s="40"/>
      <c r="I287" s="40" t="str">
        <f t="array" ref="I287">IF(G287="","",IFERROR(INDEX('Người sử dụng'!$H$5:$H$140,MATCH(G287,'Người sử dụng'!$C$5:$C$140,0)),"Chưa có trong DS"))</f>
        <v/>
      </c>
      <c r="J287" s="24"/>
      <c r="K287" s="24"/>
      <c r="L287" s="23"/>
      <c r="M287" s="24"/>
      <c r="N287" s="24"/>
      <c r="O287" s="24"/>
      <c r="P287" s="26"/>
      <c r="Q287" s="51"/>
      <c r="R287" s="46"/>
      <c r="S287" s="51"/>
      <c r="T287" s="46"/>
      <c r="U287" s="46"/>
      <c r="V287" s="46"/>
      <c r="W287" s="46"/>
      <c r="X287" s="46"/>
      <c r="Y287" s="46"/>
      <c r="Z287" s="46"/>
      <c r="AA287" s="46"/>
      <c r="AB287" s="46"/>
      <c r="AC287" s="46"/>
      <c r="AD287" s="46"/>
      <c r="AE287" s="46"/>
    </row>
    <row r="288" ht="15.75" customHeight="1">
      <c r="A288" s="40" t="str">
        <f t="shared" si="9"/>
        <v/>
      </c>
      <c r="B288" s="40" t="str">
        <f t="shared" si="10"/>
        <v/>
      </c>
      <c r="C288" s="24"/>
      <c r="D288" s="23"/>
      <c r="E288" s="51"/>
      <c r="F288" s="51"/>
      <c r="G288" s="24"/>
      <c r="H288" s="40"/>
      <c r="I288" s="40" t="str">
        <f t="array" ref="I288">IF(G288="","",IFERROR(INDEX('Người sử dụng'!$H$5:$H$140,MATCH(G288,'Người sử dụng'!$C$5:$C$140,0)),"Chưa có trong DS"))</f>
        <v/>
      </c>
      <c r="J288" s="24"/>
      <c r="K288" s="24"/>
      <c r="L288" s="23"/>
      <c r="M288" s="24"/>
      <c r="N288" s="24"/>
      <c r="O288" s="24"/>
      <c r="P288" s="26"/>
      <c r="Q288" s="51"/>
      <c r="R288" s="46"/>
      <c r="S288" s="51"/>
      <c r="T288" s="46"/>
      <c r="U288" s="46"/>
      <c r="V288" s="46"/>
      <c r="W288" s="46"/>
      <c r="X288" s="46"/>
      <c r="Y288" s="46"/>
      <c r="Z288" s="46"/>
      <c r="AA288" s="46"/>
      <c r="AB288" s="46"/>
      <c r="AC288" s="46"/>
      <c r="AD288" s="46"/>
      <c r="AE288" s="46"/>
    </row>
    <row r="289" ht="15.75" customHeight="1">
      <c r="A289" s="40" t="str">
        <f t="shared" si="9"/>
        <v/>
      </c>
      <c r="B289" s="40" t="str">
        <f t="shared" si="10"/>
        <v/>
      </c>
      <c r="C289" s="24"/>
      <c r="D289" s="23"/>
      <c r="E289" s="51"/>
      <c r="F289" s="51"/>
      <c r="G289" s="24"/>
      <c r="H289" s="40"/>
      <c r="I289" s="40"/>
      <c r="J289" s="24"/>
      <c r="K289" s="24"/>
      <c r="L289" s="23"/>
      <c r="M289" s="24"/>
      <c r="N289" s="24"/>
      <c r="O289" s="24"/>
      <c r="P289" s="26"/>
      <c r="Q289" s="51"/>
      <c r="R289" s="46"/>
      <c r="S289" s="51"/>
      <c r="T289" s="46"/>
      <c r="U289" s="46"/>
      <c r="V289" s="46"/>
      <c r="W289" s="46"/>
      <c r="X289" s="46"/>
      <c r="Y289" s="46"/>
      <c r="Z289" s="46"/>
      <c r="AA289" s="46"/>
      <c r="AB289" s="46"/>
      <c r="AC289" s="46"/>
      <c r="AD289" s="46"/>
      <c r="AE289" s="46"/>
    </row>
    <row r="290" ht="15.75" customHeight="1">
      <c r="A290" s="40" t="str">
        <f t="shared" si="9"/>
        <v/>
      </c>
      <c r="B290" s="40" t="str">
        <f t="shared" si="10"/>
        <v/>
      </c>
      <c r="C290" s="24"/>
      <c r="D290" s="23"/>
      <c r="E290" s="51"/>
      <c r="F290" s="51"/>
      <c r="G290" s="24"/>
      <c r="H290" s="40"/>
      <c r="I290" s="40"/>
      <c r="J290" s="24"/>
      <c r="K290" s="24"/>
      <c r="L290" s="23"/>
      <c r="M290" s="24"/>
      <c r="N290" s="24"/>
      <c r="O290" s="24"/>
      <c r="P290" s="26"/>
      <c r="Q290" s="51"/>
      <c r="R290" s="46"/>
      <c r="S290" s="51"/>
      <c r="T290" s="46"/>
      <c r="U290" s="46"/>
      <c r="V290" s="46"/>
      <c r="W290" s="46"/>
      <c r="X290" s="46"/>
      <c r="Y290" s="46"/>
      <c r="Z290" s="46"/>
      <c r="AA290" s="46"/>
      <c r="AB290" s="46"/>
      <c r="AC290" s="46"/>
      <c r="AD290" s="46"/>
      <c r="AE290" s="46"/>
    </row>
    <row r="291" ht="15.75" customHeight="1">
      <c r="A291" s="40" t="str">
        <f t="shared" si="9"/>
        <v/>
      </c>
      <c r="B291" s="40" t="str">
        <f t="shared" si="10"/>
        <v/>
      </c>
      <c r="C291" s="24"/>
      <c r="D291" s="23"/>
      <c r="E291" s="51"/>
      <c r="F291" s="51"/>
      <c r="G291" s="24"/>
      <c r="H291" s="40"/>
      <c r="I291" s="40"/>
      <c r="J291" s="24"/>
      <c r="K291" s="24"/>
      <c r="L291" s="23"/>
      <c r="M291" s="24"/>
      <c r="N291" s="24"/>
      <c r="O291" s="24"/>
      <c r="P291" s="26"/>
      <c r="Q291" s="51"/>
      <c r="R291" s="46"/>
      <c r="S291" s="51"/>
      <c r="T291" s="46"/>
      <c r="U291" s="46"/>
      <c r="V291" s="46"/>
      <c r="W291" s="46"/>
      <c r="X291" s="46"/>
      <c r="Y291" s="46"/>
      <c r="Z291" s="46"/>
      <c r="AA291" s="46"/>
      <c r="AB291" s="46"/>
      <c r="AC291" s="46"/>
      <c r="AD291" s="46"/>
      <c r="AE291" s="46"/>
    </row>
    <row r="292" ht="15.75" customHeight="1">
      <c r="A292" s="40" t="str">
        <f t="shared" si="9"/>
        <v/>
      </c>
      <c r="B292" s="40" t="str">
        <f t="shared" si="10"/>
        <v/>
      </c>
      <c r="C292" s="24"/>
      <c r="D292" s="23"/>
      <c r="E292" s="51"/>
      <c r="F292" s="51"/>
      <c r="G292" s="24"/>
      <c r="H292" s="40"/>
      <c r="I292" s="40"/>
      <c r="J292" s="24"/>
      <c r="K292" s="24"/>
      <c r="L292" s="23"/>
      <c r="M292" s="24"/>
      <c r="N292" s="24"/>
      <c r="O292" s="24"/>
      <c r="P292" s="26"/>
      <c r="Q292" s="51"/>
      <c r="R292" s="46"/>
      <c r="S292" s="51"/>
      <c r="T292" s="46"/>
      <c r="U292" s="46"/>
      <c r="V292" s="46"/>
      <c r="W292" s="46"/>
      <c r="X292" s="46"/>
      <c r="Y292" s="46"/>
      <c r="Z292" s="46"/>
      <c r="AA292" s="46"/>
      <c r="AB292" s="46"/>
      <c r="AC292" s="46"/>
      <c r="AD292" s="46"/>
      <c r="AE292" s="46"/>
    </row>
    <row r="293" ht="15.75" customHeight="1">
      <c r="A293" s="40" t="str">
        <f t="shared" si="9"/>
        <v/>
      </c>
      <c r="B293" s="40" t="str">
        <f t="shared" si="10"/>
        <v/>
      </c>
      <c r="C293" s="24"/>
      <c r="D293" s="23"/>
      <c r="E293" s="51"/>
      <c r="F293" s="51"/>
      <c r="G293" s="24"/>
      <c r="H293" s="40"/>
      <c r="I293" s="40"/>
      <c r="J293" s="24"/>
      <c r="K293" s="24"/>
      <c r="L293" s="23"/>
      <c r="M293" s="24"/>
      <c r="N293" s="24"/>
      <c r="O293" s="24"/>
      <c r="P293" s="26"/>
      <c r="Q293" s="51"/>
      <c r="R293" s="46"/>
      <c r="S293" s="51"/>
      <c r="T293" s="46"/>
      <c r="U293" s="46"/>
      <c r="V293" s="46"/>
      <c r="W293" s="46"/>
      <c r="X293" s="46"/>
      <c r="Y293" s="46"/>
      <c r="Z293" s="46"/>
      <c r="AA293" s="46"/>
      <c r="AB293" s="46"/>
      <c r="AC293" s="46"/>
      <c r="AD293" s="46"/>
      <c r="AE293" s="46"/>
    </row>
    <row r="294" ht="15.75" customHeight="1">
      <c r="A294" s="40" t="str">
        <f t="shared" si="9"/>
        <v/>
      </c>
      <c r="B294" s="40" t="str">
        <f t="shared" si="10"/>
        <v/>
      </c>
      <c r="C294" s="24"/>
      <c r="D294" s="23"/>
      <c r="E294" s="51"/>
      <c r="F294" s="51"/>
      <c r="G294" s="24"/>
      <c r="H294" s="40"/>
      <c r="I294" s="40"/>
      <c r="J294" s="24"/>
      <c r="K294" s="24"/>
      <c r="L294" s="23"/>
      <c r="M294" s="24"/>
      <c r="N294" s="24"/>
      <c r="O294" s="24"/>
      <c r="P294" s="26"/>
      <c r="Q294" s="51"/>
      <c r="R294" s="46"/>
      <c r="S294" s="51"/>
      <c r="T294" s="46"/>
      <c r="U294" s="46"/>
      <c r="V294" s="46"/>
      <c r="W294" s="46"/>
      <c r="X294" s="46"/>
      <c r="Y294" s="46"/>
      <c r="Z294" s="46"/>
      <c r="AA294" s="46"/>
      <c r="AB294" s="46"/>
      <c r="AC294" s="46"/>
      <c r="AD294" s="46"/>
      <c r="AE294" s="46"/>
    </row>
    <row r="295" ht="15.75" customHeight="1">
      <c r="A295" s="40" t="str">
        <f t="shared" si="9"/>
        <v/>
      </c>
      <c r="B295" s="40" t="str">
        <f t="shared" si="10"/>
        <v/>
      </c>
      <c r="C295" s="24"/>
      <c r="D295" s="23"/>
      <c r="E295" s="51"/>
      <c r="F295" s="51"/>
      <c r="G295" s="24"/>
      <c r="H295" s="40"/>
      <c r="I295" s="40"/>
      <c r="J295" s="24"/>
      <c r="K295" s="24"/>
      <c r="L295" s="23"/>
      <c r="M295" s="24"/>
      <c r="N295" s="24"/>
      <c r="O295" s="24"/>
      <c r="P295" s="26"/>
      <c r="Q295" s="51"/>
      <c r="R295" s="46"/>
      <c r="S295" s="51"/>
      <c r="T295" s="46"/>
      <c r="U295" s="46"/>
      <c r="V295" s="46"/>
      <c r="W295" s="46"/>
      <c r="X295" s="46"/>
      <c r="Y295" s="46"/>
      <c r="Z295" s="46"/>
      <c r="AA295" s="46"/>
      <c r="AB295" s="46"/>
      <c r="AC295" s="46"/>
      <c r="AD295" s="46"/>
      <c r="AE295" s="46"/>
    </row>
    <row r="296" ht="15.75" customHeight="1">
      <c r="A296" s="40" t="str">
        <f t="shared" si="9"/>
        <v/>
      </c>
      <c r="B296" s="40" t="str">
        <f t="shared" si="10"/>
        <v/>
      </c>
      <c r="C296" s="24"/>
      <c r="D296" s="23"/>
      <c r="E296" s="51"/>
      <c r="F296" s="51"/>
      <c r="G296" s="24"/>
      <c r="H296" s="40"/>
      <c r="I296" s="40"/>
      <c r="J296" s="24"/>
      <c r="K296" s="24"/>
      <c r="L296" s="23"/>
      <c r="M296" s="24"/>
      <c r="N296" s="24"/>
      <c r="O296" s="24"/>
      <c r="P296" s="26"/>
      <c r="Q296" s="51"/>
      <c r="R296" s="46"/>
      <c r="S296" s="51"/>
      <c r="T296" s="46"/>
      <c r="U296" s="46"/>
      <c r="V296" s="46"/>
      <c r="W296" s="46"/>
      <c r="X296" s="46"/>
      <c r="Y296" s="46"/>
      <c r="Z296" s="46"/>
      <c r="AA296" s="46"/>
      <c r="AB296" s="46"/>
      <c r="AC296" s="46"/>
      <c r="AD296" s="46"/>
      <c r="AE296" s="46"/>
    </row>
    <row r="297" ht="15.75" customHeight="1">
      <c r="A297" s="40" t="str">
        <f t="shared" si="9"/>
        <v/>
      </c>
      <c r="B297" s="40" t="str">
        <f t="shared" si="10"/>
        <v/>
      </c>
      <c r="C297" s="24"/>
      <c r="D297" s="23"/>
      <c r="E297" s="51"/>
      <c r="F297" s="51"/>
      <c r="G297" s="24"/>
      <c r="H297" s="40"/>
      <c r="I297" s="40"/>
      <c r="J297" s="24"/>
      <c r="K297" s="24"/>
      <c r="L297" s="23"/>
      <c r="M297" s="24"/>
      <c r="N297" s="24"/>
      <c r="O297" s="24"/>
      <c r="P297" s="26"/>
      <c r="Q297" s="51"/>
      <c r="R297" s="46"/>
      <c r="S297" s="51"/>
      <c r="T297" s="46"/>
      <c r="U297" s="46"/>
      <c r="V297" s="46"/>
      <c r="W297" s="46"/>
      <c r="X297" s="46"/>
      <c r="Y297" s="46"/>
      <c r="Z297" s="46"/>
      <c r="AA297" s="46"/>
      <c r="AB297" s="46"/>
      <c r="AC297" s="46"/>
      <c r="AD297" s="46"/>
      <c r="AE297" s="46"/>
    </row>
    <row r="298" ht="15.75" customHeight="1">
      <c r="A298" s="40" t="str">
        <f t="shared" si="9"/>
        <v/>
      </c>
      <c r="B298" s="40" t="str">
        <f t="shared" si="10"/>
        <v/>
      </c>
      <c r="C298" s="24"/>
      <c r="D298" s="23"/>
      <c r="E298" s="51"/>
      <c r="F298" s="51"/>
      <c r="G298" s="24"/>
      <c r="H298" s="40"/>
      <c r="I298" s="40"/>
      <c r="J298" s="24"/>
      <c r="K298" s="24"/>
      <c r="L298" s="23"/>
      <c r="M298" s="24"/>
      <c r="N298" s="24"/>
      <c r="O298" s="24"/>
      <c r="P298" s="26"/>
      <c r="Q298" s="51"/>
      <c r="R298" s="46"/>
      <c r="S298" s="51"/>
      <c r="T298" s="46"/>
      <c r="U298" s="46"/>
      <c r="V298" s="46"/>
      <c r="W298" s="46"/>
      <c r="X298" s="46"/>
      <c r="Y298" s="46"/>
      <c r="Z298" s="46"/>
      <c r="AA298" s="46"/>
      <c r="AB298" s="46"/>
      <c r="AC298" s="46"/>
      <c r="AD298" s="46"/>
      <c r="AE298" s="46"/>
    </row>
    <row r="299" ht="15.75" customHeight="1">
      <c r="A299" s="40">
        <f t="shared" si="9"/>
        <v>294</v>
      </c>
      <c r="B299" s="40" t="str">
        <f t="shared" si="10"/>
        <v>ADS-294</v>
      </c>
      <c r="C299" s="19" t="s">
        <v>102</v>
      </c>
      <c r="D299" s="41" t="s">
        <v>642</v>
      </c>
      <c r="E299" s="42" t="s">
        <v>643</v>
      </c>
      <c r="F299" s="51"/>
      <c r="G299" s="19" t="s">
        <v>51</v>
      </c>
      <c r="H299" s="40" t="s">
        <v>49</v>
      </c>
      <c r="I299" s="40"/>
      <c r="J299" s="19" t="s">
        <v>89</v>
      </c>
      <c r="K299" s="24"/>
      <c r="L299" s="23"/>
      <c r="M299" s="24"/>
      <c r="N299" s="24"/>
      <c r="O299" s="24"/>
      <c r="P299" s="26"/>
      <c r="Q299" s="51"/>
      <c r="R299" s="46"/>
      <c r="S299" s="51"/>
      <c r="T299" s="46"/>
      <c r="U299" s="46"/>
      <c r="V299" s="46"/>
      <c r="W299" s="46"/>
      <c r="X299" s="46"/>
      <c r="Y299" s="46"/>
      <c r="Z299" s="46"/>
      <c r="AA299" s="46"/>
      <c r="AB299" s="46"/>
      <c r="AC299" s="46"/>
      <c r="AD299" s="46"/>
      <c r="AE299" s="46"/>
    </row>
    <row r="300" ht="15.75" customHeight="1">
      <c r="A300" s="40" t="str">
        <f t="shared" si="9"/>
        <v/>
      </c>
      <c r="B300" s="40" t="str">
        <f t="shared" si="10"/>
        <v/>
      </c>
      <c r="C300" s="24"/>
      <c r="D300" s="23"/>
      <c r="E300" s="51"/>
      <c r="F300" s="51"/>
      <c r="G300" s="19" t="s">
        <v>138</v>
      </c>
      <c r="H300" s="40" t="s">
        <v>137</v>
      </c>
      <c r="I300" s="40"/>
      <c r="J300" s="24"/>
      <c r="K300" s="24"/>
      <c r="L300" s="23"/>
      <c r="M300" s="24"/>
      <c r="N300" s="24"/>
      <c r="O300" s="24"/>
      <c r="P300" s="26"/>
      <c r="Q300" s="51"/>
      <c r="R300" s="46"/>
      <c r="S300" s="51"/>
      <c r="T300" s="46"/>
      <c r="U300" s="46"/>
      <c r="V300" s="46"/>
      <c r="W300" s="46"/>
      <c r="X300" s="46"/>
      <c r="Y300" s="46"/>
      <c r="Z300" s="46"/>
      <c r="AA300" s="46"/>
      <c r="AB300" s="46"/>
      <c r="AC300" s="46"/>
      <c r="AD300" s="46"/>
      <c r="AE300" s="46"/>
    </row>
    <row r="301" ht="15.75" customHeight="1">
      <c r="A301" s="40" t="str">
        <f t="shared" si="9"/>
        <v/>
      </c>
      <c r="B301" s="40" t="str">
        <f t="shared" si="10"/>
        <v/>
      </c>
      <c r="C301" s="24"/>
      <c r="D301" s="23"/>
      <c r="E301" s="51"/>
      <c r="F301" s="51"/>
      <c r="G301" s="19" t="s">
        <v>138</v>
      </c>
      <c r="H301" s="40" t="s">
        <v>137</v>
      </c>
      <c r="I301" s="40"/>
      <c r="J301" s="24"/>
      <c r="K301" s="24"/>
      <c r="L301" s="23"/>
      <c r="M301" s="24"/>
      <c r="N301" s="24"/>
      <c r="O301" s="24"/>
      <c r="P301" s="26"/>
      <c r="Q301" s="51"/>
      <c r="R301" s="46"/>
      <c r="S301" s="51"/>
      <c r="T301" s="46"/>
      <c r="U301" s="46"/>
      <c r="V301" s="46"/>
      <c r="W301" s="46"/>
      <c r="X301" s="46"/>
      <c r="Y301" s="46"/>
      <c r="Z301" s="46"/>
      <c r="AA301" s="46"/>
      <c r="AB301" s="46"/>
      <c r="AC301" s="46"/>
      <c r="AD301" s="46"/>
      <c r="AE301" s="46"/>
    </row>
    <row r="302" ht="15.75" customHeight="1">
      <c r="A302" s="40" t="str">
        <f t="shared" si="9"/>
        <v/>
      </c>
      <c r="B302" s="40" t="str">
        <f t="shared" si="10"/>
        <v/>
      </c>
      <c r="C302" s="19"/>
      <c r="D302" s="23"/>
      <c r="E302" s="51"/>
      <c r="F302" s="51"/>
      <c r="G302" s="19" t="s">
        <v>138</v>
      </c>
      <c r="H302" s="40" t="s">
        <v>137</v>
      </c>
      <c r="I302" s="40"/>
      <c r="J302" s="24"/>
      <c r="K302" s="24"/>
      <c r="L302" s="23"/>
      <c r="M302" s="24"/>
      <c r="N302" s="24"/>
      <c r="O302" s="24"/>
      <c r="P302" s="26"/>
      <c r="Q302" s="51"/>
      <c r="R302" s="46"/>
      <c r="S302" s="51"/>
      <c r="T302" s="46"/>
      <c r="U302" s="46"/>
      <c r="V302" s="46"/>
      <c r="W302" s="46"/>
      <c r="X302" s="46"/>
      <c r="Y302" s="46"/>
      <c r="Z302" s="46"/>
      <c r="AA302" s="46"/>
      <c r="AB302" s="46"/>
      <c r="AC302" s="46"/>
      <c r="AD302" s="46"/>
      <c r="AE302" s="46"/>
    </row>
    <row r="303" ht="15.75" customHeight="1">
      <c r="A303" s="40">
        <f t="shared" si="9"/>
        <v>298</v>
      </c>
      <c r="B303" s="40" t="str">
        <f t="shared" si="10"/>
        <v>ADS-298</v>
      </c>
      <c r="C303" s="19" t="s">
        <v>316</v>
      </c>
      <c r="D303" s="41" t="s">
        <v>645</v>
      </c>
      <c r="E303" s="42" t="s">
        <v>316</v>
      </c>
      <c r="F303" s="53" t="s">
        <v>646</v>
      </c>
      <c r="G303" s="19" t="s">
        <v>138</v>
      </c>
      <c r="H303" s="40" t="s">
        <v>137</v>
      </c>
      <c r="I303" s="40" t="str">
        <f t="array" ref="I303">IF(G303="","",IFERROR(INDEX('Người sử dụng'!$H$5:$H$140,MATCH(G303,'Người sử dụng'!$C$5:$C$140,0)),"Chưa có trong DS"))</f>
        <v>Đang làm</v>
      </c>
      <c r="J303" s="19" t="s">
        <v>428</v>
      </c>
      <c r="K303" s="19" t="s">
        <v>648</v>
      </c>
      <c r="L303" s="23"/>
      <c r="M303" s="24"/>
      <c r="N303" s="19" t="s">
        <v>649</v>
      </c>
      <c r="O303" s="19" t="s">
        <v>143</v>
      </c>
      <c r="P303" s="26"/>
      <c r="Q303" s="42" t="s">
        <v>650</v>
      </c>
      <c r="R303" s="46"/>
      <c r="S303" s="51"/>
      <c r="T303" s="46"/>
      <c r="U303" s="46"/>
      <c r="V303" s="46"/>
      <c r="W303" s="46"/>
      <c r="X303" s="46"/>
      <c r="Y303" s="46"/>
      <c r="Z303" s="46"/>
      <c r="AA303" s="46"/>
      <c r="AB303" s="46"/>
      <c r="AC303" s="46"/>
      <c r="AD303" s="46"/>
      <c r="AE303" s="46"/>
    </row>
    <row r="304" ht="15.75" customHeight="1">
      <c r="A304" s="40">
        <f t="shared" si="9"/>
        <v>299</v>
      </c>
      <c r="B304" s="40" t="str">
        <f t="shared" si="10"/>
        <v>ADS-299</v>
      </c>
      <c r="C304" s="19" t="s">
        <v>101</v>
      </c>
      <c r="D304" s="41" t="s">
        <v>651</v>
      </c>
      <c r="E304" s="42" t="s">
        <v>101</v>
      </c>
      <c r="F304" s="53" t="s">
        <v>652</v>
      </c>
      <c r="G304" s="19" t="s">
        <v>138</v>
      </c>
      <c r="H304" s="40" t="s">
        <v>137</v>
      </c>
      <c r="I304" s="40" t="str">
        <f t="array" ref="I304">IF(G304="","",IFERROR(INDEX('Người sử dụng'!$H$5:$H$140,MATCH(G304,'Người sử dụng'!$C$5:$C$140,0)),"Chưa có trong DS"))</f>
        <v>Đang làm</v>
      </c>
      <c r="J304" s="19" t="s">
        <v>485</v>
      </c>
      <c r="K304" s="24"/>
      <c r="L304" s="23"/>
      <c r="M304" s="19" t="s">
        <v>91</v>
      </c>
      <c r="N304" s="19" t="s">
        <v>649</v>
      </c>
      <c r="O304" s="19" t="s">
        <v>143</v>
      </c>
      <c r="P304" s="26"/>
      <c r="Q304" s="42" t="s">
        <v>650</v>
      </c>
      <c r="R304" s="46"/>
      <c r="S304" s="51"/>
      <c r="T304" s="46"/>
      <c r="U304" s="46"/>
      <c r="V304" s="46"/>
      <c r="W304" s="46"/>
      <c r="X304" s="46"/>
      <c r="Y304" s="46"/>
      <c r="Z304" s="46"/>
      <c r="AA304" s="46"/>
      <c r="AB304" s="46"/>
      <c r="AC304" s="46"/>
      <c r="AD304" s="46"/>
      <c r="AE304" s="46"/>
    </row>
    <row r="305" ht="15.75" customHeight="1">
      <c r="A305" s="40">
        <f t="shared" si="9"/>
        <v>300</v>
      </c>
      <c r="B305" s="40" t="str">
        <f t="shared" si="10"/>
        <v>ADS-300</v>
      </c>
      <c r="C305" s="19" t="s">
        <v>101</v>
      </c>
      <c r="D305" s="41" t="s">
        <v>655</v>
      </c>
      <c r="E305" s="42" t="s">
        <v>101</v>
      </c>
      <c r="F305" s="53" t="s">
        <v>656</v>
      </c>
      <c r="G305" s="19" t="s">
        <v>138</v>
      </c>
      <c r="H305" s="40" t="s">
        <v>137</v>
      </c>
      <c r="I305" s="40" t="str">
        <f t="array" ref="I305">IF(G305="","",IFERROR(INDEX('Người sử dụng'!$H$5:$H$140,MATCH(G305,'Người sử dụng'!$C$5:$C$140,0)),"Chưa có trong DS"))</f>
        <v>Đang làm</v>
      </c>
      <c r="J305" s="19" t="s">
        <v>485</v>
      </c>
      <c r="K305" s="24"/>
      <c r="L305" s="23"/>
      <c r="M305" s="19" t="s">
        <v>91</v>
      </c>
      <c r="N305" s="19" t="s">
        <v>649</v>
      </c>
      <c r="O305" s="19" t="s">
        <v>143</v>
      </c>
      <c r="P305" s="26"/>
      <c r="Q305" s="42" t="s">
        <v>650</v>
      </c>
      <c r="R305" s="46"/>
      <c r="S305" s="51"/>
      <c r="T305" s="46"/>
      <c r="U305" s="46"/>
      <c r="V305" s="46"/>
      <c r="W305" s="46"/>
      <c r="X305" s="46"/>
      <c r="Y305" s="46"/>
      <c r="Z305" s="46"/>
      <c r="AA305" s="46"/>
      <c r="AB305" s="46"/>
      <c r="AC305" s="46"/>
      <c r="AD305" s="46"/>
      <c r="AE305" s="46"/>
    </row>
    <row r="306" ht="15.75" customHeight="1">
      <c r="A306" s="40">
        <f t="shared" si="9"/>
        <v>301</v>
      </c>
      <c r="B306" s="40" t="str">
        <f t="shared" si="10"/>
        <v>ADS-301</v>
      </c>
      <c r="C306" s="19" t="s">
        <v>104</v>
      </c>
      <c r="D306" s="41" t="s">
        <v>657</v>
      </c>
      <c r="E306" s="42" t="s">
        <v>104</v>
      </c>
      <c r="F306" s="51"/>
      <c r="G306" s="19" t="s">
        <v>138</v>
      </c>
      <c r="H306" s="40" t="s">
        <v>137</v>
      </c>
      <c r="I306" s="40"/>
      <c r="J306" s="19" t="s">
        <v>428</v>
      </c>
      <c r="K306" s="24"/>
      <c r="L306" s="23"/>
      <c r="M306" s="24"/>
      <c r="N306" s="19" t="s">
        <v>649</v>
      </c>
      <c r="O306" s="19" t="s">
        <v>143</v>
      </c>
      <c r="P306" s="26"/>
      <c r="Q306" s="42" t="s">
        <v>650</v>
      </c>
      <c r="R306" s="46"/>
      <c r="S306" s="51"/>
      <c r="T306" s="46"/>
      <c r="U306" s="46"/>
      <c r="V306" s="46"/>
      <c r="W306" s="46"/>
      <c r="X306" s="46"/>
      <c r="Y306" s="46"/>
      <c r="Z306" s="46"/>
      <c r="AA306" s="46"/>
      <c r="AB306" s="46"/>
      <c r="AC306" s="46"/>
      <c r="AD306" s="46"/>
      <c r="AE306" s="46"/>
    </row>
    <row r="307" ht="15.75" customHeight="1">
      <c r="A307" s="40">
        <f t="shared" si="9"/>
        <v>302</v>
      </c>
      <c r="B307" s="40" t="str">
        <f t="shared" si="10"/>
        <v>ADS-302</v>
      </c>
      <c r="C307" s="19" t="s">
        <v>104</v>
      </c>
      <c r="D307" s="41" t="s">
        <v>658</v>
      </c>
      <c r="E307" s="42" t="s">
        <v>104</v>
      </c>
      <c r="F307" s="51"/>
      <c r="G307" s="19" t="s">
        <v>138</v>
      </c>
      <c r="H307" s="40" t="s">
        <v>137</v>
      </c>
      <c r="I307" s="40"/>
      <c r="J307" s="19" t="s">
        <v>428</v>
      </c>
      <c r="K307" s="24"/>
      <c r="L307" s="23"/>
      <c r="M307" s="24"/>
      <c r="N307" s="19" t="s">
        <v>649</v>
      </c>
      <c r="O307" s="19" t="s">
        <v>143</v>
      </c>
      <c r="P307" s="26"/>
      <c r="Q307" s="42" t="s">
        <v>650</v>
      </c>
      <c r="R307" s="46"/>
      <c r="S307" s="51"/>
      <c r="T307" s="46"/>
      <c r="U307" s="46"/>
      <c r="V307" s="46"/>
      <c r="W307" s="46"/>
      <c r="X307" s="46"/>
      <c r="Y307" s="46"/>
      <c r="Z307" s="46"/>
      <c r="AA307" s="46"/>
      <c r="AB307" s="46"/>
      <c r="AC307" s="46"/>
      <c r="AD307" s="46"/>
      <c r="AE307" s="46"/>
    </row>
    <row r="308" ht="15.75" customHeight="1">
      <c r="A308" s="40">
        <f t="shared" si="9"/>
        <v>303</v>
      </c>
      <c r="B308" s="40" t="str">
        <f t="shared" si="10"/>
        <v>ADS-303</v>
      </c>
      <c r="C308" s="19" t="s">
        <v>104</v>
      </c>
      <c r="D308" s="41" t="s">
        <v>659</v>
      </c>
      <c r="E308" s="42" t="s">
        <v>104</v>
      </c>
      <c r="F308" s="51"/>
      <c r="G308" s="19" t="s">
        <v>138</v>
      </c>
      <c r="H308" s="40" t="s">
        <v>137</v>
      </c>
      <c r="I308" s="40"/>
      <c r="J308" s="19" t="s">
        <v>428</v>
      </c>
      <c r="K308" s="24"/>
      <c r="L308" s="23"/>
      <c r="M308" s="24"/>
      <c r="N308" s="19" t="s">
        <v>649</v>
      </c>
      <c r="O308" s="19" t="s">
        <v>143</v>
      </c>
      <c r="P308" s="26"/>
      <c r="Q308" s="42" t="s">
        <v>650</v>
      </c>
      <c r="R308" s="46"/>
      <c r="S308" s="51"/>
      <c r="T308" s="46"/>
      <c r="U308" s="46"/>
      <c r="V308" s="46"/>
      <c r="W308" s="46"/>
      <c r="X308" s="46"/>
      <c r="Y308" s="46"/>
      <c r="Z308" s="46"/>
      <c r="AA308" s="46"/>
      <c r="AB308" s="46"/>
      <c r="AC308" s="46"/>
      <c r="AD308" s="46"/>
      <c r="AE308" s="46"/>
    </row>
    <row r="309" ht="15.75" customHeight="1">
      <c r="A309" s="40">
        <f t="shared" si="9"/>
        <v>304</v>
      </c>
      <c r="B309" s="40" t="str">
        <f t="shared" si="10"/>
        <v>ADS-304</v>
      </c>
      <c r="C309" s="19" t="s">
        <v>84</v>
      </c>
      <c r="D309" s="41" t="s">
        <v>662</v>
      </c>
      <c r="E309" s="42" t="s">
        <v>84</v>
      </c>
      <c r="F309" s="53" t="s">
        <v>664</v>
      </c>
      <c r="G309" s="19" t="s">
        <v>138</v>
      </c>
      <c r="H309" s="40" t="s">
        <v>137</v>
      </c>
      <c r="I309" s="40"/>
      <c r="J309" s="19" t="s">
        <v>485</v>
      </c>
      <c r="K309" s="24"/>
      <c r="L309" s="23"/>
      <c r="M309" s="24"/>
      <c r="N309" s="19" t="s">
        <v>649</v>
      </c>
      <c r="O309" s="19" t="s">
        <v>143</v>
      </c>
      <c r="P309" s="26"/>
      <c r="Q309" s="42" t="s">
        <v>650</v>
      </c>
      <c r="R309" s="46"/>
      <c r="S309" s="51"/>
      <c r="T309" s="46"/>
      <c r="U309" s="46"/>
      <c r="V309" s="46"/>
      <c r="W309" s="46"/>
      <c r="X309" s="46"/>
      <c r="Y309" s="46"/>
      <c r="Z309" s="46"/>
      <c r="AA309" s="46"/>
      <c r="AB309" s="46"/>
      <c r="AC309" s="46"/>
      <c r="AD309" s="46"/>
      <c r="AE309" s="46"/>
    </row>
    <row r="310" ht="15.75" customHeight="1">
      <c r="A310" s="40">
        <f t="shared" si="9"/>
        <v>305</v>
      </c>
      <c r="B310" s="40" t="str">
        <f t="shared" si="10"/>
        <v>ADS-305</v>
      </c>
      <c r="C310" s="19" t="s">
        <v>84</v>
      </c>
      <c r="D310" s="41" t="s">
        <v>668</v>
      </c>
      <c r="E310" s="42" t="s">
        <v>84</v>
      </c>
      <c r="F310" s="53" t="s">
        <v>669</v>
      </c>
      <c r="G310" s="19" t="s">
        <v>138</v>
      </c>
      <c r="H310" s="40" t="s">
        <v>137</v>
      </c>
      <c r="I310" s="40"/>
      <c r="J310" s="19" t="s">
        <v>485</v>
      </c>
      <c r="K310" s="24"/>
      <c r="L310" s="23"/>
      <c r="M310" s="24"/>
      <c r="N310" s="19" t="s">
        <v>649</v>
      </c>
      <c r="O310" s="19" t="s">
        <v>143</v>
      </c>
      <c r="P310" s="26"/>
      <c r="Q310" s="42" t="s">
        <v>650</v>
      </c>
      <c r="R310" s="46"/>
      <c r="S310" s="51"/>
      <c r="T310" s="46"/>
      <c r="U310" s="46"/>
      <c r="V310" s="46"/>
      <c r="W310" s="46"/>
      <c r="X310" s="46"/>
      <c r="Y310" s="46"/>
      <c r="Z310" s="46"/>
      <c r="AA310" s="46"/>
      <c r="AB310" s="46"/>
      <c r="AC310" s="46"/>
      <c r="AD310" s="46"/>
      <c r="AE310" s="46"/>
    </row>
    <row r="311" ht="15.75" customHeight="1">
      <c r="A311" s="40">
        <f t="shared" si="9"/>
        <v>306</v>
      </c>
      <c r="B311" s="40" t="str">
        <f t="shared" si="10"/>
        <v>ADS-306</v>
      </c>
      <c r="C311" s="19" t="s">
        <v>84</v>
      </c>
      <c r="D311" s="41" t="s">
        <v>674</v>
      </c>
      <c r="E311" s="42" t="s">
        <v>84</v>
      </c>
      <c r="F311" s="53" t="s">
        <v>675</v>
      </c>
      <c r="G311" s="19" t="s">
        <v>138</v>
      </c>
      <c r="H311" s="40" t="s">
        <v>137</v>
      </c>
      <c r="I311" s="40"/>
      <c r="J311" s="19" t="s">
        <v>545</v>
      </c>
      <c r="K311" s="24"/>
      <c r="L311" s="23"/>
      <c r="M311" s="24"/>
      <c r="N311" s="19" t="s">
        <v>649</v>
      </c>
      <c r="O311" s="19" t="s">
        <v>143</v>
      </c>
      <c r="P311" s="26"/>
      <c r="Q311" s="42" t="s">
        <v>650</v>
      </c>
      <c r="R311" s="46"/>
      <c r="S311" s="51"/>
      <c r="T311" s="46"/>
      <c r="U311" s="46"/>
      <c r="V311" s="46"/>
      <c r="W311" s="46"/>
      <c r="X311" s="46"/>
      <c r="Y311" s="46"/>
      <c r="Z311" s="46"/>
      <c r="AA311" s="46"/>
      <c r="AB311" s="46"/>
      <c r="AC311" s="46"/>
      <c r="AD311" s="46"/>
      <c r="AE311" s="46"/>
    </row>
    <row r="312" ht="15.75" customHeight="1">
      <c r="A312" s="40">
        <f t="shared" si="9"/>
        <v>307</v>
      </c>
      <c r="B312" s="40" t="str">
        <f t="shared" si="10"/>
        <v>ADS-307</v>
      </c>
      <c r="C312" s="19" t="s">
        <v>84</v>
      </c>
      <c r="D312" s="41" t="s">
        <v>679</v>
      </c>
      <c r="E312" s="42" t="s">
        <v>84</v>
      </c>
      <c r="F312" s="53" t="s">
        <v>680</v>
      </c>
      <c r="G312" s="19" t="s">
        <v>138</v>
      </c>
      <c r="H312" s="40" t="s">
        <v>137</v>
      </c>
      <c r="I312" s="40" t="str">
        <f t="array" ref="I312">IF(G312="","",IFERROR(INDEX('Người sử dụng'!$H$5:$H$140,MATCH(G312,'Người sử dụng'!$C$5:$C$140,0)),"Chưa có trong DS"))</f>
        <v>Đang làm</v>
      </c>
      <c r="J312" s="19" t="s">
        <v>545</v>
      </c>
      <c r="K312" s="24"/>
      <c r="L312" s="23"/>
      <c r="M312" s="24"/>
      <c r="N312" s="19" t="s">
        <v>649</v>
      </c>
      <c r="O312" s="19" t="s">
        <v>143</v>
      </c>
      <c r="P312" s="26"/>
      <c r="Q312" s="42" t="s">
        <v>650</v>
      </c>
      <c r="R312" s="46"/>
      <c r="S312" s="51"/>
      <c r="T312" s="46"/>
      <c r="U312" s="46"/>
      <c r="V312" s="46"/>
      <c r="W312" s="46"/>
      <c r="X312" s="46"/>
      <c r="Y312" s="46"/>
      <c r="Z312" s="46"/>
      <c r="AA312" s="46"/>
      <c r="AB312" s="46"/>
      <c r="AC312" s="46"/>
      <c r="AD312" s="46"/>
      <c r="AE312" s="46"/>
    </row>
    <row r="313" ht="15.75" customHeight="1">
      <c r="A313" s="40">
        <f t="shared" si="9"/>
        <v>308</v>
      </c>
      <c r="B313" s="40" t="str">
        <f t="shared" si="10"/>
        <v>ADS-308</v>
      </c>
      <c r="C313" s="19" t="s">
        <v>84</v>
      </c>
      <c r="D313" s="41" t="s">
        <v>682</v>
      </c>
      <c r="E313" s="42" t="s">
        <v>84</v>
      </c>
      <c r="F313" s="53" t="s">
        <v>684</v>
      </c>
      <c r="G313" s="19" t="s">
        <v>138</v>
      </c>
      <c r="H313" s="40" t="s">
        <v>137</v>
      </c>
      <c r="I313" s="40" t="str">
        <f t="array" ref="I313">IF(G313="","",IFERROR(INDEX('Người sử dụng'!$H$5:$H$140,MATCH(G313,'Người sử dụng'!$C$5:$C$140,0)),"Chưa có trong DS"))</f>
        <v>Đang làm</v>
      </c>
      <c r="J313" s="19" t="s">
        <v>545</v>
      </c>
      <c r="K313" s="24"/>
      <c r="L313" s="23"/>
      <c r="M313" s="24"/>
      <c r="N313" s="19" t="s">
        <v>649</v>
      </c>
      <c r="O313" s="19" t="s">
        <v>143</v>
      </c>
      <c r="P313" s="26"/>
      <c r="Q313" s="42" t="s">
        <v>650</v>
      </c>
      <c r="R313" s="46"/>
      <c r="S313" s="51"/>
      <c r="T313" s="46"/>
      <c r="U313" s="46"/>
      <c r="V313" s="46"/>
      <c r="W313" s="46"/>
      <c r="X313" s="46"/>
      <c r="Y313" s="46"/>
      <c r="Z313" s="46"/>
      <c r="AA313" s="46"/>
      <c r="AB313" s="46"/>
      <c r="AC313" s="46"/>
      <c r="AD313" s="46"/>
      <c r="AE313" s="46"/>
    </row>
    <row r="314" ht="15.75" customHeight="1">
      <c r="A314" s="40">
        <f t="shared" si="9"/>
        <v>309</v>
      </c>
      <c r="B314" s="40" t="str">
        <f t="shared" si="10"/>
        <v>ADS-309</v>
      </c>
      <c r="C314" s="19" t="s">
        <v>84</v>
      </c>
      <c r="D314" s="41" t="s">
        <v>686</v>
      </c>
      <c r="E314" s="42" t="s">
        <v>84</v>
      </c>
      <c r="F314" s="53" t="s">
        <v>687</v>
      </c>
      <c r="G314" s="19" t="s">
        <v>138</v>
      </c>
      <c r="H314" s="40" t="s">
        <v>137</v>
      </c>
      <c r="I314" s="40" t="str">
        <f t="array" ref="I314">IF(G314="","",IFERROR(INDEX('Người sử dụng'!$H$5:$H$140,MATCH(G314,'Người sử dụng'!$C$5:$C$140,0)),"Chưa có trong DS"))</f>
        <v>Đang làm</v>
      </c>
      <c r="J314" s="19" t="s">
        <v>545</v>
      </c>
      <c r="K314" s="24"/>
      <c r="L314" s="23"/>
      <c r="M314" s="24"/>
      <c r="N314" s="19" t="s">
        <v>649</v>
      </c>
      <c r="O314" s="19" t="s">
        <v>143</v>
      </c>
      <c r="P314" s="26"/>
      <c r="Q314" s="42" t="s">
        <v>650</v>
      </c>
      <c r="R314" s="46"/>
      <c r="S314" s="51"/>
      <c r="T314" s="46"/>
      <c r="U314" s="46"/>
      <c r="V314" s="46"/>
      <c r="W314" s="46"/>
      <c r="X314" s="46"/>
      <c r="Y314" s="46"/>
      <c r="Z314" s="46"/>
      <c r="AA314" s="46"/>
      <c r="AB314" s="46"/>
      <c r="AC314" s="46"/>
      <c r="AD314" s="46"/>
      <c r="AE314" s="46"/>
    </row>
    <row r="315" ht="15.75" customHeight="1">
      <c r="A315" s="40">
        <f t="shared" si="9"/>
        <v>310</v>
      </c>
      <c r="B315" s="40" t="str">
        <f t="shared" si="10"/>
        <v>ADS-310</v>
      </c>
      <c r="C315" s="19" t="s">
        <v>104</v>
      </c>
      <c r="D315" s="41" t="s">
        <v>688</v>
      </c>
      <c r="E315" s="42" t="s">
        <v>104</v>
      </c>
      <c r="F315" s="51"/>
      <c r="G315" s="19" t="s">
        <v>138</v>
      </c>
      <c r="H315" s="40" t="s">
        <v>137</v>
      </c>
      <c r="I315" s="40" t="str">
        <f t="array" ref="I315">IF(G315="","",IFERROR(INDEX('Người sử dụng'!$H$5:$H$140,MATCH(G315,'Người sử dụng'!$C$5:$C$140,0)),"Chưa có trong DS"))</f>
        <v>Đang làm</v>
      </c>
      <c r="J315" s="19" t="s">
        <v>428</v>
      </c>
      <c r="K315" s="24"/>
      <c r="L315" s="23"/>
      <c r="M315" s="24"/>
      <c r="N315" s="19" t="s">
        <v>649</v>
      </c>
      <c r="O315" s="19" t="s">
        <v>143</v>
      </c>
      <c r="P315" s="26"/>
      <c r="Q315" s="42" t="s">
        <v>650</v>
      </c>
      <c r="R315" s="46"/>
      <c r="S315" s="51"/>
      <c r="T315" s="46"/>
      <c r="U315" s="46"/>
      <c r="V315" s="46"/>
      <c r="W315" s="46"/>
      <c r="X315" s="46"/>
      <c r="Y315" s="46"/>
      <c r="Z315" s="46"/>
      <c r="AA315" s="46"/>
      <c r="AB315" s="46"/>
      <c r="AC315" s="46"/>
      <c r="AD315" s="46"/>
      <c r="AE315" s="46"/>
    </row>
    <row r="316" ht="15.75" customHeight="1">
      <c r="A316" s="40">
        <f t="shared" si="9"/>
        <v>311</v>
      </c>
      <c r="B316" s="40" t="str">
        <f t="shared" si="10"/>
        <v>ADS-311</v>
      </c>
      <c r="C316" s="19" t="s">
        <v>104</v>
      </c>
      <c r="D316" s="41" t="s">
        <v>689</v>
      </c>
      <c r="E316" s="42" t="s">
        <v>104</v>
      </c>
      <c r="F316" s="51"/>
      <c r="G316" s="19" t="s">
        <v>138</v>
      </c>
      <c r="H316" s="40" t="s">
        <v>137</v>
      </c>
      <c r="I316" s="40" t="str">
        <f t="array" ref="I316">IF(G316="","",IFERROR(INDEX('Người sử dụng'!$H$5:$H$140,MATCH(G316,'Người sử dụng'!$C$5:$C$140,0)),"Chưa có trong DS"))</f>
        <v>Đang làm</v>
      </c>
      <c r="J316" s="19" t="s">
        <v>428</v>
      </c>
      <c r="K316" s="24"/>
      <c r="L316" s="23"/>
      <c r="M316" s="24"/>
      <c r="N316" s="19" t="s">
        <v>649</v>
      </c>
      <c r="O316" s="19" t="s">
        <v>143</v>
      </c>
      <c r="P316" s="26"/>
      <c r="Q316" s="42" t="s">
        <v>650</v>
      </c>
      <c r="R316" s="46"/>
      <c r="S316" s="51"/>
      <c r="T316" s="46"/>
      <c r="U316" s="46"/>
      <c r="V316" s="46"/>
      <c r="W316" s="46"/>
      <c r="X316" s="46"/>
      <c r="Y316" s="46"/>
      <c r="Z316" s="46"/>
      <c r="AA316" s="46"/>
      <c r="AB316" s="46"/>
      <c r="AC316" s="46"/>
      <c r="AD316" s="46"/>
      <c r="AE316" s="46"/>
    </row>
    <row r="317" ht="15.75" customHeight="1">
      <c r="A317" s="40">
        <f t="shared" si="9"/>
        <v>312</v>
      </c>
      <c r="B317" s="40" t="str">
        <f t="shared" si="10"/>
        <v>ADS-312</v>
      </c>
      <c r="C317" s="19" t="s">
        <v>104</v>
      </c>
      <c r="D317" s="41" t="s">
        <v>690</v>
      </c>
      <c r="E317" s="42" t="s">
        <v>104</v>
      </c>
      <c r="F317" s="51"/>
      <c r="G317" s="19" t="s">
        <v>138</v>
      </c>
      <c r="H317" s="40" t="s">
        <v>137</v>
      </c>
      <c r="I317" s="40" t="str">
        <f t="array" ref="I317">IF(G317="","",IFERROR(INDEX('Người sử dụng'!$H$5:$H$140,MATCH(G317,'Người sử dụng'!$C$5:$C$140,0)),"Chưa có trong DS"))</f>
        <v>Đang làm</v>
      </c>
      <c r="J317" s="19" t="s">
        <v>428</v>
      </c>
      <c r="K317" s="24"/>
      <c r="L317" s="23"/>
      <c r="M317" s="24"/>
      <c r="N317" s="19" t="s">
        <v>649</v>
      </c>
      <c r="O317" s="19" t="s">
        <v>143</v>
      </c>
      <c r="P317" s="26"/>
      <c r="Q317" s="42" t="s">
        <v>650</v>
      </c>
      <c r="R317" s="46"/>
      <c r="S317" s="51"/>
      <c r="T317" s="46"/>
      <c r="U317" s="46"/>
      <c r="V317" s="46"/>
      <c r="W317" s="46"/>
      <c r="X317" s="46"/>
      <c r="Y317" s="46"/>
      <c r="Z317" s="46"/>
      <c r="AA317" s="46"/>
      <c r="AB317" s="46"/>
      <c r="AC317" s="46"/>
      <c r="AD317" s="46"/>
      <c r="AE317" s="46"/>
    </row>
    <row r="318" ht="15.75" customHeight="1">
      <c r="A318" s="40">
        <f t="shared" si="9"/>
        <v>313</v>
      </c>
      <c r="B318" s="40" t="str">
        <f t="shared" si="10"/>
        <v>ADS-313</v>
      </c>
      <c r="C318" s="19" t="s">
        <v>104</v>
      </c>
      <c r="D318" s="41" t="s">
        <v>691</v>
      </c>
      <c r="E318" s="42" t="s">
        <v>104</v>
      </c>
      <c r="F318" s="51"/>
      <c r="G318" s="19" t="s">
        <v>138</v>
      </c>
      <c r="H318" s="40" t="s">
        <v>137</v>
      </c>
      <c r="I318" s="40" t="str">
        <f t="array" ref="I318">IF(G318="","",IFERROR(INDEX('Người sử dụng'!$H$5:$H$140,MATCH(G318,'Người sử dụng'!$C$5:$C$140,0)),"Chưa có trong DS"))</f>
        <v>Đang làm</v>
      </c>
      <c r="J318" s="19" t="s">
        <v>428</v>
      </c>
      <c r="K318" s="24"/>
      <c r="L318" s="23"/>
      <c r="M318" s="24"/>
      <c r="N318" s="19" t="s">
        <v>649</v>
      </c>
      <c r="O318" s="19" t="s">
        <v>143</v>
      </c>
      <c r="P318" s="26"/>
      <c r="Q318" s="42" t="s">
        <v>650</v>
      </c>
      <c r="R318" s="46"/>
      <c r="S318" s="51"/>
      <c r="T318" s="46"/>
      <c r="U318" s="46"/>
      <c r="V318" s="46"/>
      <c r="W318" s="46"/>
      <c r="X318" s="46"/>
      <c r="Y318" s="46"/>
      <c r="Z318" s="46"/>
      <c r="AA318" s="46"/>
      <c r="AB318" s="46"/>
      <c r="AC318" s="46"/>
      <c r="AD318" s="46"/>
      <c r="AE318" s="46"/>
    </row>
    <row r="319" ht="15.75" customHeight="1">
      <c r="A319" s="40">
        <f t="shared" si="9"/>
        <v>314</v>
      </c>
      <c r="B319" s="40" t="str">
        <f t="shared" si="10"/>
        <v>ADS-314</v>
      </c>
      <c r="C319" s="19" t="s">
        <v>104</v>
      </c>
      <c r="D319" s="41" t="s">
        <v>692</v>
      </c>
      <c r="E319" s="42" t="s">
        <v>104</v>
      </c>
      <c r="F319" s="51"/>
      <c r="G319" s="19" t="s">
        <v>138</v>
      </c>
      <c r="H319" s="40" t="s">
        <v>137</v>
      </c>
      <c r="I319" s="40" t="str">
        <f t="array" ref="I319">IF(G319="","",IFERROR(INDEX('Người sử dụng'!$H$5:$H$140,MATCH(G319,'Người sử dụng'!$C$5:$C$140,0)),"Chưa có trong DS"))</f>
        <v>Đang làm</v>
      </c>
      <c r="J319" s="19" t="s">
        <v>428</v>
      </c>
      <c r="K319" s="24"/>
      <c r="L319" s="23"/>
      <c r="M319" s="24"/>
      <c r="N319" s="19" t="s">
        <v>649</v>
      </c>
      <c r="O319" s="19" t="s">
        <v>143</v>
      </c>
      <c r="P319" s="26"/>
      <c r="Q319" s="42" t="s">
        <v>650</v>
      </c>
      <c r="R319" s="46"/>
      <c r="S319" s="51"/>
      <c r="T319" s="46"/>
      <c r="U319" s="46"/>
      <c r="V319" s="46"/>
      <c r="W319" s="46"/>
      <c r="X319" s="46"/>
      <c r="Y319" s="46"/>
      <c r="Z319" s="46"/>
      <c r="AA319" s="46"/>
      <c r="AB319" s="46"/>
      <c r="AC319" s="46"/>
      <c r="AD319" s="46"/>
      <c r="AE319" s="46"/>
    </row>
    <row r="320" ht="15.75" customHeight="1">
      <c r="A320" s="40">
        <f t="shared" si="9"/>
        <v>315</v>
      </c>
      <c r="B320" s="40" t="str">
        <f t="shared" si="10"/>
        <v>ADS-315</v>
      </c>
      <c r="C320" s="19" t="s">
        <v>104</v>
      </c>
      <c r="D320" s="63" t="s">
        <v>693</v>
      </c>
      <c r="E320" s="42" t="s">
        <v>104</v>
      </c>
      <c r="F320" s="99"/>
      <c r="G320" s="19" t="s">
        <v>138</v>
      </c>
      <c r="H320" s="100" t="s">
        <v>137</v>
      </c>
      <c r="I320" s="100"/>
      <c r="J320" s="19" t="s">
        <v>428</v>
      </c>
      <c r="K320" s="101"/>
      <c r="L320" s="67"/>
      <c r="M320" s="101"/>
      <c r="N320" s="19" t="s">
        <v>649</v>
      </c>
      <c r="O320" s="19" t="s">
        <v>143</v>
      </c>
      <c r="P320" s="102"/>
      <c r="Q320" s="42" t="s">
        <v>650</v>
      </c>
      <c r="R320" s="103"/>
      <c r="S320" s="99"/>
      <c r="T320" s="103"/>
      <c r="U320" s="103"/>
      <c r="V320" s="103"/>
      <c r="W320" s="103"/>
      <c r="X320" s="103"/>
      <c r="Y320" s="103"/>
      <c r="Z320" s="103"/>
      <c r="AA320" s="103"/>
      <c r="AB320" s="103"/>
      <c r="AC320" s="103"/>
      <c r="AD320" s="103"/>
      <c r="AE320" s="103"/>
    </row>
    <row r="321" ht="15.75" customHeight="1">
      <c r="A321" s="40">
        <f t="shared" si="9"/>
        <v>316</v>
      </c>
      <c r="B321" s="40" t="str">
        <f t="shared" si="10"/>
        <v>ADS-316</v>
      </c>
      <c r="C321" s="104" t="s">
        <v>316</v>
      </c>
      <c r="D321" s="63" t="s">
        <v>694</v>
      </c>
      <c r="E321" s="42" t="s">
        <v>316</v>
      </c>
      <c r="F321" s="105" t="s">
        <v>695</v>
      </c>
      <c r="G321" s="19" t="s">
        <v>138</v>
      </c>
      <c r="H321" s="100" t="s">
        <v>137</v>
      </c>
      <c r="I321" s="100"/>
      <c r="J321" s="104" t="s">
        <v>428</v>
      </c>
      <c r="K321" s="101"/>
      <c r="L321" s="67"/>
      <c r="M321" s="101"/>
      <c r="N321" s="19" t="s">
        <v>649</v>
      </c>
      <c r="O321" s="19" t="s">
        <v>143</v>
      </c>
      <c r="P321" s="102"/>
      <c r="Q321" s="42" t="s">
        <v>650</v>
      </c>
      <c r="R321" s="103"/>
      <c r="S321" s="99"/>
      <c r="T321" s="103"/>
      <c r="U321" s="103"/>
      <c r="V321" s="103"/>
      <c r="W321" s="103"/>
      <c r="X321" s="103"/>
      <c r="Y321" s="103"/>
      <c r="Z321" s="103"/>
      <c r="AA321" s="103"/>
      <c r="AB321" s="103"/>
      <c r="AC321" s="103"/>
      <c r="AD321" s="103"/>
      <c r="AE321" s="103"/>
    </row>
    <row r="322" ht="15.75" customHeight="1">
      <c r="A322" s="40">
        <f t="shared" si="9"/>
        <v>317</v>
      </c>
      <c r="B322" s="40" t="str">
        <f t="shared" si="10"/>
        <v>ADS-317</v>
      </c>
      <c r="C322" s="104" t="s">
        <v>101</v>
      </c>
      <c r="D322" s="63" t="s">
        <v>696</v>
      </c>
      <c r="E322" s="106" t="s">
        <v>697</v>
      </c>
      <c r="F322" s="107" t="s">
        <v>698</v>
      </c>
      <c r="G322" s="19" t="s">
        <v>138</v>
      </c>
      <c r="H322" s="100" t="s">
        <v>137</v>
      </c>
      <c r="I322" s="100"/>
      <c r="J322" s="104" t="s">
        <v>89</v>
      </c>
      <c r="K322" s="101"/>
      <c r="L322" s="67"/>
      <c r="M322" s="101"/>
      <c r="N322" s="19" t="s">
        <v>649</v>
      </c>
      <c r="O322" s="19" t="s">
        <v>143</v>
      </c>
      <c r="P322" s="102"/>
      <c r="Q322" s="42" t="s">
        <v>650</v>
      </c>
      <c r="R322" s="103"/>
      <c r="S322" s="99"/>
      <c r="T322" s="103"/>
      <c r="U322" s="103"/>
      <c r="V322" s="103"/>
      <c r="W322" s="103"/>
      <c r="X322" s="103"/>
      <c r="Y322" s="103"/>
      <c r="Z322" s="103"/>
      <c r="AA322" s="103"/>
      <c r="AB322" s="103"/>
      <c r="AC322" s="103"/>
      <c r="AD322" s="103"/>
      <c r="AE322" s="103"/>
    </row>
    <row r="323" ht="15.75" customHeight="1">
      <c r="A323" s="108">
        <v>306.0</v>
      </c>
      <c r="B323" s="108" t="s">
        <v>699</v>
      </c>
      <c r="C323" s="104" t="s">
        <v>101</v>
      </c>
      <c r="D323" s="109">
        <v>6.1577376150419E13</v>
      </c>
      <c r="E323" s="110" t="s">
        <v>700</v>
      </c>
      <c r="F323" s="111" t="s">
        <v>701</v>
      </c>
      <c r="G323" s="112" t="s">
        <v>145</v>
      </c>
      <c r="H323" s="100" t="s">
        <v>144</v>
      </c>
      <c r="I323" s="40" t="str">
        <f t="array" ref="I323">IF(G323="","",IFERROR(INDEX('Người sử dụng'!$H$5:$H$140,MATCH(G323,'Người sử dụng'!$C$5:$C$140,0)),"Chưa có trong DS"))</f>
        <v>Thử việc</v>
      </c>
      <c r="J323" s="104" t="s">
        <v>485</v>
      </c>
      <c r="K323" s="113"/>
      <c r="L323" s="67"/>
      <c r="M323" s="101"/>
      <c r="N323" s="104" t="s">
        <v>703</v>
      </c>
      <c r="O323" s="104" t="s">
        <v>143</v>
      </c>
      <c r="P323" s="102"/>
      <c r="Q323" s="42" t="s">
        <v>650</v>
      </c>
      <c r="R323" s="103"/>
      <c r="S323" s="99"/>
      <c r="T323" s="103"/>
      <c r="U323" s="103"/>
      <c r="V323" s="103"/>
      <c r="W323" s="103"/>
      <c r="X323" s="103"/>
      <c r="Y323" s="103"/>
      <c r="Z323" s="103"/>
      <c r="AA323" s="103"/>
      <c r="AB323" s="103"/>
      <c r="AC323" s="103"/>
      <c r="AD323" s="103"/>
      <c r="AE323" s="103"/>
    </row>
    <row r="324" ht="15.75" customHeight="1">
      <c r="A324" s="108">
        <v>307.0</v>
      </c>
      <c r="B324" s="108" t="s">
        <v>704</v>
      </c>
      <c r="C324" s="104" t="s">
        <v>101</v>
      </c>
      <c r="D324" s="109">
        <v>6.1577035067917E13</v>
      </c>
      <c r="E324" s="110" t="s">
        <v>705</v>
      </c>
      <c r="F324" s="111" t="s">
        <v>706</v>
      </c>
      <c r="G324" s="112" t="s">
        <v>145</v>
      </c>
      <c r="H324" s="100" t="s">
        <v>144</v>
      </c>
      <c r="I324" s="40" t="str">
        <f t="array" ref="I324">IF(G324="","",IFERROR(INDEX('Người sử dụng'!$H$5:$H$140,MATCH(G324,'Người sử dụng'!$C$5:$C$140,0)),"Chưa có trong DS"))</f>
        <v>Thử việc</v>
      </c>
      <c r="J324" s="104" t="s">
        <v>485</v>
      </c>
      <c r="K324" s="114"/>
      <c r="L324" s="67"/>
      <c r="M324" s="101"/>
      <c r="N324" s="104" t="s">
        <v>703</v>
      </c>
      <c r="O324" s="104" t="s">
        <v>143</v>
      </c>
      <c r="P324" s="102"/>
      <c r="Q324" s="42" t="s">
        <v>650</v>
      </c>
      <c r="R324" s="103"/>
      <c r="S324" s="99"/>
      <c r="T324" s="103"/>
      <c r="U324" s="103"/>
      <c r="V324" s="103"/>
      <c r="W324" s="103"/>
      <c r="X324" s="103"/>
      <c r="Y324" s="103"/>
      <c r="Z324" s="103"/>
      <c r="AA324" s="103"/>
      <c r="AB324" s="103"/>
      <c r="AC324" s="103"/>
      <c r="AD324" s="103"/>
      <c r="AE324" s="103"/>
    </row>
    <row r="325" ht="15.75" customHeight="1">
      <c r="A325" s="108">
        <v>308.0</v>
      </c>
      <c r="B325" s="108" t="s">
        <v>708</v>
      </c>
      <c r="C325" s="104" t="s">
        <v>101</v>
      </c>
      <c r="D325" s="109">
        <v>6.1577396309455E13</v>
      </c>
      <c r="E325" s="110" t="s">
        <v>709</v>
      </c>
      <c r="F325" s="111" t="s">
        <v>710</v>
      </c>
      <c r="G325" s="112" t="s">
        <v>145</v>
      </c>
      <c r="H325" s="100" t="s">
        <v>144</v>
      </c>
      <c r="I325" s="40" t="str">
        <f t="array" ref="I325">IF(G325="","",IFERROR(INDEX('Người sử dụng'!$H$5:$H$140,MATCH(G325,'Người sử dụng'!$C$5:$C$140,0)),"Chưa có trong DS"))</f>
        <v>Thử việc</v>
      </c>
      <c r="J325" s="104" t="s">
        <v>485</v>
      </c>
      <c r="K325" s="114"/>
      <c r="L325" s="67"/>
      <c r="M325" s="101"/>
      <c r="N325" s="104" t="s">
        <v>703</v>
      </c>
      <c r="O325" s="104" t="s">
        <v>143</v>
      </c>
      <c r="P325" s="102"/>
      <c r="Q325" s="42" t="s">
        <v>650</v>
      </c>
      <c r="R325" s="103"/>
      <c r="S325" s="99"/>
      <c r="T325" s="103"/>
      <c r="U325" s="103"/>
      <c r="V325" s="103"/>
      <c r="W325" s="103"/>
      <c r="X325" s="103"/>
      <c r="Y325" s="103"/>
      <c r="Z325" s="103"/>
      <c r="AA325" s="103"/>
      <c r="AB325" s="103"/>
      <c r="AC325" s="103"/>
      <c r="AD325" s="103"/>
      <c r="AE325" s="103"/>
    </row>
    <row r="326" ht="15.75" customHeight="1">
      <c r="A326" s="108">
        <v>309.0</v>
      </c>
      <c r="B326" s="108" t="s">
        <v>711</v>
      </c>
      <c r="C326" s="104" t="s">
        <v>101</v>
      </c>
      <c r="D326" s="115" t="s">
        <v>712</v>
      </c>
      <c r="E326" s="110" t="s">
        <v>713</v>
      </c>
      <c r="F326" s="116" t="s">
        <v>714</v>
      </c>
      <c r="G326" s="112" t="s">
        <v>145</v>
      </c>
      <c r="H326" s="100" t="s">
        <v>144</v>
      </c>
      <c r="I326" s="40" t="str">
        <f t="array" ref="I326">IF(G326="","",IFERROR(INDEX('Người sử dụng'!$H$5:$H$140,MATCH(G326,'Người sử dụng'!$C$5:$C$140,0)),"Chưa có trong DS"))</f>
        <v>Thử việc</v>
      </c>
      <c r="J326" s="104" t="s">
        <v>485</v>
      </c>
      <c r="K326" s="113"/>
      <c r="L326" s="67"/>
      <c r="M326" s="101"/>
      <c r="N326" s="104" t="s">
        <v>703</v>
      </c>
      <c r="O326" s="104" t="s">
        <v>143</v>
      </c>
      <c r="P326" s="102"/>
      <c r="Q326" s="42" t="s">
        <v>650</v>
      </c>
      <c r="R326" s="103"/>
      <c r="S326" s="99"/>
      <c r="T326" s="103"/>
      <c r="U326" s="103"/>
      <c r="V326" s="103"/>
      <c r="W326" s="103"/>
      <c r="X326" s="103"/>
      <c r="Y326" s="103"/>
      <c r="Z326" s="103"/>
      <c r="AA326" s="103"/>
      <c r="AB326" s="103"/>
      <c r="AC326" s="103"/>
      <c r="AD326" s="103"/>
      <c r="AE326" s="103"/>
    </row>
    <row r="327" ht="15.75" customHeight="1">
      <c r="A327" s="108">
        <v>310.0</v>
      </c>
      <c r="B327" s="108" t="s">
        <v>715</v>
      </c>
      <c r="C327" s="104" t="s">
        <v>104</v>
      </c>
      <c r="D327" s="117" t="s">
        <v>716</v>
      </c>
      <c r="E327" s="110"/>
      <c r="F327" s="118"/>
      <c r="G327" s="112" t="s">
        <v>145</v>
      </c>
      <c r="H327" s="100" t="s">
        <v>144</v>
      </c>
      <c r="I327" s="40" t="str">
        <f t="array" ref="I327">IF(G327="","",IFERROR(INDEX('Người sử dụng'!$H$5:$H$140,MATCH(G327,'Người sử dụng'!$C$5:$C$140,0)),"Chưa có trong DS"))</f>
        <v>Thử việc</v>
      </c>
      <c r="J327" s="104" t="s">
        <v>545</v>
      </c>
      <c r="K327" s="113"/>
      <c r="L327" s="67"/>
      <c r="M327" s="101"/>
      <c r="N327" s="104" t="s">
        <v>703</v>
      </c>
      <c r="O327" s="104" t="s">
        <v>143</v>
      </c>
      <c r="P327" s="102"/>
      <c r="Q327" s="42" t="s">
        <v>650</v>
      </c>
      <c r="R327" s="103"/>
      <c r="S327" s="99"/>
      <c r="T327" s="103"/>
      <c r="U327" s="103"/>
      <c r="V327" s="103"/>
      <c r="W327" s="103"/>
      <c r="X327" s="103"/>
      <c r="Y327" s="103"/>
      <c r="Z327" s="103"/>
      <c r="AA327" s="103"/>
      <c r="AB327" s="103"/>
      <c r="AC327" s="103"/>
      <c r="AD327" s="103"/>
      <c r="AE327" s="103"/>
    </row>
    <row r="328" ht="15.75" customHeight="1">
      <c r="A328" s="108">
        <v>311.0</v>
      </c>
      <c r="B328" s="108" t="s">
        <v>717</v>
      </c>
      <c r="C328" s="104" t="s">
        <v>104</v>
      </c>
      <c r="D328" s="117" t="s">
        <v>718</v>
      </c>
      <c r="E328" s="106"/>
      <c r="F328" s="119"/>
      <c r="G328" s="112" t="s">
        <v>145</v>
      </c>
      <c r="H328" s="100" t="s">
        <v>144</v>
      </c>
      <c r="I328" s="40" t="str">
        <f t="array" ref="I328">IF(G328="","",IFERROR(INDEX('Người sử dụng'!$H$5:$H$140,MATCH(G328,'Người sử dụng'!$C$5:$C$140,0)),"Chưa có trong DS"))</f>
        <v>Thử việc</v>
      </c>
      <c r="J328" s="104" t="s">
        <v>545</v>
      </c>
      <c r="K328" s="101"/>
      <c r="L328" s="67"/>
      <c r="M328" s="101"/>
      <c r="N328" s="104" t="s">
        <v>703</v>
      </c>
      <c r="O328" s="104" t="s">
        <v>143</v>
      </c>
      <c r="P328" s="102"/>
      <c r="Q328" s="42" t="s">
        <v>650</v>
      </c>
      <c r="R328" s="103"/>
      <c r="S328" s="99"/>
      <c r="T328" s="103"/>
      <c r="U328" s="103"/>
      <c r="V328" s="103"/>
      <c r="W328" s="103"/>
      <c r="X328" s="103"/>
      <c r="Y328" s="103"/>
      <c r="Z328" s="103"/>
      <c r="AA328" s="103"/>
      <c r="AB328" s="103"/>
      <c r="AC328" s="103"/>
      <c r="AD328" s="103"/>
      <c r="AE328" s="103"/>
    </row>
    <row r="329" ht="15.75" customHeight="1">
      <c r="A329" s="108">
        <v>312.0</v>
      </c>
      <c r="B329" s="108" t="s">
        <v>719</v>
      </c>
      <c r="C329" s="104" t="s">
        <v>104</v>
      </c>
      <c r="D329" s="117" t="s">
        <v>720</v>
      </c>
      <c r="E329" s="106"/>
      <c r="F329" s="99"/>
      <c r="G329" s="112" t="s">
        <v>145</v>
      </c>
      <c r="H329" s="100" t="s">
        <v>144</v>
      </c>
      <c r="I329" s="40" t="str">
        <f t="array" ref="I329">IF(G329="","",IFERROR(INDEX('Người sử dụng'!$H$5:$H$140,MATCH(G329,'Người sử dụng'!$C$5:$C$140,0)),"Chưa có trong DS"))</f>
        <v>Thử việc</v>
      </c>
      <c r="J329" s="104" t="s">
        <v>545</v>
      </c>
      <c r="K329" s="101"/>
      <c r="L329" s="67"/>
      <c r="M329" s="101"/>
      <c r="N329" s="104" t="s">
        <v>703</v>
      </c>
      <c r="O329" s="104" t="s">
        <v>143</v>
      </c>
      <c r="P329" s="102"/>
      <c r="Q329" s="42" t="s">
        <v>650</v>
      </c>
      <c r="R329" s="103"/>
      <c r="S329" s="99"/>
      <c r="T329" s="103"/>
      <c r="U329" s="103"/>
      <c r="V329" s="103"/>
      <c r="W329" s="103"/>
      <c r="X329" s="103"/>
      <c r="Y329" s="103"/>
      <c r="Z329" s="103"/>
      <c r="AA329" s="103"/>
      <c r="AB329" s="103"/>
      <c r="AC329" s="103"/>
      <c r="AD329" s="103"/>
      <c r="AE329" s="103"/>
    </row>
    <row r="330" ht="15.75" customHeight="1">
      <c r="A330" s="108">
        <v>313.0</v>
      </c>
      <c r="B330" s="108" t="s">
        <v>721</v>
      </c>
      <c r="C330" s="104" t="s">
        <v>84</v>
      </c>
      <c r="D330" s="120" t="s">
        <v>722</v>
      </c>
      <c r="E330" s="106" t="s">
        <v>723</v>
      </c>
      <c r="F330" s="121" t="s">
        <v>724</v>
      </c>
      <c r="G330" s="112" t="s">
        <v>145</v>
      </c>
      <c r="H330" s="100" t="s">
        <v>144</v>
      </c>
      <c r="I330" s="40" t="str">
        <f t="array" ref="I330">IF(G330="","",IFERROR(INDEX('Người sử dụng'!$H$5:$H$140,MATCH(G330,'Người sử dụng'!$C$5:$C$140,0)),"Chưa có trong DS"))</f>
        <v>Thử việc</v>
      </c>
      <c r="J330" s="104" t="s">
        <v>441</v>
      </c>
      <c r="K330" s="101"/>
      <c r="L330" s="67"/>
      <c r="M330" s="101"/>
      <c r="N330" s="104" t="s">
        <v>703</v>
      </c>
      <c r="O330" s="104" t="s">
        <v>143</v>
      </c>
      <c r="P330" s="102"/>
      <c r="Q330" s="42" t="s">
        <v>650</v>
      </c>
      <c r="R330" s="103"/>
      <c r="S330" s="99"/>
      <c r="T330" s="103"/>
      <c r="U330" s="103"/>
      <c r="V330" s="103"/>
      <c r="W330" s="103"/>
      <c r="X330" s="103"/>
      <c r="Y330" s="103"/>
      <c r="Z330" s="103"/>
      <c r="AA330" s="103"/>
      <c r="AB330" s="103"/>
      <c r="AC330" s="103"/>
      <c r="AD330" s="103"/>
      <c r="AE330" s="103"/>
    </row>
    <row r="331" ht="15.75" customHeight="1">
      <c r="A331" s="108">
        <v>314.0</v>
      </c>
      <c r="B331" s="108" t="s">
        <v>728</v>
      </c>
      <c r="C331" s="104" t="s">
        <v>84</v>
      </c>
      <c r="D331" s="122"/>
      <c r="E331" s="106" t="s">
        <v>729</v>
      </c>
      <c r="F331" s="121" t="s">
        <v>730</v>
      </c>
      <c r="G331" s="112" t="s">
        <v>145</v>
      </c>
      <c r="H331" s="100" t="s">
        <v>144</v>
      </c>
      <c r="I331" s="40" t="str">
        <f t="array" ref="I331">IF(G331="","",IFERROR(INDEX('Người sử dụng'!$H$5:$H$140,MATCH(G331,'Người sử dụng'!$C$5:$C$140,0)),"Chưa có trong DS"))</f>
        <v>Thử việc</v>
      </c>
      <c r="J331" s="104" t="s">
        <v>441</v>
      </c>
      <c r="K331" s="101"/>
      <c r="L331" s="67"/>
      <c r="M331" s="101"/>
      <c r="N331" s="104" t="s">
        <v>703</v>
      </c>
      <c r="O331" s="104" t="s">
        <v>143</v>
      </c>
      <c r="P331" s="102"/>
      <c r="Q331" s="42" t="s">
        <v>650</v>
      </c>
      <c r="R331" s="103"/>
      <c r="S331" s="99"/>
      <c r="T331" s="103"/>
      <c r="U331" s="103"/>
      <c r="V331" s="103"/>
      <c r="W331" s="103"/>
      <c r="X331" s="103"/>
      <c r="Y331" s="103"/>
      <c r="Z331" s="103"/>
      <c r="AA331" s="103"/>
      <c r="AB331" s="103"/>
      <c r="AC331" s="103"/>
      <c r="AD331" s="103"/>
      <c r="AE331" s="103"/>
    </row>
    <row r="332" ht="15.75" customHeight="1">
      <c r="A332" s="108">
        <v>315.0</v>
      </c>
      <c r="B332" s="108" t="s">
        <v>734</v>
      </c>
      <c r="C332" s="104" t="s">
        <v>84</v>
      </c>
      <c r="D332" s="120" t="s">
        <v>735</v>
      </c>
      <c r="E332" s="106" t="s">
        <v>736</v>
      </c>
      <c r="F332" s="121" t="s">
        <v>737</v>
      </c>
      <c r="G332" s="112" t="s">
        <v>145</v>
      </c>
      <c r="H332" s="100" t="s">
        <v>144</v>
      </c>
      <c r="I332" s="40" t="str">
        <f t="array" ref="I332">IF(G332="","",IFERROR(INDEX('Người sử dụng'!$H$5:$H$140,MATCH(G332,'Người sử dụng'!$C$5:$C$140,0)),"Chưa có trong DS"))</f>
        <v>Thử việc</v>
      </c>
      <c r="J332" s="104" t="s">
        <v>441</v>
      </c>
      <c r="K332" s="101"/>
      <c r="L332" s="67"/>
      <c r="M332" s="101"/>
      <c r="N332" s="104" t="s">
        <v>703</v>
      </c>
      <c r="O332" s="104" t="s">
        <v>143</v>
      </c>
      <c r="P332" s="102"/>
      <c r="Q332" s="42" t="s">
        <v>650</v>
      </c>
      <c r="R332" s="103"/>
      <c r="S332" s="99"/>
      <c r="T332" s="103"/>
      <c r="U332" s="103"/>
      <c r="V332" s="103"/>
      <c r="W332" s="103"/>
      <c r="X332" s="103"/>
      <c r="Y332" s="103"/>
      <c r="Z332" s="103"/>
      <c r="AA332" s="103"/>
      <c r="AB332" s="103"/>
      <c r="AC332" s="103"/>
      <c r="AD332" s="103"/>
      <c r="AE332" s="103"/>
    </row>
    <row r="333" ht="15.75" customHeight="1">
      <c r="A333" s="108">
        <v>316.0</v>
      </c>
      <c r="B333" s="108" t="s">
        <v>742</v>
      </c>
      <c r="C333" s="104" t="s">
        <v>104</v>
      </c>
      <c r="D333" s="63" t="s">
        <v>743</v>
      </c>
      <c r="E333" s="99"/>
      <c r="F333" s="114"/>
      <c r="G333" s="112" t="s">
        <v>145</v>
      </c>
      <c r="H333" s="100" t="s">
        <v>144</v>
      </c>
      <c r="I333" s="100"/>
      <c r="J333" s="104" t="s">
        <v>545</v>
      </c>
      <c r="K333" s="101"/>
      <c r="L333" s="67"/>
      <c r="M333" s="101"/>
      <c r="N333" s="104" t="s">
        <v>703</v>
      </c>
      <c r="O333" s="104" t="s">
        <v>143</v>
      </c>
      <c r="P333" s="102"/>
      <c r="Q333" s="42" t="s">
        <v>650</v>
      </c>
      <c r="R333" s="103"/>
      <c r="S333" s="99"/>
      <c r="T333" s="103"/>
      <c r="U333" s="103"/>
      <c r="V333" s="103"/>
      <c r="W333" s="103"/>
      <c r="X333" s="103"/>
      <c r="Y333" s="103"/>
      <c r="Z333" s="103"/>
      <c r="AA333" s="103"/>
      <c r="AB333" s="103"/>
      <c r="AC333" s="103"/>
      <c r="AD333" s="103"/>
      <c r="AE333" s="103"/>
    </row>
    <row r="334" ht="15.75" customHeight="1">
      <c r="A334" s="40"/>
      <c r="B334" s="40"/>
      <c r="C334" s="101"/>
      <c r="D334" s="67"/>
      <c r="E334" s="99"/>
      <c r="F334" s="114"/>
      <c r="G334" s="123"/>
      <c r="H334" s="100"/>
      <c r="I334" s="100"/>
      <c r="J334" s="101"/>
      <c r="K334" s="101"/>
      <c r="L334" s="67"/>
      <c r="M334" s="101"/>
      <c r="N334" s="101"/>
      <c r="O334" s="101"/>
      <c r="P334" s="102"/>
      <c r="Q334" s="99"/>
      <c r="R334" s="103"/>
      <c r="S334" s="99"/>
      <c r="T334" s="103"/>
      <c r="U334" s="103"/>
      <c r="V334" s="103"/>
      <c r="W334" s="103"/>
      <c r="X334" s="103"/>
      <c r="Y334" s="103"/>
      <c r="Z334" s="103"/>
      <c r="AA334" s="103"/>
      <c r="AB334" s="103"/>
      <c r="AC334" s="103"/>
      <c r="AD334" s="103"/>
      <c r="AE334" s="103"/>
    </row>
    <row r="335" ht="15.75" customHeight="1">
      <c r="A335" s="40" t="str">
        <f t="shared" ref="A335:A347" si="11">IF(C335="","",ROW()-5)</f>
        <v/>
      </c>
      <c r="B335" s="40" t="str">
        <f t="shared" ref="B335:B347" si="12">IF(C335="","","ADS-"&amp;TEXT(ROW()-5,"000"))</f>
        <v/>
      </c>
      <c r="C335" s="101"/>
      <c r="D335" s="67"/>
      <c r="E335" s="99"/>
      <c r="F335" s="99"/>
      <c r="G335" s="123"/>
      <c r="H335" s="100"/>
      <c r="I335" s="100"/>
      <c r="J335" s="101"/>
      <c r="K335" s="101"/>
      <c r="L335" s="67"/>
      <c r="M335" s="101"/>
      <c r="N335" s="101"/>
      <c r="O335" s="101"/>
      <c r="P335" s="102"/>
      <c r="Q335" s="99"/>
      <c r="R335" s="103"/>
      <c r="S335" s="99"/>
      <c r="T335" s="103"/>
      <c r="U335" s="103"/>
      <c r="V335" s="103"/>
      <c r="W335" s="103"/>
      <c r="X335" s="103"/>
      <c r="Y335" s="103"/>
      <c r="Z335" s="103"/>
      <c r="AA335" s="103"/>
      <c r="AB335" s="103"/>
      <c r="AC335" s="103"/>
      <c r="AD335" s="103"/>
      <c r="AE335" s="103"/>
    </row>
    <row r="336" ht="15.75" customHeight="1">
      <c r="A336" s="40" t="str">
        <f t="shared" si="11"/>
        <v/>
      </c>
      <c r="B336" s="40" t="str">
        <f t="shared" si="12"/>
        <v/>
      </c>
      <c r="C336" s="101"/>
      <c r="D336" s="67"/>
      <c r="E336" s="99"/>
      <c r="F336" s="99"/>
      <c r="G336" s="124"/>
      <c r="H336" s="100"/>
      <c r="I336" s="100"/>
      <c r="J336" s="101"/>
      <c r="K336" s="101"/>
      <c r="L336" s="67"/>
      <c r="M336" s="101"/>
      <c r="N336" s="101"/>
      <c r="O336" s="101"/>
      <c r="P336" s="102"/>
      <c r="Q336" s="99"/>
      <c r="R336" s="103"/>
      <c r="S336" s="99"/>
      <c r="T336" s="103"/>
      <c r="U336" s="103"/>
      <c r="V336" s="103"/>
      <c r="W336" s="103"/>
      <c r="X336" s="103"/>
      <c r="Y336" s="103"/>
      <c r="Z336" s="103"/>
      <c r="AA336" s="103"/>
      <c r="AB336" s="103"/>
      <c r="AC336" s="103"/>
      <c r="AD336" s="103"/>
      <c r="AE336" s="103"/>
    </row>
    <row r="337" ht="15.75" customHeight="1">
      <c r="A337" s="40">
        <f t="shared" si="11"/>
        <v>332</v>
      </c>
      <c r="B337" s="40" t="str">
        <f t="shared" si="12"/>
        <v>ADS-332</v>
      </c>
      <c r="C337" s="104" t="s">
        <v>84</v>
      </c>
      <c r="D337" s="63" t="s">
        <v>748</v>
      </c>
      <c r="E337" s="106" t="s">
        <v>749</v>
      </c>
      <c r="F337" s="105" t="s">
        <v>750</v>
      </c>
      <c r="G337" s="125" t="s">
        <v>135</v>
      </c>
      <c r="H337" s="100" t="s">
        <v>134</v>
      </c>
      <c r="I337" s="100"/>
      <c r="J337" s="104" t="s">
        <v>441</v>
      </c>
      <c r="K337" s="101"/>
      <c r="L337" s="67"/>
      <c r="M337" s="101"/>
      <c r="N337" s="101"/>
      <c r="O337" s="101"/>
      <c r="P337" s="102"/>
      <c r="Q337" s="99"/>
      <c r="R337" s="103"/>
      <c r="S337" s="99"/>
      <c r="T337" s="103"/>
      <c r="U337" s="103"/>
      <c r="V337" s="103"/>
      <c r="W337" s="103"/>
      <c r="X337" s="103"/>
      <c r="Y337" s="103"/>
      <c r="Z337" s="103"/>
      <c r="AA337" s="103"/>
      <c r="AB337" s="103"/>
      <c r="AC337" s="103"/>
      <c r="AD337" s="103"/>
      <c r="AE337" s="103"/>
    </row>
    <row r="338" ht="15.75" customHeight="1">
      <c r="A338" s="40">
        <f t="shared" si="11"/>
        <v>333</v>
      </c>
      <c r="B338" s="40" t="str">
        <f t="shared" si="12"/>
        <v>ADS-333</v>
      </c>
      <c r="C338" s="104" t="s">
        <v>84</v>
      </c>
      <c r="D338" s="63" t="s">
        <v>754</v>
      </c>
      <c r="E338" s="106" t="s">
        <v>755</v>
      </c>
      <c r="F338" s="105" t="s">
        <v>756</v>
      </c>
      <c r="G338" s="125" t="s">
        <v>135</v>
      </c>
      <c r="H338" s="100" t="s">
        <v>134</v>
      </c>
      <c r="I338" s="100"/>
      <c r="J338" s="104" t="s">
        <v>441</v>
      </c>
      <c r="K338" s="101"/>
      <c r="L338" s="67"/>
      <c r="M338" s="101"/>
      <c r="N338" s="101"/>
      <c r="O338" s="101"/>
      <c r="P338" s="102"/>
      <c r="Q338" s="99"/>
      <c r="R338" s="103"/>
      <c r="S338" s="99"/>
      <c r="T338" s="103"/>
      <c r="U338" s="103"/>
      <c r="V338" s="103"/>
      <c r="W338" s="103"/>
      <c r="X338" s="103"/>
      <c r="Y338" s="103"/>
      <c r="Z338" s="103"/>
      <c r="AA338" s="103"/>
      <c r="AB338" s="103"/>
      <c r="AC338" s="103"/>
      <c r="AD338" s="103"/>
      <c r="AE338" s="103"/>
    </row>
    <row r="339" ht="15.75" customHeight="1">
      <c r="A339" s="40">
        <f t="shared" si="11"/>
        <v>334</v>
      </c>
      <c r="B339" s="40" t="str">
        <f t="shared" si="12"/>
        <v>ADS-334</v>
      </c>
      <c r="C339" s="104" t="s">
        <v>84</v>
      </c>
      <c r="D339" s="63" t="s">
        <v>757</v>
      </c>
      <c r="E339" s="106" t="s">
        <v>758</v>
      </c>
      <c r="F339" s="105" t="s">
        <v>759</v>
      </c>
      <c r="G339" s="125" t="s">
        <v>135</v>
      </c>
      <c r="H339" s="100" t="s">
        <v>134</v>
      </c>
      <c r="I339" s="100"/>
      <c r="J339" s="104" t="s">
        <v>441</v>
      </c>
      <c r="K339" s="101"/>
      <c r="L339" s="67"/>
      <c r="M339" s="101"/>
      <c r="N339" s="101"/>
      <c r="O339" s="101"/>
      <c r="P339" s="102"/>
      <c r="Q339" s="99"/>
      <c r="R339" s="103"/>
      <c r="S339" s="99"/>
      <c r="T339" s="103"/>
      <c r="U339" s="103"/>
      <c r="V339" s="103"/>
      <c r="W339" s="103"/>
      <c r="X339" s="103"/>
      <c r="Y339" s="103"/>
      <c r="Z339" s="103"/>
      <c r="AA339" s="103"/>
      <c r="AB339" s="103"/>
      <c r="AC339" s="103"/>
      <c r="AD339" s="103"/>
      <c r="AE339" s="103"/>
    </row>
    <row r="340" ht="15.75" customHeight="1">
      <c r="A340" s="40">
        <f t="shared" si="11"/>
        <v>335</v>
      </c>
      <c r="B340" s="40" t="str">
        <f t="shared" si="12"/>
        <v>ADS-335</v>
      </c>
      <c r="C340" s="104" t="s">
        <v>84</v>
      </c>
      <c r="D340" s="63" t="s">
        <v>763</v>
      </c>
      <c r="E340" s="106" t="s">
        <v>764</v>
      </c>
      <c r="F340" s="105" t="s">
        <v>765</v>
      </c>
      <c r="G340" s="125" t="s">
        <v>135</v>
      </c>
      <c r="H340" s="100" t="s">
        <v>134</v>
      </c>
      <c r="I340" s="100"/>
      <c r="J340" s="104" t="s">
        <v>441</v>
      </c>
      <c r="K340" s="101"/>
      <c r="L340" s="67"/>
      <c r="M340" s="101"/>
      <c r="N340" s="101"/>
      <c r="O340" s="101"/>
      <c r="P340" s="102"/>
      <c r="Q340" s="99"/>
      <c r="R340" s="103"/>
      <c r="S340" s="99"/>
      <c r="T340" s="103"/>
      <c r="U340" s="103"/>
      <c r="V340" s="103"/>
      <c r="W340" s="103"/>
      <c r="X340" s="103"/>
      <c r="Y340" s="103"/>
      <c r="Z340" s="103"/>
      <c r="AA340" s="103"/>
      <c r="AB340" s="103"/>
      <c r="AC340" s="103"/>
      <c r="AD340" s="103"/>
      <c r="AE340" s="103"/>
    </row>
    <row r="341" ht="15.75" customHeight="1">
      <c r="A341" s="40">
        <f t="shared" si="11"/>
        <v>336</v>
      </c>
      <c r="B341" s="40" t="str">
        <f t="shared" si="12"/>
        <v>ADS-336</v>
      </c>
      <c r="C341" s="104" t="s">
        <v>84</v>
      </c>
      <c r="D341" s="63" t="s">
        <v>766</v>
      </c>
      <c r="E341" s="106" t="s">
        <v>767</v>
      </c>
      <c r="F341" s="105" t="s">
        <v>770</v>
      </c>
      <c r="G341" s="125" t="s">
        <v>135</v>
      </c>
      <c r="H341" s="100" t="s">
        <v>134</v>
      </c>
      <c r="I341" s="100"/>
      <c r="J341" s="104" t="s">
        <v>441</v>
      </c>
      <c r="K341" s="101"/>
      <c r="L341" s="67"/>
      <c r="M341" s="101"/>
      <c r="N341" s="101"/>
      <c r="O341" s="101"/>
      <c r="P341" s="102"/>
      <c r="Q341" s="99"/>
      <c r="R341" s="103"/>
      <c r="S341" s="99"/>
      <c r="T341" s="103"/>
      <c r="U341" s="103"/>
      <c r="V341" s="103"/>
      <c r="W341" s="103"/>
      <c r="X341" s="103"/>
      <c r="Y341" s="103"/>
      <c r="Z341" s="103"/>
      <c r="AA341" s="103"/>
      <c r="AB341" s="103"/>
      <c r="AC341" s="103"/>
      <c r="AD341" s="103"/>
      <c r="AE341" s="103"/>
    </row>
    <row r="342" ht="15.75" customHeight="1">
      <c r="A342" s="40">
        <f t="shared" si="11"/>
        <v>337</v>
      </c>
      <c r="B342" s="40" t="str">
        <f t="shared" si="12"/>
        <v>ADS-337</v>
      </c>
      <c r="C342" s="104" t="s">
        <v>84</v>
      </c>
      <c r="D342" s="63" t="s">
        <v>772</v>
      </c>
      <c r="E342" s="106" t="s">
        <v>773</v>
      </c>
      <c r="F342" s="105" t="s">
        <v>774</v>
      </c>
      <c r="G342" s="125" t="s">
        <v>135</v>
      </c>
      <c r="H342" s="100" t="s">
        <v>134</v>
      </c>
      <c r="I342" s="100"/>
      <c r="J342" s="104" t="s">
        <v>441</v>
      </c>
      <c r="K342" s="101"/>
      <c r="L342" s="67"/>
      <c r="M342" s="101"/>
      <c r="N342" s="101"/>
      <c r="O342" s="101"/>
      <c r="P342" s="102"/>
      <c r="Q342" s="99"/>
      <c r="R342" s="103"/>
      <c r="S342" s="99"/>
      <c r="T342" s="103"/>
      <c r="U342" s="103"/>
      <c r="V342" s="103"/>
      <c r="W342" s="103"/>
      <c r="X342" s="103"/>
      <c r="Y342" s="103"/>
      <c r="Z342" s="103"/>
      <c r="AA342" s="103"/>
      <c r="AB342" s="103"/>
      <c r="AC342" s="103"/>
      <c r="AD342" s="103"/>
      <c r="AE342" s="103"/>
    </row>
    <row r="343" ht="15.75" customHeight="1">
      <c r="A343" s="40">
        <f t="shared" si="11"/>
        <v>338</v>
      </c>
      <c r="B343" s="40" t="str">
        <f t="shared" si="12"/>
        <v>ADS-338</v>
      </c>
      <c r="C343" s="104" t="s">
        <v>84</v>
      </c>
      <c r="D343" s="63" t="s">
        <v>778</v>
      </c>
      <c r="E343" s="106" t="s">
        <v>779</v>
      </c>
      <c r="F343" s="107" t="s">
        <v>780</v>
      </c>
      <c r="G343" s="125" t="s">
        <v>135</v>
      </c>
      <c r="H343" s="100" t="s">
        <v>134</v>
      </c>
      <c r="I343" s="100"/>
      <c r="J343" s="104" t="s">
        <v>441</v>
      </c>
      <c r="K343" s="101"/>
      <c r="L343" s="67"/>
      <c r="M343" s="101"/>
      <c r="N343" s="101"/>
      <c r="O343" s="101"/>
      <c r="P343" s="102"/>
      <c r="Q343" s="99"/>
      <c r="R343" s="103"/>
      <c r="S343" s="99"/>
      <c r="T343" s="103"/>
      <c r="U343" s="103"/>
      <c r="V343" s="103"/>
      <c r="W343" s="103"/>
      <c r="X343" s="103"/>
      <c r="Y343" s="103"/>
      <c r="Z343" s="103"/>
      <c r="AA343" s="103"/>
      <c r="AB343" s="103"/>
      <c r="AC343" s="103"/>
      <c r="AD343" s="103"/>
      <c r="AE343" s="103"/>
    </row>
    <row r="344" ht="15.75" customHeight="1">
      <c r="A344" s="40">
        <f t="shared" si="11"/>
        <v>339</v>
      </c>
      <c r="B344" s="40" t="str">
        <f t="shared" si="12"/>
        <v>ADS-339</v>
      </c>
      <c r="C344" s="104" t="s">
        <v>84</v>
      </c>
      <c r="D344" s="63" t="s">
        <v>784</v>
      </c>
      <c r="E344" s="106" t="s">
        <v>785</v>
      </c>
      <c r="F344" s="105" t="s">
        <v>786</v>
      </c>
      <c r="G344" s="125" t="s">
        <v>135</v>
      </c>
      <c r="H344" s="100" t="s">
        <v>134</v>
      </c>
      <c r="I344" s="100"/>
      <c r="J344" s="104" t="s">
        <v>441</v>
      </c>
      <c r="K344" s="101"/>
      <c r="L344" s="67"/>
      <c r="M344" s="101"/>
      <c r="N344" s="101"/>
      <c r="O344" s="101"/>
      <c r="P344" s="102"/>
      <c r="Q344" s="99"/>
      <c r="R344" s="103"/>
      <c r="S344" s="99"/>
      <c r="T344" s="103"/>
      <c r="U344" s="103"/>
      <c r="V344" s="103"/>
      <c r="W344" s="103"/>
      <c r="X344" s="103"/>
      <c r="Y344" s="103"/>
      <c r="Z344" s="103"/>
      <c r="AA344" s="103"/>
      <c r="AB344" s="103"/>
      <c r="AC344" s="103"/>
      <c r="AD344" s="103"/>
      <c r="AE344" s="103"/>
    </row>
    <row r="345" ht="15.75" customHeight="1">
      <c r="A345" s="40">
        <f t="shared" si="11"/>
        <v>340</v>
      </c>
      <c r="B345" s="40" t="str">
        <f t="shared" si="12"/>
        <v>ADS-340</v>
      </c>
      <c r="C345" s="104" t="s">
        <v>101</v>
      </c>
      <c r="D345" s="63" t="s">
        <v>373</v>
      </c>
      <c r="E345" s="106" t="s">
        <v>790</v>
      </c>
      <c r="F345" s="105" t="s">
        <v>791</v>
      </c>
      <c r="G345" s="125" t="s">
        <v>135</v>
      </c>
      <c r="H345" s="100" t="s">
        <v>134</v>
      </c>
      <c r="I345" s="100"/>
      <c r="J345" s="104" t="s">
        <v>89</v>
      </c>
      <c r="K345" s="104" t="s">
        <v>792</v>
      </c>
      <c r="L345" s="67"/>
      <c r="M345" s="104" t="s">
        <v>91</v>
      </c>
      <c r="N345" s="104" t="s">
        <v>793</v>
      </c>
      <c r="O345" s="104" t="s">
        <v>143</v>
      </c>
      <c r="P345" s="102"/>
      <c r="Q345" s="99"/>
      <c r="R345" s="103"/>
      <c r="S345" s="99"/>
      <c r="T345" s="103"/>
      <c r="U345" s="103"/>
      <c r="V345" s="103"/>
      <c r="W345" s="103"/>
      <c r="X345" s="103"/>
      <c r="Y345" s="103"/>
      <c r="Z345" s="103"/>
      <c r="AA345" s="103"/>
      <c r="AB345" s="103"/>
      <c r="AC345" s="103"/>
      <c r="AD345" s="103"/>
      <c r="AE345" s="103"/>
    </row>
    <row r="346" ht="15.75" customHeight="1">
      <c r="A346" s="40">
        <f t="shared" si="11"/>
        <v>341</v>
      </c>
      <c r="B346" s="40" t="str">
        <f t="shared" si="12"/>
        <v>ADS-341</v>
      </c>
      <c r="C346" s="104" t="s">
        <v>101</v>
      </c>
      <c r="D346" s="63" t="s">
        <v>794</v>
      </c>
      <c r="E346" s="106" t="s">
        <v>795</v>
      </c>
      <c r="F346" s="105" t="s">
        <v>796</v>
      </c>
      <c r="G346" s="125" t="s">
        <v>135</v>
      </c>
      <c r="H346" s="100" t="s">
        <v>134</v>
      </c>
      <c r="I346" s="100"/>
      <c r="J346" s="104" t="s">
        <v>89</v>
      </c>
      <c r="K346" s="104" t="s">
        <v>800</v>
      </c>
      <c r="L346" s="67"/>
      <c r="M346" s="104" t="s">
        <v>91</v>
      </c>
      <c r="N346" s="104" t="s">
        <v>793</v>
      </c>
      <c r="O346" s="104" t="s">
        <v>143</v>
      </c>
      <c r="P346" s="102"/>
      <c r="Q346" s="99"/>
      <c r="R346" s="103"/>
      <c r="S346" s="99"/>
      <c r="T346" s="103"/>
      <c r="U346" s="103"/>
      <c r="V346" s="103"/>
      <c r="W346" s="103"/>
      <c r="X346" s="103"/>
      <c r="Y346" s="103"/>
      <c r="Z346" s="103"/>
      <c r="AA346" s="103"/>
      <c r="AB346" s="103"/>
      <c r="AC346" s="103"/>
      <c r="AD346" s="103"/>
      <c r="AE346" s="103"/>
    </row>
    <row r="347" ht="15.75" customHeight="1">
      <c r="A347" s="40">
        <f t="shared" si="11"/>
        <v>342</v>
      </c>
      <c r="B347" s="40" t="str">
        <f t="shared" si="12"/>
        <v>ADS-342</v>
      </c>
      <c r="C347" s="104" t="s">
        <v>101</v>
      </c>
      <c r="D347" s="63" t="s">
        <v>398</v>
      </c>
      <c r="E347" s="106" t="s">
        <v>801</v>
      </c>
      <c r="F347" s="105" t="s">
        <v>802</v>
      </c>
      <c r="G347" s="125" t="s">
        <v>135</v>
      </c>
      <c r="H347" s="100" t="s">
        <v>134</v>
      </c>
      <c r="I347" s="100"/>
      <c r="J347" s="104" t="s">
        <v>89</v>
      </c>
      <c r="K347" s="104" t="s">
        <v>803</v>
      </c>
      <c r="L347" s="67"/>
      <c r="M347" s="104" t="s">
        <v>91</v>
      </c>
      <c r="N347" s="104" t="s">
        <v>793</v>
      </c>
      <c r="O347" s="104" t="s">
        <v>143</v>
      </c>
      <c r="P347" s="102"/>
      <c r="Q347" s="99"/>
      <c r="R347" s="103"/>
      <c r="S347" s="99"/>
      <c r="T347" s="103"/>
      <c r="U347" s="103"/>
      <c r="V347" s="103"/>
      <c r="W347" s="103"/>
      <c r="X347" s="103"/>
      <c r="Y347" s="103"/>
      <c r="Z347" s="103"/>
      <c r="AA347" s="103"/>
      <c r="AB347" s="103"/>
      <c r="AC347" s="103"/>
      <c r="AD347" s="103"/>
      <c r="AE347" s="103"/>
    </row>
    <row r="348" ht="15.75" customHeight="1">
      <c r="A348" s="40"/>
      <c r="B348" s="40"/>
      <c r="C348" s="104"/>
      <c r="D348" s="63"/>
      <c r="E348" s="106"/>
      <c r="F348" s="106"/>
      <c r="G348" s="104"/>
      <c r="H348" s="100"/>
      <c r="I348" s="100"/>
      <c r="J348" s="104"/>
      <c r="K348" s="104"/>
      <c r="L348" s="67"/>
      <c r="M348" s="104"/>
      <c r="N348" s="104"/>
      <c r="O348" s="104"/>
      <c r="P348" s="102"/>
      <c r="Q348" s="99"/>
      <c r="R348" s="103"/>
      <c r="S348" s="99"/>
      <c r="T348" s="103"/>
      <c r="U348" s="103"/>
      <c r="V348" s="103"/>
      <c r="W348" s="103"/>
      <c r="X348" s="103"/>
      <c r="Y348" s="103"/>
      <c r="Z348" s="103"/>
      <c r="AA348" s="103"/>
      <c r="AB348" s="103"/>
      <c r="AC348" s="103"/>
      <c r="AD348" s="103"/>
      <c r="AE348" s="103"/>
    </row>
    <row r="349" ht="15.75" customHeight="1">
      <c r="A349" s="40"/>
      <c r="B349" s="40"/>
      <c r="C349" s="104" t="s">
        <v>104</v>
      </c>
      <c r="D349" s="63" t="s">
        <v>807</v>
      </c>
      <c r="E349" s="106" t="s">
        <v>808</v>
      </c>
      <c r="F349" s="106"/>
      <c r="G349" s="104" t="s">
        <v>135</v>
      </c>
      <c r="H349" s="100" t="s">
        <v>134</v>
      </c>
      <c r="I349" s="100"/>
      <c r="J349" s="104" t="s">
        <v>441</v>
      </c>
      <c r="K349" s="104"/>
      <c r="L349" s="67"/>
      <c r="M349" s="104"/>
      <c r="N349" s="104"/>
      <c r="O349" s="104"/>
      <c r="P349" s="102"/>
      <c r="Q349" s="99"/>
      <c r="R349" s="103"/>
      <c r="S349" s="99"/>
      <c r="T349" s="103"/>
      <c r="U349" s="103"/>
      <c r="V349" s="103"/>
      <c r="W349" s="103"/>
      <c r="X349" s="103"/>
      <c r="Y349" s="103"/>
      <c r="Z349" s="103"/>
      <c r="AA349" s="103"/>
      <c r="AB349" s="103"/>
      <c r="AC349" s="103"/>
      <c r="AD349" s="103"/>
      <c r="AE349" s="103"/>
    </row>
    <row r="350" ht="15.75" customHeight="1">
      <c r="A350" s="40">
        <f t="shared" ref="A350:A463" si="13">IF(C350="","",ROW()-5)</f>
        <v>345</v>
      </c>
      <c r="B350" s="40" t="str">
        <f t="shared" ref="B350:B463" si="14">IF(C350="","","ADS-"&amp;TEXT(ROW()-5,"000"))</f>
        <v>ADS-345</v>
      </c>
      <c r="C350" s="104" t="s">
        <v>104</v>
      </c>
      <c r="D350" s="63" t="s">
        <v>812</v>
      </c>
      <c r="E350" s="106" t="s">
        <v>813</v>
      </c>
      <c r="F350" s="99"/>
      <c r="G350" s="104" t="s">
        <v>135</v>
      </c>
      <c r="H350" s="100" t="s">
        <v>134</v>
      </c>
      <c r="I350" s="100"/>
      <c r="J350" s="104" t="s">
        <v>441</v>
      </c>
      <c r="K350" s="101"/>
      <c r="L350" s="67"/>
      <c r="M350" s="101"/>
      <c r="N350" s="101"/>
      <c r="O350" s="101"/>
      <c r="P350" s="102"/>
      <c r="Q350" s="99"/>
      <c r="R350" s="103"/>
      <c r="S350" s="99"/>
      <c r="T350" s="103"/>
      <c r="U350" s="103"/>
      <c r="V350" s="103"/>
      <c r="W350" s="103"/>
      <c r="X350" s="103"/>
      <c r="Y350" s="103"/>
      <c r="Z350" s="103"/>
      <c r="AA350" s="103"/>
      <c r="AB350" s="103"/>
      <c r="AC350" s="103"/>
      <c r="AD350" s="103"/>
      <c r="AE350" s="103"/>
    </row>
    <row r="351" ht="15.75" customHeight="1">
      <c r="A351" s="40">
        <f t="shared" si="13"/>
        <v>346</v>
      </c>
      <c r="B351" s="40" t="str">
        <f t="shared" si="14"/>
        <v>ADS-346</v>
      </c>
      <c r="C351" s="104" t="s">
        <v>104</v>
      </c>
      <c r="D351" s="63" t="s">
        <v>814</v>
      </c>
      <c r="E351" s="126" t="s">
        <v>815</v>
      </c>
      <c r="F351" s="99"/>
      <c r="G351" s="104" t="s">
        <v>135</v>
      </c>
      <c r="H351" s="100" t="s">
        <v>134</v>
      </c>
      <c r="I351" s="100"/>
      <c r="J351" s="104" t="s">
        <v>441</v>
      </c>
      <c r="K351" s="101"/>
      <c r="L351" s="67"/>
      <c r="M351" s="101"/>
      <c r="N351" s="101"/>
      <c r="O351" s="101"/>
      <c r="P351" s="102"/>
      <c r="Q351" s="99"/>
      <c r="R351" s="103"/>
      <c r="S351" s="99"/>
      <c r="T351" s="103"/>
      <c r="U351" s="103"/>
      <c r="V351" s="103"/>
      <c r="W351" s="103"/>
      <c r="X351" s="103"/>
      <c r="Y351" s="103"/>
      <c r="Z351" s="103"/>
      <c r="AA351" s="103"/>
      <c r="AB351" s="103"/>
      <c r="AC351" s="103"/>
      <c r="AD351" s="103"/>
      <c r="AE351" s="103"/>
    </row>
    <row r="352" ht="15.75" customHeight="1">
      <c r="A352" s="40">
        <f t="shared" si="13"/>
        <v>347</v>
      </c>
      <c r="B352" s="40" t="str">
        <f t="shared" si="14"/>
        <v>ADS-347</v>
      </c>
      <c r="C352" s="104" t="s">
        <v>104</v>
      </c>
      <c r="D352" s="63" t="s">
        <v>819</v>
      </c>
      <c r="E352" s="106" t="s">
        <v>820</v>
      </c>
      <c r="F352" s="99"/>
      <c r="G352" s="104" t="s">
        <v>135</v>
      </c>
      <c r="H352" s="100" t="s">
        <v>134</v>
      </c>
      <c r="I352" s="100"/>
      <c r="J352" s="104" t="s">
        <v>441</v>
      </c>
      <c r="K352" s="101"/>
      <c r="L352" s="67"/>
      <c r="M352" s="101"/>
      <c r="N352" s="101"/>
      <c r="O352" s="101"/>
      <c r="P352" s="102"/>
      <c r="Q352" s="99"/>
      <c r="R352" s="103"/>
      <c r="S352" s="99"/>
      <c r="T352" s="103"/>
      <c r="U352" s="103"/>
      <c r="V352" s="103"/>
      <c r="W352" s="103"/>
      <c r="X352" s="103"/>
      <c r="Y352" s="103"/>
      <c r="Z352" s="103"/>
      <c r="AA352" s="103"/>
      <c r="AB352" s="103"/>
      <c r="AC352" s="103"/>
      <c r="AD352" s="103"/>
      <c r="AE352" s="103"/>
    </row>
    <row r="353" ht="15.75" customHeight="1">
      <c r="A353" s="40">
        <f t="shared" si="13"/>
        <v>348</v>
      </c>
      <c r="B353" s="40" t="str">
        <f t="shared" si="14"/>
        <v>ADS-348</v>
      </c>
      <c r="C353" s="104" t="s">
        <v>104</v>
      </c>
      <c r="D353" s="63" t="s">
        <v>821</v>
      </c>
      <c r="E353" s="106" t="s">
        <v>822</v>
      </c>
      <c r="F353" s="99"/>
      <c r="G353" s="104" t="s">
        <v>135</v>
      </c>
      <c r="H353" s="100" t="s">
        <v>134</v>
      </c>
      <c r="I353" s="100"/>
      <c r="J353" s="104" t="s">
        <v>441</v>
      </c>
      <c r="K353" s="101"/>
      <c r="L353" s="67"/>
      <c r="M353" s="101"/>
      <c r="N353" s="101"/>
      <c r="O353" s="101"/>
      <c r="P353" s="102"/>
      <c r="Q353" s="99"/>
      <c r="R353" s="103"/>
      <c r="S353" s="99"/>
      <c r="T353" s="103"/>
      <c r="U353" s="103"/>
      <c r="V353" s="103"/>
      <c r="W353" s="103"/>
      <c r="X353" s="103"/>
      <c r="Y353" s="103"/>
      <c r="Z353" s="103"/>
      <c r="AA353" s="103"/>
      <c r="AB353" s="103"/>
      <c r="AC353" s="103"/>
      <c r="AD353" s="103"/>
      <c r="AE353" s="103"/>
    </row>
    <row r="354" ht="15.75" customHeight="1">
      <c r="A354" s="40">
        <f t="shared" si="13"/>
        <v>349</v>
      </c>
      <c r="B354" s="40" t="str">
        <f t="shared" si="14"/>
        <v>ADS-349</v>
      </c>
      <c r="C354" s="104" t="s">
        <v>104</v>
      </c>
      <c r="D354" s="63" t="s">
        <v>823</v>
      </c>
      <c r="E354" s="106" t="s">
        <v>824</v>
      </c>
      <c r="F354" s="99"/>
      <c r="G354" s="104" t="s">
        <v>135</v>
      </c>
      <c r="H354" s="100" t="s">
        <v>134</v>
      </c>
      <c r="I354" s="100"/>
      <c r="J354" s="104" t="s">
        <v>441</v>
      </c>
      <c r="K354" s="101"/>
      <c r="L354" s="67"/>
      <c r="M354" s="101"/>
      <c r="N354" s="101"/>
      <c r="O354" s="101"/>
      <c r="P354" s="102"/>
      <c r="Q354" s="99"/>
      <c r="R354" s="103"/>
      <c r="S354" s="99"/>
      <c r="T354" s="103"/>
      <c r="U354" s="103"/>
      <c r="V354" s="103"/>
      <c r="W354" s="103"/>
      <c r="X354" s="103"/>
      <c r="Y354" s="103"/>
      <c r="Z354" s="103"/>
      <c r="AA354" s="103"/>
      <c r="AB354" s="103"/>
      <c r="AC354" s="103"/>
      <c r="AD354" s="103"/>
      <c r="AE354" s="103"/>
    </row>
    <row r="355" ht="15.75" customHeight="1">
      <c r="A355" s="40">
        <f t="shared" si="13"/>
        <v>350</v>
      </c>
      <c r="B355" s="40" t="str">
        <f t="shared" si="14"/>
        <v>ADS-350</v>
      </c>
      <c r="C355" s="104" t="s">
        <v>104</v>
      </c>
      <c r="D355" s="63" t="s">
        <v>826</v>
      </c>
      <c r="E355" s="106" t="s">
        <v>827</v>
      </c>
      <c r="F355" s="99"/>
      <c r="G355" s="104" t="s">
        <v>135</v>
      </c>
      <c r="H355" s="100" t="s">
        <v>134</v>
      </c>
      <c r="I355" s="100"/>
      <c r="J355" s="104" t="s">
        <v>441</v>
      </c>
      <c r="K355" s="101"/>
      <c r="L355" s="67"/>
      <c r="M355" s="101"/>
      <c r="N355" s="101"/>
      <c r="O355" s="101"/>
      <c r="P355" s="102"/>
      <c r="Q355" s="99"/>
      <c r="R355" s="103"/>
      <c r="S355" s="99"/>
      <c r="T355" s="103"/>
      <c r="U355" s="103"/>
      <c r="V355" s="103"/>
      <c r="W355" s="103"/>
      <c r="X355" s="103"/>
      <c r="Y355" s="103"/>
      <c r="Z355" s="103"/>
      <c r="AA355" s="103"/>
      <c r="AB355" s="103"/>
      <c r="AC355" s="103"/>
      <c r="AD355" s="103"/>
      <c r="AE355" s="103"/>
    </row>
    <row r="356" ht="15.75" customHeight="1">
      <c r="A356" s="40">
        <f t="shared" si="13"/>
        <v>351</v>
      </c>
      <c r="B356" s="40" t="str">
        <f t="shared" si="14"/>
        <v>ADS-351</v>
      </c>
      <c r="C356" s="104" t="s">
        <v>104</v>
      </c>
      <c r="D356" s="63" t="s">
        <v>828</v>
      </c>
      <c r="E356" s="106" t="s">
        <v>830</v>
      </c>
      <c r="F356" s="99"/>
      <c r="G356" s="104" t="s">
        <v>135</v>
      </c>
      <c r="H356" s="100" t="s">
        <v>134</v>
      </c>
      <c r="I356" s="100"/>
      <c r="J356" s="104" t="s">
        <v>441</v>
      </c>
      <c r="K356" s="101"/>
      <c r="L356" s="67"/>
      <c r="M356" s="101"/>
      <c r="N356" s="101"/>
      <c r="O356" s="101"/>
      <c r="P356" s="102"/>
      <c r="Q356" s="99"/>
      <c r="R356" s="103"/>
      <c r="S356" s="99"/>
      <c r="T356" s="103"/>
      <c r="U356" s="103"/>
      <c r="V356" s="103"/>
      <c r="W356" s="103"/>
      <c r="X356" s="103"/>
      <c r="Y356" s="103"/>
      <c r="Z356" s="103"/>
      <c r="AA356" s="103"/>
      <c r="AB356" s="103"/>
      <c r="AC356" s="103"/>
      <c r="AD356" s="103"/>
      <c r="AE356" s="103"/>
    </row>
    <row r="357" ht="15.75" customHeight="1">
      <c r="A357" s="40">
        <f t="shared" si="13"/>
        <v>352</v>
      </c>
      <c r="B357" s="40" t="str">
        <f t="shared" si="14"/>
        <v>ADS-352</v>
      </c>
      <c r="C357" s="104" t="s">
        <v>104</v>
      </c>
      <c r="D357" s="63" t="s">
        <v>831</v>
      </c>
      <c r="E357" s="106" t="s">
        <v>832</v>
      </c>
      <c r="F357" s="99"/>
      <c r="G357" s="104" t="s">
        <v>135</v>
      </c>
      <c r="H357" s="100" t="s">
        <v>134</v>
      </c>
      <c r="I357" s="100"/>
      <c r="J357" s="104" t="s">
        <v>441</v>
      </c>
      <c r="K357" s="101"/>
      <c r="L357" s="67"/>
      <c r="M357" s="101"/>
      <c r="N357" s="101"/>
      <c r="O357" s="101"/>
      <c r="P357" s="102"/>
      <c r="Q357" s="99"/>
      <c r="R357" s="103"/>
      <c r="S357" s="99"/>
      <c r="T357" s="103"/>
      <c r="U357" s="103"/>
      <c r="V357" s="103"/>
      <c r="W357" s="103"/>
      <c r="X357" s="103"/>
      <c r="Y357" s="103"/>
      <c r="Z357" s="103"/>
      <c r="AA357" s="103"/>
      <c r="AB357" s="103"/>
      <c r="AC357" s="103"/>
      <c r="AD357" s="103"/>
      <c r="AE357" s="103"/>
    </row>
    <row r="358" ht="15.75" customHeight="1">
      <c r="A358" s="40">
        <f t="shared" si="13"/>
        <v>353</v>
      </c>
      <c r="B358" s="40" t="str">
        <f t="shared" si="14"/>
        <v>ADS-353</v>
      </c>
      <c r="C358" s="104" t="s">
        <v>104</v>
      </c>
      <c r="D358" s="63" t="s">
        <v>836</v>
      </c>
      <c r="E358" s="106" t="s">
        <v>837</v>
      </c>
      <c r="F358" s="99"/>
      <c r="G358" s="104" t="s">
        <v>135</v>
      </c>
      <c r="H358" s="100" t="s">
        <v>134</v>
      </c>
      <c r="I358" s="100"/>
      <c r="J358" s="104" t="s">
        <v>441</v>
      </c>
      <c r="K358" s="101"/>
      <c r="L358" s="67"/>
      <c r="M358" s="101"/>
      <c r="N358" s="101"/>
      <c r="O358" s="101"/>
      <c r="P358" s="102"/>
      <c r="Q358" s="99"/>
      <c r="R358" s="103"/>
      <c r="S358" s="99"/>
      <c r="T358" s="103"/>
      <c r="U358" s="103"/>
      <c r="V358" s="103"/>
      <c r="W358" s="103"/>
      <c r="X358" s="103"/>
      <c r="Y358" s="103"/>
      <c r="Z358" s="103"/>
      <c r="AA358" s="103"/>
      <c r="AB358" s="103"/>
      <c r="AC358" s="103"/>
      <c r="AD358" s="103"/>
      <c r="AE358" s="103"/>
    </row>
    <row r="359" ht="15.75" customHeight="1">
      <c r="A359" s="40">
        <f t="shared" si="13"/>
        <v>354</v>
      </c>
      <c r="B359" s="40" t="str">
        <f t="shared" si="14"/>
        <v>ADS-354</v>
      </c>
      <c r="C359" s="104" t="s">
        <v>104</v>
      </c>
      <c r="D359" s="63" t="s">
        <v>838</v>
      </c>
      <c r="E359" s="106" t="s">
        <v>839</v>
      </c>
      <c r="F359" s="99"/>
      <c r="G359" s="104" t="s">
        <v>135</v>
      </c>
      <c r="H359" s="100" t="s">
        <v>134</v>
      </c>
      <c r="I359" s="100"/>
      <c r="J359" s="104" t="s">
        <v>441</v>
      </c>
      <c r="K359" s="101"/>
      <c r="L359" s="67"/>
      <c r="M359" s="101"/>
      <c r="N359" s="101"/>
      <c r="O359" s="101"/>
      <c r="P359" s="102"/>
      <c r="Q359" s="99"/>
      <c r="R359" s="103"/>
      <c r="S359" s="99"/>
      <c r="T359" s="103"/>
      <c r="U359" s="103"/>
      <c r="V359" s="103"/>
      <c r="W359" s="103"/>
      <c r="X359" s="103"/>
      <c r="Y359" s="103"/>
      <c r="Z359" s="103"/>
      <c r="AA359" s="103"/>
      <c r="AB359" s="103"/>
      <c r="AC359" s="103"/>
      <c r="AD359" s="103"/>
      <c r="AE359" s="103"/>
    </row>
    <row r="360" ht="15.75" customHeight="1">
      <c r="A360" s="40" t="str">
        <f t="shared" si="13"/>
        <v/>
      </c>
      <c r="B360" s="40" t="str">
        <f t="shared" si="14"/>
        <v/>
      </c>
      <c r="C360" s="101"/>
      <c r="D360" s="67"/>
      <c r="E360" s="99"/>
      <c r="F360" s="99"/>
      <c r="G360" s="101"/>
      <c r="H360" s="100"/>
      <c r="I360" s="100"/>
      <c r="J360" s="101"/>
      <c r="K360" s="101"/>
      <c r="L360" s="67"/>
      <c r="M360" s="101"/>
      <c r="N360" s="101"/>
      <c r="O360" s="101"/>
      <c r="P360" s="102"/>
      <c r="Q360" s="99"/>
      <c r="R360" s="103"/>
      <c r="S360" s="99"/>
      <c r="T360" s="103"/>
      <c r="U360" s="103"/>
      <c r="V360" s="103"/>
      <c r="W360" s="103"/>
      <c r="X360" s="103"/>
      <c r="Y360" s="103"/>
      <c r="Z360" s="103"/>
      <c r="AA360" s="103"/>
      <c r="AB360" s="103"/>
      <c r="AC360" s="103"/>
      <c r="AD360" s="103"/>
      <c r="AE360" s="103"/>
    </row>
    <row r="361" ht="15.75" customHeight="1">
      <c r="A361" s="40" t="str">
        <f t="shared" si="13"/>
        <v/>
      </c>
      <c r="B361" s="40" t="str">
        <f t="shared" si="14"/>
        <v/>
      </c>
      <c r="C361" s="101"/>
      <c r="D361" s="67"/>
      <c r="E361" s="99"/>
      <c r="F361" s="99"/>
      <c r="G361" s="101"/>
      <c r="H361" s="100"/>
      <c r="I361" s="100"/>
      <c r="J361" s="101"/>
      <c r="K361" s="101"/>
      <c r="L361" s="67"/>
      <c r="M361" s="101"/>
      <c r="N361" s="101"/>
      <c r="O361" s="101"/>
      <c r="P361" s="102"/>
      <c r="Q361" s="99"/>
      <c r="R361" s="103"/>
      <c r="S361" s="99"/>
      <c r="T361" s="103"/>
      <c r="U361" s="103"/>
      <c r="V361" s="103"/>
      <c r="W361" s="103"/>
      <c r="X361" s="103"/>
      <c r="Y361" s="103"/>
      <c r="Z361" s="103"/>
      <c r="AA361" s="103"/>
      <c r="AB361" s="103"/>
      <c r="AC361" s="103"/>
      <c r="AD361" s="103"/>
      <c r="AE361" s="103"/>
    </row>
    <row r="362" ht="15.75" customHeight="1">
      <c r="A362" s="40" t="str">
        <f t="shared" si="13"/>
        <v/>
      </c>
      <c r="B362" s="40" t="str">
        <f t="shared" si="14"/>
        <v/>
      </c>
      <c r="C362" s="101"/>
      <c r="D362" s="67"/>
      <c r="E362" s="99"/>
      <c r="F362" s="99"/>
      <c r="G362" s="101"/>
      <c r="H362" s="100"/>
      <c r="I362" s="100"/>
      <c r="J362" s="101"/>
      <c r="K362" s="101"/>
      <c r="L362" s="67"/>
      <c r="M362" s="101"/>
      <c r="N362" s="101"/>
      <c r="O362" s="101"/>
      <c r="P362" s="102"/>
      <c r="Q362" s="99"/>
      <c r="R362" s="103"/>
      <c r="S362" s="99"/>
      <c r="T362" s="103"/>
      <c r="U362" s="103"/>
      <c r="V362" s="103"/>
      <c r="W362" s="103"/>
      <c r="X362" s="103"/>
      <c r="Y362" s="103"/>
      <c r="Z362" s="103"/>
      <c r="AA362" s="103"/>
      <c r="AB362" s="103"/>
      <c r="AC362" s="103"/>
      <c r="AD362" s="103"/>
      <c r="AE362" s="103"/>
    </row>
    <row r="363" ht="15.75" customHeight="1">
      <c r="A363" s="40" t="str">
        <f t="shared" si="13"/>
        <v/>
      </c>
      <c r="B363" s="40" t="str">
        <f t="shared" si="14"/>
        <v/>
      </c>
      <c r="C363" s="101"/>
      <c r="D363" s="67"/>
      <c r="E363" s="99"/>
      <c r="F363" s="99"/>
      <c r="G363" s="101"/>
      <c r="H363" s="100"/>
      <c r="I363" s="100"/>
      <c r="J363" s="101"/>
      <c r="K363" s="101"/>
      <c r="L363" s="67"/>
      <c r="M363" s="101"/>
      <c r="N363" s="101"/>
      <c r="O363" s="101"/>
      <c r="P363" s="102"/>
      <c r="Q363" s="99"/>
      <c r="R363" s="103"/>
      <c r="S363" s="99"/>
      <c r="T363" s="103"/>
      <c r="U363" s="103"/>
      <c r="V363" s="103"/>
      <c r="W363" s="103"/>
      <c r="X363" s="103"/>
      <c r="Y363" s="103"/>
      <c r="Z363" s="103"/>
      <c r="AA363" s="103"/>
      <c r="AB363" s="103"/>
      <c r="AC363" s="103"/>
      <c r="AD363" s="103"/>
      <c r="AE363" s="103"/>
    </row>
    <row r="364" ht="15.75" customHeight="1">
      <c r="A364" s="40" t="str">
        <f t="shared" si="13"/>
        <v/>
      </c>
      <c r="B364" s="40" t="str">
        <f t="shared" si="14"/>
        <v/>
      </c>
      <c r="C364" s="101"/>
      <c r="D364" s="67"/>
      <c r="E364" s="99"/>
      <c r="F364" s="99"/>
      <c r="G364" s="101"/>
      <c r="H364" s="100"/>
      <c r="I364" s="100"/>
      <c r="J364" s="101"/>
      <c r="K364" s="101"/>
      <c r="L364" s="67"/>
      <c r="M364" s="101"/>
      <c r="N364" s="101"/>
      <c r="O364" s="101"/>
      <c r="P364" s="102"/>
      <c r="Q364" s="99"/>
      <c r="R364" s="103"/>
      <c r="S364" s="99"/>
      <c r="T364" s="103"/>
      <c r="U364" s="103"/>
      <c r="V364" s="103"/>
      <c r="W364" s="103"/>
      <c r="X364" s="103"/>
      <c r="Y364" s="103"/>
      <c r="Z364" s="103"/>
      <c r="AA364" s="103"/>
      <c r="AB364" s="103"/>
      <c r="AC364" s="103"/>
      <c r="AD364" s="103"/>
      <c r="AE364" s="103"/>
    </row>
    <row r="365" ht="15.75" customHeight="1">
      <c r="A365" s="40" t="str">
        <f t="shared" si="13"/>
        <v/>
      </c>
      <c r="B365" s="40" t="str">
        <f t="shared" si="14"/>
        <v/>
      </c>
      <c r="C365" s="101"/>
      <c r="D365" s="67"/>
      <c r="E365" s="99"/>
      <c r="F365" s="99"/>
      <c r="G365" s="101"/>
      <c r="H365" s="100"/>
      <c r="I365" s="100"/>
      <c r="J365" s="101"/>
      <c r="K365" s="101"/>
      <c r="L365" s="67"/>
      <c r="M365" s="101"/>
      <c r="N365" s="101"/>
      <c r="O365" s="101"/>
      <c r="P365" s="102"/>
      <c r="Q365" s="99"/>
      <c r="R365" s="103"/>
      <c r="S365" s="99"/>
      <c r="T365" s="103"/>
      <c r="U365" s="103"/>
      <c r="V365" s="103"/>
      <c r="W365" s="103"/>
      <c r="X365" s="103"/>
      <c r="Y365" s="103"/>
      <c r="Z365" s="103"/>
      <c r="AA365" s="103"/>
      <c r="AB365" s="103"/>
      <c r="AC365" s="103"/>
      <c r="AD365" s="103"/>
      <c r="AE365" s="103"/>
    </row>
    <row r="366" ht="15.75" customHeight="1">
      <c r="A366" s="40" t="str">
        <f t="shared" si="13"/>
        <v/>
      </c>
      <c r="B366" s="40" t="str">
        <f t="shared" si="14"/>
        <v/>
      </c>
      <c r="C366" s="101"/>
      <c r="D366" s="67"/>
      <c r="E366" s="99"/>
      <c r="F366" s="99"/>
      <c r="G366" s="101"/>
      <c r="H366" s="100"/>
      <c r="I366" s="100"/>
      <c r="J366" s="101"/>
      <c r="K366" s="101"/>
      <c r="L366" s="67"/>
      <c r="M366" s="101"/>
      <c r="N366" s="101"/>
      <c r="O366" s="101"/>
      <c r="P366" s="102"/>
      <c r="Q366" s="99"/>
      <c r="R366" s="103"/>
      <c r="S366" s="99"/>
      <c r="T366" s="103"/>
      <c r="U366" s="103"/>
      <c r="V366" s="103"/>
      <c r="W366" s="103"/>
      <c r="X366" s="103"/>
      <c r="Y366" s="103"/>
      <c r="Z366" s="103"/>
      <c r="AA366" s="103"/>
      <c r="AB366" s="103"/>
      <c r="AC366" s="103"/>
      <c r="AD366" s="103"/>
      <c r="AE366" s="103"/>
    </row>
    <row r="367" ht="15.75" customHeight="1">
      <c r="A367" s="40" t="str">
        <f t="shared" si="13"/>
        <v/>
      </c>
      <c r="B367" s="40" t="str">
        <f t="shared" si="14"/>
        <v/>
      </c>
      <c r="C367" s="101"/>
      <c r="D367" s="67"/>
      <c r="E367" s="99"/>
      <c r="F367" s="99"/>
      <c r="G367" s="101"/>
      <c r="H367" s="100"/>
      <c r="I367" s="100"/>
      <c r="J367" s="101"/>
      <c r="K367" s="101"/>
      <c r="L367" s="67"/>
      <c r="M367" s="101"/>
      <c r="N367" s="101"/>
      <c r="O367" s="101"/>
      <c r="P367" s="102"/>
      <c r="Q367" s="99"/>
      <c r="R367" s="103"/>
      <c r="S367" s="99"/>
      <c r="T367" s="103"/>
      <c r="U367" s="103"/>
      <c r="V367" s="103"/>
      <c r="W367" s="103"/>
      <c r="X367" s="103"/>
      <c r="Y367" s="103"/>
      <c r="Z367" s="103"/>
      <c r="AA367" s="103"/>
      <c r="AB367" s="103"/>
      <c r="AC367" s="103"/>
      <c r="AD367" s="103"/>
      <c r="AE367" s="103"/>
    </row>
    <row r="368" ht="15.75" customHeight="1">
      <c r="A368" s="40" t="str">
        <f t="shared" si="13"/>
        <v/>
      </c>
      <c r="B368" s="40" t="str">
        <f t="shared" si="14"/>
        <v/>
      </c>
      <c r="C368" s="101"/>
      <c r="D368" s="67"/>
      <c r="E368" s="99"/>
      <c r="F368" s="99"/>
      <c r="G368" s="101"/>
      <c r="H368" s="100"/>
      <c r="I368" s="100"/>
      <c r="J368" s="101"/>
      <c r="K368" s="101"/>
      <c r="L368" s="67"/>
      <c r="M368" s="101"/>
      <c r="N368" s="101"/>
      <c r="O368" s="101"/>
      <c r="P368" s="102"/>
      <c r="Q368" s="99"/>
      <c r="R368" s="103"/>
      <c r="S368" s="99"/>
      <c r="T368" s="103"/>
      <c r="U368" s="103"/>
      <c r="V368" s="103"/>
      <c r="W368" s="103"/>
      <c r="X368" s="103"/>
      <c r="Y368" s="103"/>
      <c r="Z368" s="103"/>
      <c r="AA368" s="103"/>
      <c r="AB368" s="103"/>
      <c r="AC368" s="103"/>
      <c r="AD368" s="103"/>
      <c r="AE368" s="103"/>
    </row>
    <row r="369" ht="15.75" customHeight="1">
      <c r="A369" s="40" t="str">
        <f t="shared" si="13"/>
        <v/>
      </c>
      <c r="B369" s="40" t="str">
        <f t="shared" si="14"/>
        <v/>
      </c>
      <c r="C369" s="101"/>
      <c r="D369" s="67"/>
      <c r="E369" s="99"/>
      <c r="F369" s="99"/>
      <c r="G369" s="101"/>
      <c r="H369" s="100"/>
      <c r="I369" s="100"/>
      <c r="J369" s="101"/>
      <c r="K369" s="101"/>
      <c r="L369" s="67"/>
      <c r="M369" s="101"/>
      <c r="N369" s="101"/>
      <c r="O369" s="101"/>
      <c r="P369" s="102"/>
      <c r="Q369" s="99"/>
      <c r="R369" s="103"/>
      <c r="S369" s="99"/>
      <c r="T369" s="103"/>
      <c r="U369" s="103"/>
      <c r="V369" s="103"/>
      <c r="W369" s="103"/>
      <c r="X369" s="103"/>
      <c r="Y369" s="103"/>
      <c r="Z369" s="103"/>
      <c r="AA369" s="103"/>
      <c r="AB369" s="103"/>
      <c r="AC369" s="103"/>
      <c r="AD369" s="103"/>
      <c r="AE369" s="103"/>
    </row>
    <row r="370" ht="15.75" customHeight="1">
      <c r="A370" s="40">
        <f t="shared" si="13"/>
        <v>365</v>
      </c>
      <c r="B370" s="40" t="str">
        <f t="shared" si="14"/>
        <v>ADS-365</v>
      </c>
      <c r="C370" s="104" t="s">
        <v>84</v>
      </c>
      <c r="D370" s="63" t="s">
        <v>847</v>
      </c>
      <c r="E370" s="106" t="s">
        <v>848</v>
      </c>
      <c r="F370" s="99"/>
      <c r="G370" s="104" t="s">
        <v>152</v>
      </c>
      <c r="H370" s="100" t="s">
        <v>151</v>
      </c>
      <c r="I370" s="100"/>
      <c r="J370" s="104" t="s">
        <v>89</v>
      </c>
      <c r="K370" s="106" t="s">
        <v>849</v>
      </c>
      <c r="L370" s="67"/>
      <c r="M370" s="101"/>
      <c r="N370" s="101"/>
      <c r="O370" s="104" t="s">
        <v>143</v>
      </c>
      <c r="P370" s="102"/>
      <c r="Q370" s="106" t="s">
        <v>650</v>
      </c>
      <c r="R370" s="127" t="s">
        <v>150</v>
      </c>
      <c r="S370" s="106" t="s">
        <v>850</v>
      </c>
      <c r="T370" s="103"/>
      <c r="U370" s="103"/>
      <c r="V370" s="103"/>
      <c r="W370" s="103"/>
      <c r="X370" s="103"/>
      <c r="Y370" s="103"/>
      <c r="Z370" s="103"/>
      <c r="AA370" s="103"/>
      <c r="AB370" s="103"/>
      <c r="AC370" s="103"/>
      <c r="AD370" s="103"/>
      <c r="AE370" s="103"/>
    </row>
    <row r="371" ht="15.75" customHeight="1">
      <c r="A371" s="40">
        <f t="shared" si="13"/>
        <v>366</v>
      </c>
      <c r="B371" s="40" t="str">
        <f t="shared" si="14"/>
        <v>ADS-366</v>
      </c>
      <c r="C371" s="104" t="s">
        <v>84</v>
      </c>
      <c r="D371" s="63" t="s">
        <v>854</v>
      </c>
      <c r="E371" s="106" t="s">
        <v>855</v>
      </c>
      <c r="F371" s="99"/>
      <c r="G371" s="104" t="s">
        <v>152</v>
      </c>
      <c r="H371" s="100" t="s">
        <v>151</v>
      </c>
      <c r="I371" s="100"/>
      <c r="J371" s="104" t="s">
        <v>89</v>
      </c>
      <c r="K371" s="106" t="s">
        <v>856</v>
      </c>
      <c r="L371" s="67"/>
      <c r="M371" s="101"/>
      <c r="N371" s="101"/>
      <c r="O371" s="104" t="s">
        <v>92</v>
      </c>
      <c r="P371" s="102"/>
      <c r="Q371" s="106" t="s">
        <v>650</v>
      </c>
      <c r="R371" s="127" t="s">
        <v>150</v>
      </c>
      <c r="S371" s="106" t="s">
        <v>850</v>
      </c>
      <c r="T371" s="103"/>
      <c r="U371" s="103"/>
      <c r="V371" s="103"/>
      <c r="W371" s="103"/>
      <c r="X371" s="103"/>
      <c r="Y371" s="103"/>
      <c r="Z371" s="103"/>
      <c r="AA371" s="103"/>
      <c r="AB371" s="103"/>
      <c r="AC371" s="103"/>
      <c r="AD371" s="103"/>
      <c r="AE371" s="103"/>
    </row>
    <row r="372" ht="15.75" customHeight="1">
      <c r="A372" s="40">
        <f t="shared" si="13"/>
        <v>367</v>
      </c>
      <c r="B372" s="40" t="str">
        <f t="shared" si="14"/>
        <v>ADS-367</v>
      </c>
      <c r="C372" s="104" t="s">
        <v>84</v>
      </c>
      <c r="D372" s="63" t="s">
        <v>857</v>
      </c>
      <c r="E372" s="106" t="s">
        <v>858</v>
      </c>
      <c r="F372" s="99"/>
      <c r="G372" s="104" t="s">
        <v>152</v>
      </c>
      <c r="H372" s="100" t="s">
        <v>151</v>
      </c>
      <c r="I372" s="100"/>
      <c r="J372" s="104" t="s">
        <v>89</v>
      </c>
      <c r="K372" s="106" t="s">
        <v>849</v>
      </c>
      <c r="L372" s="67"/>
      <c r="M372" s="101"/>
      <c r="N372" s="101"/>
      <c r="O372" s="104" t="s">
        <v>143</v>
      </c>
      <c r="P372" s="102"/>
      <c r="Q372" s="106" t="s">
        <v>650</v>
      </c>
      <c r="R372" s="127" t="s">
        <v>150</v>
      </c>
      <c r="S372" s="106" t="s">
        <v>850</v>
      </c>
      <c r="T372" s="103"/>
      <c r="U372" s="103"/>
      <c r="V372" s="103"/>
      <c r="W372" s="103"/>
      <c r="X372" s="103"/>
      <c r="Y372" s="103"/>
      <c r="Z372" s="103"/>
      <c r="AA372" s="103"/>
      <c r="AB372" s="103"/>
      <c r="AC372" s="103"/>
      <c r="AD372" s="103"/>
      <c r="AE372" s="103"/>
    </row>
    <row r="373" ht="15.75" customHeight="1">
      <c r="A373" s="40">
        <f t="shared" si="13"/>
        <v>368</v>
      </c>
      <c r="B373" s="40" t="str">
        <f t="shared" si="14"/>
        <v>ADS-368</v>
      </c>
      <c r="C373" s="104" t="s">
        <v>84</v>
      </c>
      <c r="D373" s="63" t="s">
        <v>859</v>
      </c>
      <c r="E373" s="106" t="s">
        <v>860</v>
      </c>
      <c r="F373" s="99"/>
      <c r="G373" s="104" t="s">
        <v>152</v>
      </c>
      <c r="H373" s="100" t="s">
        <v>151</v>
      </c>
      <c r="I373" s="100"/>
      <c r="J373" s="104" t="s">
        <v>89</v>
      </c>
      <c r="K373" s="106" t="s">
        <v>856</v>
      </c>
      <c r="L373" s="67"/>
      <c r="M373" s="101"/>
      <c r="N373" s="101"/>
      <c r="O373" s="104" t="s">
        <v>92</v>
      </c>
      <c r="P373" s="102"/>
      <c r="Q373" s="106" t="s">
        <v>650</v>
      </c>
      <c r="R373" s="127" t="s">
        <v>150</v>
      </c>
      <c r="S373" s="106" t="s">
        <v>861</v>
      </c>
      <c r="T373" s="103"/>
      <c r="U373" s="103"/>
      <c r="V373" s="103"/>
      <c r="W373" s="103"/>
      <c r="X373" s="103"/>
      <c r="Y373" s="103"/>
      <c r="Z373" s="103"/>
      <c r="AA373" s="103"/>
      <c r="AB373" s="103"/>
      <c r="AC373" s="103"/>
      <c r="AD373" s="103"/>
      <c r="AE373" s="103"/>
    </row>
    <row r="374" ht="15.75" customHeight="1">
      <c r="A374" s="40">
        <f t="shared" si="13"/>
        <v>369</v>
      </c>
      <c r="B374" s="40" t="str">
        <f t="shared" si="14"/>
        <v>ADS-369</v>
      </c>
      <c r="C374" s="104" t="s">
        <v>84</v>
      </c>
      <c r="D374" s="63" t="s">
        <v>864</v>
      </c>
      <c r="E374" s="106" t="s">
        <v>866</v>
      </c>
      <c r="F374" s="99"/>
      <c r="G374" s="104" t="s">
        <v>152</v>
      </c>
      <c r="H374" s="100" t="s">
        <v>151</v>
      </c>
      <c r="I374" s="100"/>
      <c r="J374" s="104" t="s">
        <v>89</v>
      </c>
      <c r="K374" s="106" t="s">
        <v>856</v>
      </c>
      <c r="L374" s="67"/>
      <c r="M374" s="101"/>
      <c r="N374" s="101"/>
      <c r="O374" s="104" t="s">
        <v>92</v>
      </c>
      <c r="P374" s="102"/>
      <c r="Q374" s="106" t="s">
        <v>650</v>
      </c>
      <c r="R374" s="127" t="s">
        <v>150</v>
      </c>
      <c r="S374" s="106" t="s">
        <v>861</v>
      </c>
      <c r="T374" s="103"/>
      <c r="U374" s="103"/>
      <c r="V374" s="103"/>
      <c r="W374" s="103"/>
      <c r="X374" s="103"/>
      <c r="Y374" s="103"/>
      <c r="Z374" s="103"/>
      <c r="AA374" s="103"/>
      <c r="AB374" s="103"/>
      <c r="AC374" s="103"/>
      <c r="AD374" s="103"/>
      <c r="AE374" s="103"/>
    </row>
    <row r="375" ht="15.75" customHeight="1">
      <c r="A375" s="40">
        <f t="shared" si="13"/>
        <v>370</v>
      </c>
      <c r="B375" s="40" t="str">
        <f t="shared" si="14"/>
        <v>ADS-370</v>
      </c>
      <c r="C375" s="104" t="s">
        <v>84</v>
      </c>
      <c r="D375" s="63" t="s">
        <v>867</v>
      </c>
      <c r="E375" s="106" t="s">
        <v>868</v>
      </c>
      <c r="F375" s="99"/>
      <c r="G375" s="104" t="s">
        <v>152</v>
      </c>
      <c r="H375" s="100" t="s">
        <v>151</v>
      </c>
      <c r="I375" s="100"/>
      <c r="J375" s="104" t="s">
        <v>89</v>
      </c>
      <c r="K375" s="106" t="s">
        <v>849</v>
      </c>
      <c r="L375" s="67"/>
      <c r="M375" s="101"/>
      <c r="N375" s="101"/>
      <c r="O375" s="104" t="s">
        <v>143</v>
      </c>
      <c r="P375" s="102"/>
      <c r="Q375" s="106" t="s">
        <v>650</v>
      </c>
      <c r="R375" s="127" t="s">
        <v>150</v>
      </c>
      <c r="S375" s="106" t="s">
        <v>861</v>
      </c>
      <c r="T375" s="103"/>
      <c r="U375" s="103"/>
      <c r="V375" s="103"/>
      <c r="W375" s="103"/>
      <c r="X375" s="103"/>
      <c r="Y375" s="103"/>
      <c r="Z375" s="103"/>
      <c r="AA375" s="103"/>
      <c r="AB375" s="103"/>
      <c r="AC375" s="103"/>
      <c r="AD375" s="103"/>
      <c r="AE375" s="103"/>
    </row>
    <row r="376" ht="15.75" customHeight="1">
      <c r="A376" s="40" t="str">
        <f t="shared" si="13"/>
        <v/>
      </c>
      <c r="B376" s="40" t="str">
        <f t="shared" si="14"/>
        <v/>
      </c>
      <c r="C376" s="101"/>
      <c r="D376" s="67"/>
      <c r="E376" s="99"/>
      <c r="F376" s="99"/>
      <c r="G376" s="104" t="s">
        <v>152</v>
      </c>
      <c r="H376" s="100" t="s">
        <v>151</v>
      </c>
      <c r="I376" s="100"/>
      <c r="J376" s="101"/>
      <c r="K376" s="101"/>
      <c r="L376" s="67"/>
      <c r="M376" s="101"/>
      <c r="N376" s="101"/>
      <c r="O376" s="101"/>
      <c r="P376" s="102"/>
      <c r="Q376" s="99"/>
      <c r="R376" s="103"/>
      <c r="S376" s="99"/>
      <c r="T376" s="103"/>
      <c r="U376" s="103"/>
      <c r="V376" s="103"/>
      <c r="W376" s="103"/>
      <c r="X376" s="103"/>
      <c r="Y376" s="103"/>
      <c r="Z376" s="103"/>
      <c r="AA376" s="103"/>
      <c r="AB376" s="103"/>
      <c r="AC376" s="103"/>
      <c r="AD376" s="103"/>
      <c r="AE376" s="103"/>
    </row>
    <row r="377" ht="15.75" customHeight="1">
      <c r="A377" s="40" t="str">
        <f t="shared" si="13"/>
        <v/>
      </c>
      <c r="B377" s="40" t="str">
        <f t="shared" si="14"/>
        <v/>
      </c>
      <c r="C377" s="101"/>
      <c r="D377" s="67"/>
      <c r="E377" s="99"/>
      <c r="F377" s="99"/>
      <c r="G377" s="104" t="s">
        <v>152</v>
      </c>
      <c r="H377" s="100" t="s">
        <v>151</v>
      </c>
      <c r="I377" s="100"/>
      <c r="J377" s="101"/>
      <c r="K377" s="101"/>
      <c r="L377" s="67"/>
      <c r="M377" s="101"/>
      <c r="N377" s="101"/>
      <c r="O377" s="101"/>
      <c r="P377" s="102"/>
      <c r="Q377" s="99"/>
      <c r="R377" s="103"/>
      <c r="S377" s="99"/>
      <c r="T377" s="103"/>
      <c r="U377" s="103"/>
      <c r="V377" s="103"/>
      <c r="W377" s="103"/>
      <c r="X377" s="103"/>
      <c r="Y377" s="103"/>
      <c r="Z377" s="103"/>
      <c r="AA377" s="103"/>
      <c r="AB377" s="103"/>
      <c r="AC377" s="103"/>
      <c r="AD377" s="103"/>
      <c r="AE377" s="103"/>
    </row>
    <row r="378" ht="15.75" customHeight="1">
      <c r="A378" s="40" t="str">
        <f t="shared" si="13"/>
        <v/>
      </c>
      <c r="B378" s="40" t="str">
        <f t="shared" si="14"/>
        <v/>
      </c>
      <c r="C378" s="101"/>
      <c r="D378" s="67"/>
      <c r="E378" s="99"/>
      <c r="F378" s="99"/>
      <c r="G378" s="104" t="s">
        <v>152</v>
      </c>
      <c r="H378" s="100" t="s">
        <v>151</v>
      </c>
      <c r="I378" s="100"/>
      <c r="J378" s="101"/>
      <c r="K378" s="101"/>
      <c r="L378" s="67"/>
      <c r="M378" s="101"/>
      <c r="N378" s="101"/>
      <c r="O378" s="101"/>
      <c r="P378" s="102"/>
      <c r="Q378" s="99"/>
      <c r="R378" s="103"/>
      <c r="S378" s="99"/>
      <c r="T378" s="103"/>
      <c r="U378" s="103"/>
      <c r="V378" s="103"/>
      <c r="W378" s="103"/>
      <c r="X378" s="103"/>
      <c r="Y378" s="103"/>
      <c r="Z378" s="103"/>
      <c r="AA378" s="103"/>
      <c r="AB378" s="103"/>
      <c r="AC378" s="103"/>
      <c r="AD378" s="103"/>
      <c r="AE378" s="103"/>
    </row>
    <row r="379" ht="15.75" customHeight="1">
      <c r="A379" s="40" t="str">
        <f t="shared" si="13"/>
        <v/>
      </c>
      <c r="B379" s="40" t="str">
        <f t="shared" si="14"/>
        <v/>
      </c>
      <c r="C379" s="101"/>
      <c r="D379" s="67"/>
      <c r="E379" s="99"/>
      <c r="F379" s="99"/>
      <c r="G379" s="104" t="s">
        <v>152</v>
      </c>
      <c r="H379" s="100" t="s">
        <v>151</v>
      </c>
      <c r="I379" s="100"/>
      <c r="J379" s="101"/>
      <c r="K379" s="101"/>
      <c r="L379" s="67"/>
      <c r="M379" s="101"/>
      <c r="N379" s="101"/>
      <c r="O379" s="101"/>
      <c r="P379" s="102"/>
      <c r="Q379" s="99"/>
      <c r="R379" s="103"/>
      <c r="S379" s="99"/>
      <c r="T379" s="103"/>
      <c r="U379" s="103"/>
      <c r="V379" s="103"/>
      <c r="W379" s="103"/>
      <c r="X379" s="103"/>
      <c r="Y379" s="103"/>
      <c r="Z379" s="103"/>
      <c r="AA379" s="103"/>
      <c r="AB379" s="103"/>
      <c r="AC379" s="103"/>
      <c r="AD379" s="103"/>
      <c r="AE379" s="103"/>
    </row>
    <row r="380" ht="15.75" customHeight="1">
      <c r="A380" s="40" t="str">
        <f t="shared" si="13"/>
        <v/>
      </c>
      <c r="B380" s="40" t="str">
        <f t="shared" si="14"/>
        <v/>
      </c>
      <c r="C380" s="101"/>
      <c r="D380" s="67"/>
      <c r="E380" s="99"/>
      <c r="F380" s="99"/>
      <c r="G380" s="104" t="s">
        <v>152</v>
      </c>
      <c r="H380" s="100" t="s">
        <v>151</v>
      </c>
      <c r="I380" s="100"/>
      <c r="J380" s="101"/>
      <c r="K380" s="101"/>
      <c r="L380" s="67"/>
      <c r="M380" s="101"/>
      <c r="N380" s="101"/>
      <c r="O380" s="101"/>
      <c r="P380" s="102"/>
      <c r="Q380" s="99"/>
      <c r="R380" s="103"/>
      <c r="S380" s="99"/>
      <c r="T380" s="103"/>
      <c r="U380" s="103"/>
      <c r="V380" s="103"/>
      <c r="W380" s="103"/>
      <c r="X380" s="103"/>
      <c r="Y380" s="103"/>
      <c r="Z380" s="103"/>
      <c r="AA380" s="103"/>
      <c r="AB380" s="103"/>
      <c r="AC380" s="103"/>
      <c r="AD380" s="103"/>
      <c r="AE380" s="103"/>
    </row>
    <row r="381" ht="15.75" customHeight="1">
      <c r="A381" s="40" t="str">
        <f t="shared" si="13"/>
        <v/>
      </c>
      <c r="B381" s="40" t="str">
        <f t="shared" si="14"/>
        <v/>
      </c>
      <c r="C381" s="101"/>
      <c r="D381" s="67"/>
      <c r="E381" s="99"/>
      <c r="F381" s="99"/>
      <c r="G381" s="104" t="s">
        <v>152</v>
      </c>
      <c r="H381" s="100" t="s">
        <v>151</v>
      </c>
      <c r="I381" s="100"/>
      <c r="J381" s="101"/>
      <c r="K381" s="101"/>
      <c r="L381" s="67"/>
      <c r="M381" s="101"/>
      <c r="N381" s="101"/>
      <c r="O381" s="101"/>
      <c r="P381" s="102"/>
      <c r="Q381" s="99"/>
      <c r="R381" s="103"/>
      <c r="S381" s="99"/>
      <c r="T381" s="103"/>
      <c r="U381" s="103"/>
      <c r="V381" s="103"/>
      <c r="W381" s="103"/>
      <c r="X381" s="103"/>
      <c r="Y381" s="103"/>
      <c r="Z381" s="103"/>
      <c r="AA381" s="103"/>
      <c r="AB381" s="103"/>
      <c r="AC381" s="103"/>
      <c r="AD381" s="103"/>
      <c r="AE381" s="103"/>
    </row>
    <row r="382" ht="15.75" customHeight="1">
      <c r="A382" s="40" t="str">
        <f t="shared" si="13"/>
        <v/>
      </c>
      <c r="B382" s="40" t="str">
        <f t="shared" si="14"/>
        <v/>
      </c>
      <c r="C382" s="101"/>
      <c r="D382" s="67"/>
      <c r="E382" s="99"/>
      <c r="F382" s="99"/>
      <c r="G382" s="104" t="s">
        <v>152</v>
      </c>
      <c r="H382" s="100" t="s">
        <v>151</v>
      </c>
      <c r="I382" s="100"/>
      <c r="J382" s="101"/>
      <c r="K382" s="101"/>
      <c r="L382" s="67"/>
      <c r="M382" s="101"/>
      <c r="N382" s="101"/>
      <c r="O382" s="101"/>
      <c r="P382" s="102"/>
      <c r="Q382" s="99"/>
      <c r="R382" s="103"/>
      <c r="S382" s="99"/>
      <c r="T382" s="103"/>
      <c r="U382" s="103"/>
      <c r="V382" s="103"/>
      <c r="W382" s="103"/>
      <c r="X382" s="103"/>
      <c r="Y382" s="103"/>
      <c r="Z382" s="103"/>
      <c r="AA382" s="103"/>
      <c r="AB382" s="103"/>
      <c r="AC382" s="103"/>
      <c r="AD382" s="103"/>
      <c r="AE382" s="103"/>
    </row>
    <row r="383" ht="15.75" customHeight="1">
      <c r="A383" s="40" t="str">
        <f t="shared" si="13"/>
        <v/>
      </c>
      <c r="B383" s="40" t="str">
        <f t="shared" si="14"/>
        <v/>
      </c>
      <c r="C383" s="101"/>
      <c r="D383" s="67"/>
      <c r="E383" s="99"/>
      <c r="F383" s="99"/>
      <c r="G383" s="104" t="s">
        <v>152</v>
      </c>
      <c r="H383" s="100" t="s">
        <v>151</v>
      </c>
      <c r="I383" s="100"/>
      <c r="J383" s="101"/>
      <c r="K383" s="101"/>
      <c r="L383" s="67"/>
      <c r="M383" s="101"/>
      <c r="N383" s="101"/>
      <c r="O383" s="101"/>
      <c r="P383" s="102"/>
      <c r="Q383" s="99"/>
      <c r="R383" s="103"/>
      <c r="S383" s="99"/>
      <c r="T383" s="103"/>
      <c r="U383" s="103"/>
      <c r="V383" s="103"/>
      <c r="W383" s="103"/>
      <c r="X383" s="103"/>
      <c r="Y383" s="103"/>
      <c r="Z383" s="103"/>
      <c r="AA383" s="103"/>
      <c r="AB383" s="103"/>
      <c r="AC383" s="103"/>
      <c r="AD383" s="103"/>
      <c r="AE383" s="103"/>
    </row>
    <row r="384" ht="15.75" customHeight="1">
      <c r="A384" s="40" t="str">
        <f t="shared" si="13"/>
        <v/>
      </c>
      <c r="B384" s="40" t="str">
        <f t="shared" si="14"/>
        <v/>
      </c>
      <c r="C384" s="101"/>
      <c r="D384" s="67"/>
      <c r="E384" s="99"/>
      <c r="F384" s="99"/>
      <c r="G384" s="104" t="s">
        <v>152</v>
      </c>
      <c r="H384" s="100" t="s">
        <v>151</v>
      </c>
      <c r="I384" s="100"/>
      <c r="J384" s="101"/>
      <c r="K384" s="101"/>
      <c r="L384" s="67"/>
      <c r="M384" s="101"/>
      <c r="N384" s="101"/>
      <c r="O384" s="101"/>
      <c r="P384" s="102"/>
      <c r="Q384" s="99"/>
      <c r="R384" s="103"/>
      <c r="S384" s="99"/>
      <c r="T384" s="103"/>
      <c r="U384" s="103"/>
      <c r="V384" s="103"/>
      <c r="W384" s="103"/>
      <c r="X384" s="103"/>
      <c r="Y384" s="103"/>
      <c r="Z384" s="103"/>
      <c r="AA384" s="103"/>
      <c r="AB384" s="103"/>
      <c r="AC384" s="103"/>
      <c r="AD384" s="103"/>
      <c r="AE384" s="103"/>
    </row>
    <row r="385" ht="15.75" customHeight="1">
      <c r="A385" s="40" t="str">
        <f t="shared" si="13"/>
        <v/>
      </c>
      <c r="B385" s="40" t="str">
        <f t="shared" si="14"/>
        <v/>
      </c>
      <c r="C385" s="101"/>
      <c r="D385" s="67"/>
      <c r="E385" s="99"/>
      <c r="F385" s="99"/>
      <c r="G385" s="104" t="s">
        <v>152</v>
      </c>
      <c r="H385" s="100" t="s">
        <v>151</v>
      </c>
      <c r="I385" s="100"/>
      <c r="J385" s="101"/>
      <c r="K385" s="101"/>
      <c r="L385" s="67"/>
      <c r="M385" s="101"/>
      <c r="N385" s="101"/>
      <c r="O385" s="101"/>
      <c r="P385" s="102"/>
      <c r="Q385" s="99"/>
      <c r="R385" s="103"/>
      <c r="S385" s="99"/>
      <c r="T385" s="103"/>
      <c r="U385" s="103"/>
      <c r="V385" s="103"/>
      <c r="W385" s="103"/>
      <c r="X385" s="103"/>
      <c r="Y385" s="103"/>
      <c r="Z385" s="103"/>
      <c r="AA385" s="103"/>
      <c r="AB385" s="103"/>
      <c r="AC385" s="103"/>
      <c r="AD385" s="103"/>
      <c r="AE385" s="103"/>
    </row>
    <row r="386" ht="15.75" customHeight="1">
      <c r="A386" s="40" t="str">
        <f t="shared" si="13"/>
        <v/>
      </c>
      <c r="B386" s="40" t="str">
        <f t="shared" si="14"/>
        <v/>
      </c>
      <c r="C386" s="101"/>
      <c r="D386" s="67"/>
      <c r="E386" s="99"/>
      <c r="F386" s="99"/>
      <c r="G386" s="104" t="s">
        <v>152</v>
      </c>
      <c r="H386" s="100" t="s">
        <v>151</v>
      </c>
      <c r="I386" s="100"/>
      <c r="J386" s="101"/>
      <c r="K386" s="101"/>
      <c r="L386" s="67"/>
      <c r="M386" s="101"/>
      <c r="N386" s="101"/>
      <c r="O386" s="101"/>
      <c r="P386" s="102"/>
      <c r="Q386" s="99"/>
      <c r="R386" s="103"/>
      <c r="S386" s="99"/>
      <c r="T386" s="103"/>
      <c r="U386" s="103"/>
      <c r="V386" s="103"/>
      <c r="W386" s="103"/>
      <c r="X386" s="103"/>
      <c r="Y386" s="103"/>
      <c r="Z386" s="103"/>
      <c r="AA386" s="103"/>
      <c r="AB386" s="103"/>
      <c r="AC386" s="103"/>
      <c r="AD386" s="103"/>
      <c r="AE386" s="103"/>
    </row>
    <row r="387" ht="15.75" customHeight="1">
      <c r="A387" s="40" t="str">
        <f t="shared" si="13"/>
        <v/>
      </c>
      <c r="B387" s="40" t="str">
        <f t="shared" si="14"/>
        <v/>
      </c>
      <c r="C387" s="101"/>
      <c r="D387" s="67"/>
      <c r="E387" s="99"/>
      <c r="F387" s="99"/>
      <c r="G387" s="104" t="s">
        <v>152</v>
      </c>
      <c r="H387" s="100" t="s">
        <v>151</v>
      </c>
      <c r="I387" s="100"/>
      <c r="J387" s="101"/>
      <c r="K387" s="101"/>
      <c r="L387" s="67"/>
      <c r="M387" s="101"/>
      <c r="N387" s="101"/>
      <c r="O387" s="101"/>
      <c r="P387" s="102"/>
      <c r="Q387" s="99"/>
      <c r="R387" s="103"/>
      <c r="S387" s="99"/>
      <c r="T387" s="103"/>
      <c r="U387" s="103"/>
      <c r="V387" s="103"/>
      <c r="W387" s="103"/>
      <c r="X387" s="103"/>
      <c r="Y387" s="103"/>
      <c r="Z387" s="103"/>
      <c r="AA387" s="103"/>
      <c r="AB387" s="103"/>
      <c r="AC387" s="103"/>
      <c r="AD387" s="103"/>
      <c r="AE387" s="103"/>
    </row>
    <row r="388" ht="15.75" customHeight="1">
      <c r="A388" s="40" t="str">
        <f t="shared" si="13"/>
        <v/>
      </c>
      <c r="B388" s="40" t="str">
        <f t="shared" si="14"/>
        <v/>
      </c>
      <c r="C388" s="101"/>
      <c r="D388" s="67"/>
      <c r="E388" s="99"/>
      <c r="F388" s="99"/>
      <c r="G388" s="101"/>
      <c r="H388" s="100"/>
      <c r="I388" s="100"/>
      <c r="J388" s="101"/>
      <c r="K388" s="101"/>
      <c r="L388" s="67"/>
      <c r="M388" s="101"/>
      <c r="N388" s="101"/>
      <c r="O388" s="101"/>
      <c r="P388" s="102"/>
      <c r="Q388" s="99"/>
      <c r="R388" s="103"/>
      <c r="S388" s="99"/>
      <c r="T388" s="103"/>
      <c r="U388" s="103"/>
      <c r="V388" s="103"/>
      <c r="W388" s="103"/>
      <c r="X388" s="103"/>
      <c r="Y388" s="103"/>
      <c r="Z388" s="103"/>
      <c r="AA388" s="103"/>
      <c r="AB388" s="103"/>
      <c r="AC388" s="103"/>
      <c r="AD388" s="103"/>
      <c r="AE388" s="103"/>
    </row>
    <row r="389" ht="15.75" customHeight="1">
      <c r="A389" s="40" t="str">
        <f t="shared" si="13"/>
        <v/>
      </c>
      <c r="B389" s="40" t="str">
        <f t="shared" si="14"/>
        <v/>
      </c>
      <c r="C389" s="101"/>
      <c r="D389" s="67"/>
      <c r="E389" s="99"/>
      <c r="F389" s="99"/>
      <c r="G389" s="101"/>
      <c r="H389" s="100"/>
      <c r="I389" s="100"/>
      <c r="J389" s="101"/>
      <c r="K389" s="101"/>
      <c r="L389" s="67"/>
      <c r="M389" s="101"/>
      <c r="N389" s="101"/>
      <c r="O389" s="101"/>
      <c r="P389" s="102"/>
      <c r="Q389" s="99"/>
      <c r="R389" s="103"/>
      <c r="S389" s="99"/>
      <c r="T389" s="103"/>
      <c r="U389" s="103"/>
      <c r="V389" s="103"/>
      <c r="W389" s="103"/>
      <c r="X389" s="103"/>
      <c r="Y389" s="103"/>
      <c r="Z389" s="103"/>
      <c r="AA389" s="103"/>
      <c r="AB389" s="103"/>
      <c r="AC389" s="103"/>
      <c r="AD389" s="103"/>
      <c r="AE389" s="103"/>
    </row>
    <row r="390" ht="15.75" customHeight="1">
      <c r="A390" s="40" t="str">
        <f t="shared" si="13"/>
        <v/>
      </c>
      <c r="B390" s="40" t="str">
        <f t="shared" si="14"/>
        <v/>
      </c>
      <c r="C390" s="101"/>
      <c r="D390" s="67"/>
      <c r="E390" s="99"/>
      <c r="F390" s="99"/>
      <c r="G390" s="101"/>
      <c r="H390" s="100"/>
      <c r="I390" s="100"/>
      <c r="J390" s="101"/>
      <c r="K390" s="101"/>
      <c r="L390" s="67"/>
      <c r="M390" s="101"/>
      <c r="N390" s="101"/>
      <c r="O390" s="101"/>
      <c r="P390" s="102"/>
      <c r="Q390" s="99"/>
      <c r="R390" s="103"/>
      <c r="S390" s="99"/>
      <c r="T390" s="103"/>
      <c r="U390" s="103"/>
      <c r="V390" s="103"/>
      <c r="W390" s="103"/>
      <c r="X390" s="103"/>
      <c r="Y390" s="103"/>
      <c r="Z390" s="103"/>
      <c r="AA390" s="103"/>
      <c r="AB390" s="103"/>
      <c r="AC390" s="103"/>
      <c r="AD390" s="103"/>
      <c r="AE390" s="103"/>
    </row>
    <row r="391" ht="15.75" customHeight="1">
      <c r="A391" s="40" t="str">
        <f t="shared" si="13"/>
        <v/>
      </c>
      <c r="B391" s="40" t="str">
        <f t="shared" si="14"/>
        <v/>
      </c>
      <c r="C391" s="101"/>
      <c r="D391" s="67"/>
      <c r="E391" s="99"/>
      <c r="F391" s="99"/>
      <c r="G391" s="101"/>
      <c r="H391" s="100"/>
      <c r="I391" s="100"/>
      <c r="J391" s="101"/>
      <c r="K391" s="101"/>
      <c r="L391" s="67"/>
      <c r="M391" s="101"/>
      <c r="N391" s="101"/>
      <c r="O391" s="101"/>
      <c r="P391" s="102"/>
      <c r="Q391" s="99"/>
      <c r="R391" s="103"/>
      <c r="S391" s="99"/>
      <c r="T391" s="103"/>
      <c r="U391" s="103"/>
      <c r="V391" s="103"/>
      <c r="W391" s="103"/>
      <c r="X391" s="103"/>
      <c r="Y391" s="103"/>
      <c r="Z391" s="103"/>
      <c r="AA391" s="103"/>
      <c r="AB391" s="103"/>
      <c r="AC391" s="103"/>
      <c r="AD391" s="103"/>
      <c r="AE391" s="103"/>
    </row>
    <row r="392" ht="15.75" customHeight="1">
      <c r="A392" s="40" t="str">
        <f t="shared" si="13"/>
        <v/>
      </c>
      <c r="B392" s="40" t="str">
        <f t="shared" si="14"/>
        <v/>
      </c>
      <c r="C392" s="101"/>
      <c r="D392" s="67"/>
      <c r="E392" s="99"/>
      <c r="F392" s="99"/>
      <c r="G392" s="101"/>
      <c r="H392" s="100"/>
      <c r="I392" s="100"/>
      <c r="J392" s="101"/>
      <c r="K392" s="101"/>
      <c r="L392" s="67"/>
      <c r="M392" s="101"/>
      <c r="N392" s="101"/>
      <c r="O392" s="101"/>
      <c r="P392" s="102"/>
      <c r="Q392" s="99"/>
      <c r="R392" s="103"/>
      <c r="S392" s="99"/>
      <c r="T392" s="103"/>
      <c r="U392" s="103"/>
      <c r="V392" s="103"/>
      <c r="W392" s="103"/>
      <c r="X392" s="103"/>
      <c r="Y392" s="103"/>
      <c r="Z392" s="103"/>
      <c r="AA392" s="103"/>
      <c r="AB392" s="103"/>
      <c r="AC392" s="103"/>
      <c r="AD392" s="103"/>
      <c r="AE392" s="103"/>
    </row>
    <row r="393" ht="15.75" customHeight="1">
      <c r="A393" s="40" t="str">
        <f t="shared" si="13"/>
        <v/>
      </c>
      <c r="B393" s="40" t="str">
        <f t="shared" si="14"/>
        <v/>
      </c>
      <c r="C393" s="101"/>
      <c r="D393" s="67"/>
      <c r="E393" s="99"/>
      <c r="F393" s="99"/>
      <c r="G393" s="101"/>
      <c r="H393" s="100"/>
      <c r="I393" s="100"/>
      <c r="J393" s="101"/>
      <c r="K393" s="101"/>
      <c r="L393" s="67"/>
      <c r="M393" s="101"/>
      <c r="N393" s="101"/>
      <c r="O393" s="101"/>
      <c r="P393" s="102"/>
      <c r="Q393" s="99"/>
      <c r="R393" s="103"/>
      <c r="S393" s="99"/>
      <c r="T393" s="103"/>
      <c r="U393" s="103"/>
      <c r="V393" s="103"/>
      <c r="W393" s="103"/>
      <c r="X393" s="103"/>
      <c r="Y393" s="103"/>
      <c r="Z393" s="103"/>
      <c r="AA393" s="103"/>
      <c r="AB393" s="103"/>
      <c r="AC393" s="103"/>
      <c r="AD393" s="103"/>
      <c r="AE393" s="103"/>
    </row>
    <row r="394" ht="15.75" customHeight="1">
      <c r="A394" s="40" t="str">
        <f t="shared" si="13"/>
        <v/>
      </c>
      <c r="B394" s="40" t="str">
        <f t="shared" si="14"/>
        <v/>
      </c>
      <c r="C394" s="101"/>
      <c r="D394" s="67"/>
      <c r="E394" s="99"/>
      <c r="F394" s="99"/>
      <c r="G394" s="101"/>
      <c r="H394" s="100"/>
      <c r="I394" s="100"/>
      <c r="J394" s="101"/>
      <c r="K394" s="101"/>
      <c r="L394" s="67"/>
      <c r="M394" s="101"/>
      <c r="N394" s="101"/>
      <c r="O394" s="101"/>
      <c r="P394" s="102"/>
      <c r="Q394" s="99"/>
      <c r="R394" s="103"/>
      <c r="S394" s="99"/>
      <c r="T394" s="103"/>
      <c r="U394" s="103"/>
      <c r="V394" s="103"/>
      <c r="W394" s="103"/>
      <c r="X394" s="103"/>
      <c r="Y394" s="103"/>
      <c r="Z394" s="103"/>
      <c r="AA394" s="103"/>
      <c r="AB394" s="103"/>
      <c r="AC394" s="103"/>
      <c r="AD394" s="103"/>
      <c r="AE394" s="103"/>
    </row>
    <row r="395" ht="15.75" customHeight="1">
      <c r="A395" s="40" t="str">
        <f t="shared" si="13"/>
        <v/>
      </c>
      <c r="B395" s="40" t="str">
        <f t="shared" si="14"/>
        <v/>
      </c>
      <c r="C395" s="101"/>
      <c r="D395" s="67"/>
      <c r="E395" s="99"/>
      <c r="F395" s="99"/>
      <c r="G395" s="101"/>
      <c r="H395" s="100"/>
      <c r="I395" s="100"/>
      <c r="J395" s="101"/>
      <c r="K395" s="101"/>
      <c r="L395" s="67"/>
      <c r="M395" s="101"/>
      <c r="N395" s="101"/>
      <c r="O395" s="101"/>
      <c r="P395" s="102"/>
      <c r="Q395" s="99"/>
      <c r="R395" s="103"/>
      <c r="S395" s="99"/>
      <c r="T395" s="103"/>
      <c r="U395" s="103"/>
      <c r="V395" s="103"/>
      <c r="W395" s="103"/>
      <c r="X395" s="103"/>
      <c r="Y395" s="103"/>
      <c r="Z395" s="103"/>
      <c r="AA395" s="103"/>
      <c r="AB395" s="103"/>
      <c r="AC395" s="103"/>
      <c r="AD395" s="103"/>
      <c r="AE395" s="103"/>
    </row>
    <row r="396" ht="15.75" customHeight="1">
      <c r="A396" s="40" t="str">
        <f t="shared" si="13"/>
        <v/>
      </c>
      <c r="B396" s="40" t="str">
        <f t="shared" si="14"/>
        <v/>
      </c>
      <c r="C396" s="101"/>
      <c r="D396" s="67"/>
      <c r="E396" s="99"/>
      <c r="F396" s="99"/>
      <c r="G396" s="101"/>
      <c r="H396" s="100"/>
      <c r="I396" s="100"/>
      <c r="J396" s="101"/>
      <c r="K396" s="101"/>
      <c r="L396" s="67"/>
      <c r="M396" s="101"/>
      <c r="N396" s="101"/>
      <c r="O396" s="101"/>
      <c r="P396" s="102"/>
      <c r="Q396" s="99"/>
      <c r="R396" s="103"/>
      <c r="S396" s="99"/>
      <c r="T396" s="103"/>
      <c r="U396" s="103"/>
      <c r="V396" s="103"/>
      <c r="W396" s="103"/>
      <c r="X396" s="103"/>
      <c r="Y396" s="103"/>
      <c r="Z396" s="103"/>
      <c r="AA396" s="103"/>
      <c r="AB396" s="103"/>
      <c r="AC396" s="103"/>
      <c r="AD396" s="103"/>
      <c r="AE396" s="103"/>
    </row>
    <row r="397" ht="15.75" customHeight="1">
      <c r="A397" s="40" t="str">
        <f t="shared" si="13"/>
        <v/>
      </c>
      <c r="B397" s="40" t="str">
        <f t="shared" si="14"/>
        <v/>
      </c>
      <c r="C397" s="101"/>
      <c r="D397" s="67"/>
      <c r="E397" s="99"/>
      <c r="F397" s="99"/>
      <c r="G397" s="101"/>
      <c r="H397" s="100"/>
      <c r="I397" s="100"/>
      <c r="J397" s="101"/>
      <c r="K397" s="101"/>
      <c r="L397" s="67"/>
      <c r="M397" s="101"/>
      <c r="N397" s="101"/>
      <c r="O397" s="101"/>
      <c r="P397" s="102"/>
      <c r="Q397" s="99"/>
      <c r="R397" s="103"/>
      <c r="S397" s="99"/>
      <c r="T397" s="103"/>
      <c r="U397" s="103"/>
      <c r="V397" s="103"/>
      <c r="W397" s="103"/>
      <c r="X397" s="103"/>
      <c r="Y397" s="103"/>
      <c r="Z397" s="103"/>
      <c r="AA397" s="103"/>
      <c r="AB397" s="103"/>
      <c r="AC397" s="103"/>
      <c r="AD397" s="103"/>
      <c r="AE397" s="103"/>
    </row>
    <row r="398" ht="15.75" customHeight="1">
      <c r="A398" s="40" t="str">
        <f t="shared" si="13"/>
        <v/>
      </c>
      <c r="B398" s="40" t="str">
        <f t="shared" si="14"/>
        <v/>
      </c>
      <c r="C398" s="101"/>
      <c r="D398" s="67"/>
      <c r="E398" s="99"/>
      <c r="F398" s="99"/>
      <c r="G398" s="101"/>
      <c r="H398" s="100"/>
      <c r="I398" s="100"/>
      <c r="J398" s="101"/>
      <c r="K398" s="101"/>
      <c r="L398" s="67"/>
      <c r="M398" s="101"/>
      <c r="N398" s="101"/>
      <c r="O398" s="101"/>
      <c r="P398" s="102"/>
      <c r="Q398" s="99"/>
      <c r="R398" s="103"/>
      <c r="S398" s="99"/>
      <c r="T398" s="103"/>
      <c r="U398" s="103"/>
      <c r="V398" s="103"/>
      <c r="W398" s="103"/>
      <c r="X398" s="103"/>
      <c r="Y398" s="103"/>
      <c r="Z398" s="103"/>
      <c r="AA398" s="103"/>
      <c r="AB398" s="103"/>
      <c r="AC398" s="103"/>
      <c r="AD398" s="103"/>
      <c r="AE398" s="103"/>
    </row>
    <row r="399" ht="15.75" customHeight="1">
      <c r="A399" s="40" t="str">
        <f t="shared" si="13"/>
        <v/>
      </c>
      <c r="B399" s="40" t="str">
        <f t="shared" si="14"/>
        <v/>
      </c>
      <c r="C399" s="101"/>
      <c r="D399" s="67"/>
      <c r="E399" s="99"/>
      <c r="F399" s="99"/>
      <c r="G399" s="101"/>
      <c r="H399" s="100"/>
      <c r="I399" s="100"/>
      <c r="J399" s="101"/>
      <c r="K399" s="101"/>
      <c r="L399" s="67"/>
      <c r="M399" s="101"/>
      <c r="N399" s="101"/>
      <c r="O399" s="101"/>
      <c r="P399" s="102"/>
      <c r="Q399" s="99"/>
      <c r="R399" s="103"/>
      <c r="S399" s="99"/>
      <c r="T399" s="103"/>
      <c r="U399" s="103"/>
      <c r="V399" s="103"/>
      <c r="W399" s="103"/>
      <c r="X399" s="103"/>
      <c r="Y399" s="103"/>
      <c r="Z399" s="103"/>
      <c r="AA399" s="103"/>
      <c r="AB399" s="103"/>
      <c r="AC399" s="103"/>
      <c r="AD399" s="103"/>
      <c r="AE399" s="103"/>
    </row>
    <row r="400" ht="15.75" customHeight="1">
      <c r="A400" s="40" t="str">
        <f t="shared" si="13"/>
        <v/>
      </c>
      <c r="B400" s="40" t="str">
        <f t="shared" si="14"/>
        <v/>
      </c>
      <c r="C400" s="101"/>
      <c r="D400" s="67"/>
      <c r="E400" s="99"/>
      <c r="F400" s="99"/>
      <c r="G400" s="101"/>
      <c r="H400" s="100"/>
      <c r="I400" s="100"/>
      <c r="J400" s="101"/>
      <c r="K400" s="101"/>
      <c r="L400" s="67"/>
      <c r="M400" s="101"/>
      <c r="N400" s="101"/>
      <c r="O400" s="101"/>
      <c r="P400" s="102"/>
      <c r="Q400" s="99"/>
      <c r="R400" s="103"/>
      <c r="S400" s="99"/>
      <c r="T400" s="103"/>
      <c r="U400" s="103"/>
      <c r="V400" s="103"/>
      <c r="W400" s="103"/>
      <c r="X400" s="103"/>
      <c r="Y400" s="103"/>
      <c r="Z400" s="103"/>
      <c r="AA400" s="103"/>
      <c r="AB400" s="103"/>
      <c r="AC400" s="103"/>
      <c r="AD400" s="103"/>
      <c r="AE400" s="103"/>
    </row>
    <row r="401" ht="15.75" customHeight="1">
      <c r="A401" s="40">
        <f t="shared" si="13"/>
        <v>396</v>
      </c>
      <c r="B401" s="40" t="str">
        <f t="shared" si="14"/>
        <v>ADS-396</v>
      </c>
      <c r="C401" s="104" t="s">
        <v>84</v>
      </c>
      <c r="D401" s="63">
        <v>4.21752257690653E14</v>
      </c>
      <c r="E401" s="128" t="s">
        <v>907</v>
      </c>
      <c r="F401" s="99"/>
      <c r="G401" s="104" t="s">
        <v>368</v>
      </c>
      <c r="H401" s="100" t="s">
        <v>131</v>
      </c>
      <c r="I401" s="100"/>
      <c r="J401" s="104" t="s">
        <v>89</v>
      </c>
      <c r="K401" s="101"/>
      <c r="L401" s="67"/>
      <c r="M401" s="101"/>
      <c r="N401" s="101"/>
      <c r="O401" s="104" t="s">
        <v>143</v>
      </c>
      <c r="P401" s="102"/>
      <c r="Q401" s="99"/>
      <c r="R401" s="103"/>
      <c r="S401" s="99"/>
      <c r="T401" s="103"/>
      <c r="U401" s="103"/>
      <c r="V401" s="103"/>
      <c r="W401" s="103"/>
      <c r="X401" s="103"/>
      <c r="Y401" s="103"/>
      <c r="Z401" s="103"/>
      <c r="AA401" s="103"/>
      <c r="AB401" s="103"/>
      <c r="AC401" s="103"/>
      <c r="AD401" s="103"/>
      <c r="AE401" s="103"/>
    </row>
    <row r="402" ht="15.75" customHeight="1">
      <c r="A402" s="40">
        <f t="shared" si="13"/>
        <v>397</v>
      </c>
      <c r="B402" s="40" t="str">
        <f t="shared" si="14"/>
        <v>ADS-397</v>
      </c>
      <c r="C402" s="104" t="s">
        <v>84</v>
      </c>
      <c r="D402" s="63">
        <v>1.57472384118736E14</v>
      </c>
      <c r="E402" s="128" t="s">
        <v>913</v>
      </c>
      <c r="F402" s="99"/>
      <c r="G402" s="104" t="s">
        <v>368</v>
      </c>
      <c r="H402" s="100" t="s">
        <v>131</v>
      </c>
      <c r="I402" s="100"/>
      <c r="J402" s="104" t="s">
        <v>89</v>
      </c>
      <c r="K402" s="101"/>
      <c r="L402" s="67"/>
      <c r="M402" s="101"/>
      <c r="N402" s="101"/>
      <c r="O402" s="104" t="s">
        <v>143</v>
      </c>
      <c r="P402" s="102"/>
      <c r="Q402" s="99"/>
      <c r="R402" s="103"/>
      <c r="S402" s="99"/>
      <c r="T402" s="103"/>
      <c r="U402" s="103"/>
      <c r="V402" s="103"/>
      <c r="W402" s="103"/>
      <c r="X402" s="103"/>
      <c r="Y402" s="103"/>
      <c r="Z402" s="103"/>
      <c r="AA402" s="103"/>
      <c r="AB402" s="103"/>
      <c r="AC402" s="103"/>
      <c r="AD402" s="103"/>
      <c r="AE402" s="103"/>
    </row>
    <row r="403" ht="15.75" customHeight="1">
      <c r="A403" s="40">
        <f t="shared" si="13"/>
        <v>398</v>
      </c>
      <c r="B403" s="40" t="str">
        <f t="shared" si="14"/>
        <v>ADS-398</v>
      </c>
      <c r="C403" s="104" t="s">
        <v>84</v>
      </c>
      <c r="D403" s="63">
        <v>7.52845481246356E14</v>
      </c>
      <c r="E403" s="128" t="s">
        <v>917</v>
      </c>
      <c r="F403" s="99"/>
      <c r="G403" s="104" t="s">
        <v>368</v>
      </c>
      <c r="H403" s="100" t="s">
        <v>131</v>
      </c>
      <c r="I403" s="100"/>
      <c r="J403" s="104" t="s">
        <v>89</v>
      </c>
      <c r="K403" s="101"/>
      <c r="L403" s="67"/>
      <c r="M403" s="101"/>
      <c r="N403" s="101"/>
      <c r="O403" s="104" t="s">
        <v>143</v>
      </c>
      <c r="P403" s="102"/>
      <c r="Q403" s="99"/>
      <c r="R403" s="103"/>
      <c r="S403" s="99"/>
      <c r="T403" s="103"/>
      <c r="U403" s="103"/>
      <c r="V403" s="103"/>
      <c r="W403" s="103"/>
      <c r="X403" s="103"/>
      <c r="Y403" s="103"/>
      <c r="Z403" s="103"/>
      <c r="AA403" s="103"/>
      <c r="AB403" s="103"/>
      <c r="AC403" s="103"/>
      <c r="AD403" s="103"/>
      <c r="AE403" s="103"/>
    </row>
    <row r="404" ht="15.75" customHeight="1">
      <c r="A404" s="40">
        <f t="shared" si="13"/>
        <v>399</v>
      </c>
      <c r="B404" s="40" t="str">
        <f t="shared" si="14"/>
        <v>ADS-399</v>
      </c>
      <c r="C404" s="104" t="s">
        <v>84</v>
      </c>
      <c r="D404" s="63">
        <v>1.47249355144083E14</v>
      </c>
      <c r="E404" s="128" t="s">
        <v>920</v>
      </c>
      <c r="F404" s="99"/>
      <c r="G404" s="104" t="s">
        <v>368</v>
      </c>
      <c r="H404" s="100" t="s">
        <v>131</v>
      </c>
      <c r="I404" s="100"/>
      <c r="J404" s="104" t="s">
        <v>89</v>
      </c>
      <c r="K404" s="101"/>
      <c r="L404" s="67"/>
      <c r="M404" s="101"/>
      <c r="N404" s="101"/>
      <c r="O404" s="104" t="s">
        <v>143</v>
      </c>
      <c r="P404" s="102"/>
      <c r="Q404" s="99"/>
      <c r="R404" s="103"/>
      <c r="S404" s="99"/>
      <c r="T404" s="103"/>
      <c r="U404" s="103"/>
      <c r="V404" s="103"/>
      <c r="W404" s="103"/>
      <c r="X404" s="103"/>
      <c r="Y404" s="103"/>
      <c r="Z404" s="103"/>
      <c r="AA404" s="103"/>
      <c r="AB404" s="103"/>
      <c r="AC404" s="103"/>
      <c r="AD404" s="103"/>
      <c r="AE404" s="103"/>
    </row>
    <row r="405" ht="15.75" customHeight="1">
      <c r="A405" s="40">
        <f t="shared" si="13"/>
        <v>400</v>
      </c>
      <c r="B405" s="40" t="str">
        <f t="shared" si="14"/>
        <v>ADS-400</v>
      </c>
      <c r="C405" s="104" t="s">
        <v>84</v>
      </c>
      <c r="D405" s="63">
        <v>1.12537535242382E14</v>
      </c>
      <c r="E405" s="128" t="s">
        <v>924</v>
      </c>
      <c r="F405" s="99"/>
      <c r="G405" s="104" t="s">
        <v>368</v>
      </c>
      <c r="H405" s="100" t="s">
        <v>131</v>
      </c>
      <c r="I405" s="100"/>
      <c r="J405" s="104" t="s">
        <v>89</v>
      </c>
      <c r="K405" s="101"/>
      <c r="L405" s="67"/>
      <c r="M405" s="101"/>
      <c r="N405" s="101"/>
      <c r="O405" s="104" t="s">
        <v>143</v>
      </c>
      <c r="P405" s="102"/>
      <c r="Q405" s="99"/>
      <c r="R405" s="103"/>
      <c r="S405" s="99"/>
      <c r="T405" s="103"/>
      <c r="U405" s="103"/>
      <c r="V405" s="103"/>
      <c r="W405" s="103"/>
      <c r="X405" s="103"/>
      <c r="Y405" s="103"/>
      <c r="Z405" s="103"/>
      <c r="AA405" s="103"/>
      <c r="AB405" s="103"/>
      <c r="AC405" s="103"/>
      <c r="AD405" s="103"/>
      <c r="AE405" s="103"/>
    </row>
    <row r="406" ht="15.75" customHeight="1">
      <c r="A406" s="40">
        <f t="shared" si="13"/>
        <v>401</v>
      </c>
      <c r="B406" s="40" t="str">
        <f t="shared" si="14"/>
        <v>ADS-401</v>
      </c>
      <c r="C406" s="104" t="s">
        <v>84</v>
      </c>
      <c r="D406" s="63">
        <v>9.03090142879333E14</v>
      </c>
      <c r="E406" s="128" t="s">
        <v>930</v>
      </c>
      <c r="F406" s="99"/>
      <c r="G406" s="104" t="s">
        <v>368</v>
      </c>
      <c r="H406" s="100" t="s">
        <v>131</v>
      </c>
      <c r="I406" s="100"/>
      <c r="J406" s="104" t="s">
        <v>89</v>
      </c>
      <c r="K406" s="101"/>
      <c r="L406" s="67"/>
      <c r="M406" s="101"/>
      <c r="N406" s="101"/>
      <c r="O406" s="104" t="s">
        <v>143</v>
      </c>
      <c r="P406" s="102"/>
      <c r="Q406" s="99"/>
      <c r="R406" s="103"/>
      <c r="S406" s="99"/>
      <c r="T406" s="103"/>
      <c r="U406" s="103"/>
      <c r="V406" s="103"/>
      <c r="W406" s="103"/>
      <c r="X406" s="103"/>
      <c r="Y406" s="103"/>
      <c r="Z406" s="103"/>
      <c r="AA406" s="103"/>
      <c r="AB406" s="103"/>
      <c r="AC406" s="103"/>
      <c r="AD406" s="103"/>
      <c r="AE406" s="103"/>
    </row>
    <row r="407" ht="15.75" customHeight="1">
      <c r="A407" s="40">
        <f t="shared" si="13"/>
        <v>402</v>
      </c>
      <c r="B407" s="40" t="str">
        <f t="shared" si="14"/>
        <v>ADS-402</v>
      </c>
      <c r="C407" s="104" t="s">
        <v>84</v>
      </c>
      <c r="D407" s="63">
        <v>8.91416054050803E14</v>
      </c>
      <c r="E407" s="128" t="s">
        <v>932</v>
      </c>
      <c r="F407" s="99"/>
      <c r="G407" s="104" t="s">
        <v>368</v>
      </c>
      <c r="H407" s="100" t="s">
        <v>131</v>
      </c>
      <c r="I407" s="100"/>
      <c r="J407" s="104" t="s">
        <v>89</v>
      </c>
      <c r="K407" s="101"/>
      <c r="L407" s="67"/>
      <c r="M407" s="101"/>
      <c r="N407" s="101"/>
      <c r="O407" s="104" t="s">
        <v>143</v>
      </c>
      <c r="P407" s="102"/>
      <c r="Q407" s="99"/>
      <c r="R407" s="103"/>
      <c r="S407" s="99"/>
      <c r="T407" s="103"/>
      <c r="U407" s="103"/>
      <c r="V407" s="103"/>
      <c r="W407" s="103"/>
      <c r="X407" s="103"/>
      <c r="Y407" s="103"/>
      <c r="Z407" s="103"/>
      <c r="AA407" s="103"/>
      <c r="AB407" s="103"/>
      <c r="AC407" s="103"/>
      <c r="AD407" s="103"/>
      <c r="AE407" s="103"/>
    </row>
    <row r="408" ht="15.75" customHeight="1">
      <c r="A408" s="40">
        <f t="shared" si="13"/>
        <v>403</v>
      </c>
      <c r="B408" s="40" t="str">
        <f t="shared" si="14"/>
        <v>ADS-403</v>
      </c>
      <c r="C408" s="104" t="s">
        <v>84</v>
      </c>
      <c r="D408" s="63">
        <v>1.1839154710834E14</v>
      </c>
      <c r="E408" s="128" t="s">
        <v>937</v>
      </c>
      <c r="F408" s="99"/>
      <c r="G408" s="104" t="s">
        <v>368</v>
      </c>
      <c r="H408" s="100" t="s">
        <v>131</v>
      </c>
      <c r="I408" s="100"/>
      <c r="J408" s="104" t="s">
        <v>89</v>
      </c>
      <c r="K408" s="101"/>
      <c r="L408" s="67"/>
      <c r="M408" s="101"/>
      <c r="N408" s="101"/>
      <c r="O408" s="104" t="s">
        <v>143</v>
      </c>
      <c r="P408" s="102"/>
      <c r="Q408" s="99"/>
      <c r="R408" s="103"/>
      <c r="S408" s="99"/>
      <c r="T408" s="103"/>
      <c r="U408" s="103"/>
      <c r="V408" s="103"/>
      <c r="W408" s="103"/>
      <c r="X408" s="103"/>
      <c r="Y408" s="103"/>
      <c r="Z408" s="103"/>
      <c r="AA408" s="103"/>
      <c r="AB408" s="103"/>
      <c r="AC408" s="103"/>
      <c r="AD408" s="103"/>
      <c r="AE408" s="103"/>
    </row>
    <row r="409" ht="15.75" customHeight="1">
      <c r="A409" s="40">
        <f t="shared" si="13"/>
        <v>404</v>
      </c>
      <c r="B409" s="40" t="str">
        <f t="shared" si="14"/>
        <v>ADS-404</v>
      </c>
      <c r="C409" s="104" t="s">
        <v>84</v>
      </c>
      <c r="D409" s="63">
        <v>1.08761025444791E14</v>
      </c>
      <c r="E409" s="128" t="s">
        <v>938</v>
      </c>
      <c r="F409" s="99"/>
      <c r="G409" s="104" t="s">
        <v>368</v>
      </c>
      <c r="H409" s="100" t="s">
        <v>131</v>
      </c>
      <c r="I409" s="100"/>
      <c r="J409" s="104" t="s">
        <v>89</v>
      </c>
      <c r="K409" s="101"/>
      <c r="L409" s="67"/>
      <c r="M409" s="101"/>
      <c r="N409" s="101"/>
      <c r="O409" s="104" t="s">
        <v>143</v>
      </c>
      <c r="P409" s="102"/>
      <c r="Q409" s="99"/>
      <c r="R409" s="103"/>
      <c r="S409" s="99"/>
      <c r="T409" s="103"/>
      <c r="U409" s="103"/>
      <c r="V409" s="103"/>
      <c r="W409" s="103"/>
      <c r="X409" s="103"/>
      <c r="Y409" s="103"/>
      <c r="Z409" s="103"/>
      <c r="AA409" s="103"/>
      <c r="AB409" s="103"/>
      <c r="AC409" s="103"/>
      <c r="AD409" s="103"/>
      <c r="AE409" s="103"/>
    </row>
    <row r="410" ht="15.75" customHeight="1">
      <c r="A410" s="40">
        <f t="shared" si="13"/>
        <v>405</v>
      </c>
      <c r="B410" s="40" t="str">
        <f t="shared" si="14"/>
        <v>ADS-405</v>
      </c>
      <c r="C410" s="104" t="s">
        <v>104</v>
      </c>
      <c r="D410" s="63" t="s">
        <v>942</v>
      </c>
      <c r="E410" s="129" t="s">
        <v>943</v>
      </c>
      <c r="F410" s="99"/>
      <c r="G410" s="104" t="s">
        <v>368</v>
      </c>
      <c r="H410" s="100" t="s">
        <v>131</v>
      </c>
      <c r="I410" s="100"/>
      <c r="J410" s="104" t="s">
        <v>441</v>
      </c>
      <c r="K410" s="101"/>
      <c r="L410" s="67"/>
      <c r="M410" s="101"/>
      <c r="N410" s="101"/>
      <c r="O410" s="104" t="s">
        <v>143</v>
      </c>
      <c r="P410" s="102"/>
      <c r="Q410" s="99"/>
      <c r="R410" s="103"/>
      <c r="S410" s="99"/>
      <c r="T410" s="103"/>
      <c r="U410" s="103"/>
      <c r="V410" s="103"/>
      <c r="W410" s="103"/>
      <c r="X410" s="103"/>
      <c r="Y410" s="103"/>
      <c r="Z410" s="103"/>
      <c r="AA410" s="103"/>
      <c r="AB410" s="103"/>
      <c r="AC410" s="103"/>
      <c r="AD410" s="103"/>
      <c r="AE410" s="103"/>
    </row>
    <row r="411" ht="15.75" customHeight="1">
      <c r="A411" s="40">
        <f t="shared" si="13"/>
        <v>406</v>
      </c>
      <c r="B411" s="40" t="str">
        <f t="shared" si="14"/>
        <v>ADS-406</v>
      </c>
      <c r="C411" s="104" t="s">
        <v>104</v>
      </c>
      <c r="D411" s="130" t="s">
        <v>944</v>
      </c>
      <c r="E411" s="129" t="s">
        <v>945</v>
      </c>
      <c r="F411" s="99"/>
      <c r="G411" s="104" t="s">
        <v>368</v>
      </c>
      <c r="H411" s="100" t="s">
        <v>131</v>
      </c>
      <c r="I411" s="100"/>
      <c r="J411" s="104" t="s">
        <v>441</v>
      </c>
      <c r="K411" s="101"/>
      <c r="L411" s="67"/>
      <c r="M411" s="101"/>
      <c r="N411" s="101"/>
      <c r="O411" s="104" t="s">
        <v>143</v>
      </c>
      <c r="P411" s="102"/>
      <c r="Q411" s="99"/>
      <c r="R411" s="103"/>
      <c r="S411" s="99"/>
      <c r="T411" s="103"/>
      <c r="U411" s="103"/>
      <c r="V411" s="103"/>
      <c r="W411" s="103"/>
      <c r="X411" s="103"/>
      <c r="Y411" s="103"/>
      <c r="Z411" s="103"/>
      <c r="AA411" s="103"/>
      <c r="AB411" s="103"/>
      <c r="AC411" s="103"/>
      <c r="AD411" s="103"/>
      <c r="AE411" s="103"/>
    </row>
    <row r="412" ht="15.75" customHeight="1">
      <c r="A412" s="40">
        <f t="shared" si="13"/>
        <v>407</v>
      </c>
      <c r="B412" s="40" t="str">
        <f t="shared" si="14"/>
        <v>ADS-407</v>
      </c>
      <c r="C412" s="104" t="s">
        <v>104</v>
      </c>
      <c r="D412" s="63" t="s">
        <v>946</v>
      </c>
      <c r="E412" s="129" t="s">
        <v>947</v>
      </c>
      <c r="F412" s="99"/>
      <c r="G412" s="104" t="s">
        <v>368</v>
      </c>
      <c r="H412" s="100" t="s">
        <v>131</v>
      </c>
      <c r="I412" s="100"/>
      <c r="J412" s="104" t="s">
        <v>441</v>
      </c>
      <c r="K412" s="101"/>
      <c r="L412" s="67"/>
      <c r="M412" s="101"/>
      <c r="N412" s="101"/>
      <c r="O412" s="104" t="s">
        <v>143</v>
      </c>
      <c r="P412" s="102"/>
      <c r="Q412" s="99"/>
      <c r="R412" s="103"/>
      <c r="S412" s="99"/>
      <c r="T412" s="103"/>
      <c r="U412" s="103"/>
      <c r="V412" s="103"/>
      <c r="W412" s="103"/>
      <c r="X412" s="103"/>
      <c r="Y412" s="103"/>
      <c r="Z412" s="103"/>
      <c r="AA412" s="103"/>
      <c r="AB412" s="103"/>
      <c r="AC412" s="103"/>
      <c r="AD412" s="103"/>
      <c r="AE412" s="103"/>
    </row>
    <row r="413" ht="15.75" customHeight="1">
      <c r="A413" s="40">
        <f t="shared" si="13"/>
        <v>408</v>
      </c>
      <c r="B413" s="40" t="str">
        <f t="shared" si="14"/>
        <v>ADS-408</v>
      </c>
      <c r="C413" s="104" t="s">
        <v>104</v>
      </c>
      <c r="D413" s="130" t="s">
        <v>949</v>
      </c>
      <c r="E413" s="129" t="s">
        <v>950</v>
      </c>
      <c r="F413" s="99"/>
      <c r="G413" s="104" t="s">
        <v>368</v>
      </c>
      <c r="H413" s="100" t="s">
        <v>131</v>
      </c>
      <c r="I413" s="100"/>
      <c r="J413" s="104" t="s">
        <v>441</v>
      </c>
      <c r="K413" s="101"/>
      <c r="L413" s="67"/>
      <c r="M413" s="101"/>
      <c r="N413" s="101"/>
      <c r="O413" s="104" t="s">
        <v>143</v>
      </c>
      <c r="P413" s="102"/>
      <c r="Q413" s="99"/>
      <c r="R413" s="103"/>
      <c r="S413" s="99"/>
      <c r="T413" s="103"/>
      <c r="U413" s="103"/>
      <c r="V413" s="103"/>
      <c r="W413" s="103"/>
      <c r="X413" s="103"/>
      <c r="Y413" s="103"/>
      <c r="Z413" s="103"/>
      <c r="AA413" s="103"/>
      <c r="AB413" s="103"/>
      <c r="AC413" s="103"/>
      <c r="AD413" s="103"/>
      <c r="AE413" s="103"/>
    </row>
    <row r="414" ht="15.75" customHeight="1">
      <c r="A414" s="40">
        <f t="shared" si="13"/>
        <v>409</v>
      </c>
      <c r="B414" s="40" t="str">
        <f t="shared" si="14"/>
        <v>ADS-409</v>
      </c>
      <c r="C414" s="104" t="s">
        <v>104</v>
      </c>
      <c r="D414" s="130" t="s">
        <v>952</v>
      </c>
      <c r="E414" s="129" t="s">
        <v>953</v>
      </c>
      <c r="F414" s="99"/>
      <c r="G414" s="104" t="s">
        <v>368</v>
      </c>
      <c r="H414" s="100" t="s">
        <v>131</v>
      </c>
      <c r="I414" s="100"/>
      <c r="J414" s="104" t="s">
        <v>441</v>
      </c>
      <c r="K414" s="101"/>
      <c r="L414" s="67"/>
      <c r="M414" s="101"/>
      <c r="N414" s="101"/>
      <c r="O414" s="104" t="s">
        <v>143</v>
      </c>
      <c r="P414" s="102"/>
      <c r="Q414" s="99"/>
      <c r="R414" s="103"/>
      <c r="S414" s="99"/>
      <c r="T414" s="103"/>
      <c r="U414" s="103"/>
      <c r="V414" s="103"/>
      <c r="W414" s="103"/>
      <c r="X414" s="103"/>
      <c r="Y414" s="103"/>
      <c r="Z414" s="103"/>
      <c r="AA414" s="103"/>
      <c r="AB414" s="103"/>
      <c r="AC414" s="103"/>
      <c r="AD414" s="103"/>
      <c r="AE414" s="103"/>
    </row>
    <row r="415" ht="15.75" customHeight="1">
      <c r="A415" s="40">
        <f t="shared" si="13"/>
        <v>410</v>
      </c>
      <c r="B415" s="40" t="str">
        <f t="shared" si="14"/>
        <v>ADS-410</v>
      </c>
      <c r="C415" s="104" t="s">
        <v>104</v>
      </c>
      <c r="D415" s="63" t="s">
        <v>954</v>
      </c>
      <c r="E415" s="129" t="s">
        <v>955</v>
      </c>
      <c r="F415" s="99"/>
      <c r="G415" s="104" t="s">
        <v>368</v>
      </c>
      <c r="H415" s="100" t="s">
        <v>131</v>
      </c>
      <c r="I415" s="100"/>
      <c r="J415" s="104" t="s">
        <v>441</v>
      </c>
      <c r="K415" s="101"/>
      <c r="L415" s="67"/>
      <c r="M415" s="101"/>
      <c r="N415" s="101"/>
      <c r="O415" s="104" t="s">
        <v>143</v>
      </c>
      <c r="P415" s="102"/>
      <c r="Q415" s="99"/>
      <c r="R415" s="103"/>
      <c r="S415" s="99"/>
      <c r="T415" s="103"/>
      <c r="U415" s="103"/>
      <c r="V415" s="103"/>
      <c r="W415" s="103"/>
      <c r="X415" s="103"/>
      <c r="Y415" s="103"/>
      <c r="Z415" s="103"/>
      <c r="AA415" s="103"/>
      <c r="AB415" s="103"/>
      <c r="AC415" s="103"/>
      <c r="AD415" s="103"/>
      <c r="AE415" s="103"/>
    </row>
    <row r="416" ht="15.75" customHeight="1">
      <c r="A416" s="40">
        <f t="shared" si="13"/>
        <v>411</v>
      </c>
      <c r="B416" s="40" t="str">
        <f t="shared" si="14"/>
        <v>ADS-411</v>
      </c>
      <c r="C416" s="104" t="s">
        <v>104</v>
      </c>
      <c r="D416" s="63" t="s">
        <v>956</v>
      </c>
      <c r="E416" s="129" t="s">
        <v>957</v>
      </c>
      <c r="F416" s="99"/>
      <c r="G416" s="104" t="s">
        <v>368</v>
      </c>
      <c r="H416" s="100" t="s">
        <v>131</v>
      </c>
      <c r="I416" s="100"/>
      <c r="J416" s="104" t="s">
        <v>441</v>
      </c>
      <c r="K416" s="101"/>
      <c r="L416" s="67"/>
      <c r="M416" s="101"/>
      <c r="N416" s="101"/>
      <c r="O416" s="104" t="s">
        <v>143</v>
      </c>
      <c r="P416" s="102"/>
      <c r="Q416" s="99"/>
      <c r="R416" s="103"/>
      <c r="S416" s="99"/>
      <c r="T416" s="103"/>
      <c r="U416" s="103"/>
      <c r="V416" s="103"/>
      <c r="W416" s="103"/>
      <c r="X416" s="103"/>
      <c r="Y416" s="103"/>
      <c r="Z416" s="103"/>
      <c r="AA416" s="103"/>
      <c r="AB416" s="103"/>
      <c r="AC416" s="103"/>
      <c r="AD416" s="103"/>
      <c r="AE416" s="103"/>
    </row>
    <row r="417" ht="15.75" customHeight="1">
      <c r="A417" s="40">
        <f t="shared" si="13"/>
        <v>412</v>
      </c>
      <c r="B417" s="40" t="str">
        <f t="shared" si="14"/>
        <v>ADS-412</v>
      </c>
      <c r="C417" s="104" t="s">
        <v>104</v>
      </c>
      <c r="D417" s="63" t="s">
        <v>961</v>
      </c>
      <c r="E417" s="129" t="s">
        <v>962</v>
      </c>
      <c r="F417" s="99"/>
      <c r="G417" s="104" t="s">
        <v>368</v>
      </c>
      <c r="H417" s="100" t="s">
        <v>131</v>
      </c>
      <c r="I417" s="100"/>
      <c r="J417" s="104" t="s">
        <v>441</v>
      </c>
      <c r="K417" s="101"/>
      <c r="L417" s="67"/>
      <c r="M417" s="101"/>
      <c r="N417" s="101"/>
      <c r="O417" s="104" t="s">
        <v>143</v>
      </c>
      <c r="P417" s="102"/>
      <c r="Q417" s="99"/>
      <c r="R417" s="103"/>
      <c r="S417" s="99"/>
      <c r="T417" s="103"/>
      <c r="U417" s="103"/>
      <c r="V417" s="103"/>
      <c r="W417" s="103"/>
      <c r="X417" s="103"/>
      <c r="Y417" s="103"/>
      <c r="Z417" s="103"/>
      <c r="AA417" s="103"/>
      <c r="AB417" s="103"/>
      <c r="AC417" s="103"/>
      <c r="AD417" s="103"/>
      <c r="AE417" s="103"/>
    </row>
    <row r="418" ht="15.75" customHeight="1">
      <c r="A418" s="40">
        <f t="shared" si="13"/>
        <v>413</v>
      </c>
      <c r="B418" s="40" t="str">
        <f t="shared" si="14"/>
        <v>ADS-413</v>
      </c>
      <c r="C418" s="104" t="s">
        <v>104</v>
      </c>
      <c r="D418" s="63" t="s">
        <v>965</v>
      </c>
      <c r="E418" s="129" t="s">
        <v>966</v>
      </c>
      <c r="F418" s="99"/>
      <c r="G418" s="104" t="s">
        <v>368</v>
      </c>
      <c r="H418" s="100" t="s">
        <v>131</v>
      </c>
      <c r="I418" s="100"/>
      <c r="J418" s="104" t="s">
        <v>441</v>
      </c>
      <c r="K418" s="101"/>
      <c r="L418" s="67"/>
      <c r="M418" s="101"/>
      <c r="N418" s="101"/>
      <c r="O418" s="104" t="s">
        <v>143</v>
      </c>
      <c r="P418" s="102"/>
      <c r="Q418" s="99"/>
      <c r="R418" s="103"/>
      <c r="S418" s="99"/>
      <c r="T418" s="103"/>
      <c r="U418" s="103"/>
      <c r="V418" s="103"/>
      <c r="W418" s="103"/>
      <c r="X418" s="103"/>
      <c r="Y418" s="103"/>
      <c r="Z418" s="103"/>
      <c r="AA418" s="103"/>
      <c r="AB418" s="103"/>
      <c r="AC418" s="103"/>
      <c r="AD418" s="103"/>
      <c r="AE418" s="103"/>
    </row>
    <row r="419" ht="15.75" customHeight="1">
      <c r="A419" s="40">
        <f t="shared" si="13"/>
        <v>414</v>
      </c>
      <c r="B419" s="40" t="str">
        <f t="shared" si="14"/>
        <v>ADS-414</v>
      </c>
      <c r="C419" s="104" t="s">
        <v>104</v>
      </c>
      <c r="D419" s="63" t="s">
        <v>970</v>
      </c>
      <c r="E419" s="129" t="s">
        <v>971</v>
      </c>
      <c r="F419" s="99"/>
      <c r="G419" s="104" t="s">
        <v>368</v>
      </c>
      <c r="H419" s="100" t="s">
        <v>131</v>
      </c>
      <c r="I419" s="100"/>
      <c r="J419" s="104" t="s">
        <v>441</v>
      </c>
      <c r="K419" s="101"/>
      <c r="L419" s="67"/>
      <c r="M419" s="101"/>
      <c r="N419" s="101"/>
      <c r="O419" s="104" t="s">
        <v>143</v>
      </c>
      <c r="P419" s="102"/>
      <c r="Q419" s="99"/>
      <c r="R419" s="103"/>
      <c r="S419" s="99"/>
      <c r="T419" s="103"/>
      <c r="U419" s="103"/>
      <c r="V419" s="103"/>
      <c r="W419" s="103"/>
      <c r="X419" s="103"/>
      <c r="Y419" s="103"/>
      <c r="Z419" s="103"/>
      <c r="AA419" s="103"/>
      <c r="AB419" s="103"/>
      <c r="AC419" s="103"/>
      <c r="AD419" s="103"/>
      <c r="AE419" s="103"/>
    </row>
    <row r="420" ht="15.75" customHeight="1">
      <c r="A420" s="40">
        <f t="shared" si="13"/>
        <v>415</v>
      </c>
      <c r="B420" s="40" t="str">
        <f t="shared" si="14"/>
        <v>ADS-415</v>
      </c>
      <c r="C420" s="104" t="s">
        <v>104</v>
      </c>
      <c r="D420" s="63" t="s">
        <v>972</v>
      </c>
      <c r="E420" s="129" t="s">
        <v>973</v>
      </c>
      <c r="F420" s="99"/>
      <c r="G420" s="104" t="s">
        <v>368</v>
      </c>
      <c r="H420" s="100" t="s">
        <v>131</v>
      </c>
      <c r="I420" s="100"/>
      <c r="J420" s="104" t="s">
        <v>441</v>
      </c>
      <c r="K420" s="101"/>
      <c r="L420" s="67"/>
      <c r="M420" s="101"/>
      <c r="N420" s="101"/>
      <c r="O420" s="104" t="s">
        <v>143</v>
      </c>
      <c r="P420" s="102"/>
      <c r="Q420" s="99"/>
      <c r="R420" s="103"/>
      <c r="S420" s="99"/>
      <c r="T420" s="103"/>
      <c r="U420" s="103"/>
      <c r="V420" s="103"/>
      <c r="W420" s="103"/>
      <c r="X420" s="103"/>
      <c r="Y420" s="103"/>
      <c r="Z420" s="103"/>
      <c r="AA420" s="103"/>
      <c r="AB420" s="103"/>
      <c r="AC420" s="103"/>
      <c r="AD420" s="103"/>
      <c r="AE420" s="103"/>
    </row>
    <row r="421" ht="15.75" customHeight="1">
      <c r="A421" s="40">
        <f t="shared" si="13"/>
        <v>416</v>
      </c>
      <c r="B421" s="40" t="str">
        <f t="shared" si="14"/>
        <v>ADS-416</v>
      </c>
      <c r="C421" s="104" t="s">
        <v>104</v>
      </c>
      <c r="D421" s="63" t="s">
        <v>974</v>
      </c>
      <c r="E421" s="129" t="s">
        <v>975</v>
      </c>
      <c r="F421" s="99"/>
      <c r="G421" s="104" t="s">
        <v>368</v>
      </c>
      <c r="H421" s="100" t="s">
        <v>131</v>
      </c>
      <c r="I421" s="100"/>
      <c r="J421" s="104" t="s">
        <v>441</v>
      </c>
      <c r="K421" s="101"/>
      <c r="L421" s="67"/>
      <c r="M421" s="101"/>
      <c r="N421" s="101"/>
      <c r="O421" s="104" t="s">
        <v>143</v>
      </c>
      <c r="P421" s="102"/>
      <c r="Q421" s="99"/>
      <c r="R421" s="103"/>
      <c r="S421" s="99"/>
      <c r="T421" s="103"/>
      <c r="U421" s="103"/>
      <c r="V421" s="103"/>
      <c r="W421" s="103"/>
      <c r="X421" s="103"/>
      <c r="Y421" s="103"/>
      <c r="Z421" s="103"/>
      <c r="AA421" s="103"/>
      <c r="AB421" s="103"/>
      <c r="AC421" s="103"/>
      <c r="AD421" s="103"/>
      <c r="AE421" s="103"/>
    </row>
    <row r="422" ht="15.75" customHeight="1">
      <c r="A422" s="40">
        <f t="shared" si="13"/>
        <v>417</v>
      </c>
      <c r="B422" s="40" t="str">
        <f t="shared" si="14"/>
        <v>ADS-417</v>
      </c>
      <c r="C422" s="104" t="s">
        <v>104</v>
      </c>
      <c r="D422" s="63" t="s">
        <v>977</v>
      </c>
      <c r="E422" s="129" t="s">
        <v>978</v>
      </c>
      <c r="F422" s="99"/>
      <c r="G422" s="104" t="s">
        <v>368</v>
      </c>
      <c r="H422" s="100" t="s">
        <v>131</v>
      </c>
      <c r="I422" s="100"/>
      <c r="J422" s="104" t="s">
        <v>441</v>
      </c>
      <c r="K422" s="101"/>
      <c r="L422" s="67"/>
      <c r="M422" s="101"/>
      <c r="N422" s="101"/>
      <c r="O422" s="104" t="s">
        <v>143</v>
      </c>
      <c r="P422" s="102"/>
      <c r="Q422" s="99"/>
      <c r="R422" s="103"/>
      <c r="S422" s="99"/>
      <c r="T422" s="103"/>
      <c r="U422" s="103"/>
      <c r="V422" s="103"/>
      <c r="W422" s="103"/>
      <c r="X422" s="103"/>
      <c r="Y422" s="103"/>
      <c r="Z422" s="103"/>
      <c r="AA422" s="103"/>
      <c r="AB422" s="103"/>
      <c r="AC422" s="103"/>
      <c r="AD422" s="103"/>
      <c r="AE422" s="103"/>
    </row>
    <row r="423" ht="15.75" customHeight="1">
      <c r="A423" s="40">
        <f t="shared" si="13"/>
        <v>418</v>
      </c>
      <c r="B423" s="40" t="str">
        <f t="shared" si="14"/>
        <v>ADS-418</v>
      </c>
      <c r="C423" s="104" t="s">
        <v>104</v>
      </c>
      <c r="D423" s="63" t="s">
        <v>980</v>
      </c>
      <c r="E423" s="129" t="s">
        <v>981</v>
      </c>
      <c r="F423" s="99"/>
      <c r="G423" s="104" t="s">
        <v>368</v>
      </c>
      <c r="H423" s="100" t="s">
        <v>131</v>
      </c>
      <c r="I423" s="100"/>
      <c r="J423" s="104" t="s">
        <v>441</v>
      </c>
      <c r="K423" s="101"/>
      <c r="L423" s="67"/>
      <c r="M423" s="101"/>
      <c r="N423" s="101"/>
      <c r="O423" s="104" t="s">
        <v>143</v>
      </c>
      <c r="P423" s="102"/>
      <c r="Q423" s="99"/>
      <c r="R423" s="103"/>
      <c r="S423" s="99"/>
      <c r="T423" s="103"/>
      <c r="U423" s="103"/>
      <c r="V423" s="103"/>
      <c r="W423" s="103"/>
      <c r="X423" s="103"/>
      <c r="Y423" s="103"/>
      <c r="Z423" s="103"/>
      <c r="AA423" s="103"/>
      <c r="AB423" s="103"/>
      <c r="AC423" s="103"/>
      <c r="AD423" s="103"/>
      <c r="AE423" s="103"/>
    </row>
    <row r="424" ht="15.75" customHeight="1">
      <c r="A424" s="40">
        <f t="shared" si="13"/>
        <v>419</v>
      </c>
      <c r="B424" s="40" t="str">
        <f t="shared" si="14"/>
        <v>ADS-419</v>
      </c>
      <c r="C424" s="104" t="s">
        <v>104</v>
      </c>
      <c r="D424" s="63" t="s">
        <v>985</v>
      </c>
      <c r="E424" s="129" t="s">
        <v>986</v>
      </c>
      <c r="F424" s="99"/>
      <c r="G424" s="104" t="s">
        <v>368</v>
      </c>
      <c r="H424" s="100" t="s">
        <v>131</v>
      </c>
      <c r="I424" s="100"/>
      <c r="J424" s="104" t="s">
        <v>441</v>
      </c>
      <c r="K424" s="101"/>
      <c r="L424" s="67"/>
      <c r="M424" s="101"/>
      <c r="N424" s="101"/>
      <c r="O424" s="104" t="s">
        <v>143</v>
      </c>
      <c r="P424" s="102"/>
      <c r="Q424" s="99"/>
      <c r="R424" s="103"/>
      <c r="S424" s="99"/>
      <c r="T424" s="103"/>
      <c r="U424" s="103"/>
      <c r="V424" s="103"/>
      <c r="W424" s="103"/>
      <c r="X424" s="103"/>
      <c r="Y424" s="103"/>
      <c r="Z424" s="103"/>
      <c r="AA424" s="103"/>
      <c r="AB424" s="103"/>
      <c r="AC424" s="103"/>
      <c r="AD424" s="103"/>
      <c r="AE424" s="103"/>
    </row>
    <row r="425" ht="15.75" customHeight="1">
      <c r="A425" s="40">
        <f t="shared" si="13"/>
        <v>420</v>
      </c>
      <c r="B425" s="40" t="str">
        <f t="shared" si="14"/>
        <v>ADS-420</v>
      </c>
      <c r="C425" s="104" t="s">
        <v>104</v>
      </c>
      <c r="D425" s="63" t="s">
        <v>987</v>
      </c>
      <c r="E425" s="129" t="s">
        <v>988</v>
      </c>
      <c r="F425" s="99"/>
      <c r="G425" s="104" t="s">
        <v>368</v>
      </c>
      <c r="H425" s="100" t="s">
        <v>131</v>
      </c>
      <c r="I425" s="100"/>
      <c r="J425" s="104" t="s">
        <v>441</v>
      </c>
      <c r="K425" s="101"/>
      <c r="L425" s="67"/>
      <c r="M425" s="101"/>
      <c r="N425" s="101"/>
      <c r="O425" s="104" t="s">
        <v>143</v>
      </c>
      <c r="P425" s="102"/>
      <c r="Q425" s="99"/>
      <c r="R425" s="103"/>
      <c r="S425" s="99"/>
      <c r="T425" s="103"/>
      <c r="U425" s="103"/>
      <c r="V425" s="103"/>
      <c r="W425" s="103"/>
      <c r="X425" s="103"/>
      <c r="Y425" s="103"/>
      <c r="Z425" s="103"/>
      <c r="AA425" s="103"/>
      <c r="AB425" s="103"/>
      <c r="AC425" s="103"/>
      <c r="AD425" s="103"/>
      <c r="AE425" s="103"/>
    </row>
    <row r="426" ht="15.75" customHeight="1">
      <c r="A426" s="40">
        <f t="shared" si="13"/>
        <v>421</v>
      </c>
      <c r="B426" s="40" t="str">
        <f t="shared" si="14"/>
        <v>ADS-421</v>
      </c>
      <c r="C426" s="104" t="s">
        <v>106</v>
      </c>
      <c r="D426" s="63" t="s">
        <v>991</v>
      </c>
      <c r="E426" s="129" t="s">
        <v>992</v>
      </c>
      <c r="F426" s="99"/>
      <c r="G426" s="104" t="s">
        <v>368</v>
      </c>
      <c r="H426" s="100" t="s">
        <v>131</v>
      </c>
      <c r="I426" s="100"/>
      <c r="J426" s="104" t="s">
        <v>89</v>
      </c>
      <c r="K426" s="101"/>
      <c r="L426" s="67"/>
      <c r="M426" s="101"/>
      <c r="N426" s="101"/>
      <c r="O426" s="104" t="s">
        <v>143</v>
      </c>
      <c r="P426" s="102"/>
      <c r="Q426" s="99"/>
      <c r="R426" s="103"/>
      <c r="S426" s="99"/>
      <c r="T426" s="103"/>
      <c r="U426" s="103"/>
      <c r="V426" s="103"/>
      <c r="W426" s="103"/>
      <c r="X426" s="103"/>
      <c r="Y426" s="103"/>
      <c r="Z426" s="103"/>
      <c r="AA426" s="103"/>
      <c r="AB426" s="103"/>
      <c r="AC426" s="103"/>
      <c r="AD426" s="103"/>
      <c r="AE426" s="103"/>
    </row>
    <row r="427" ht="15.75" customHeight="1">
      <c r="A427" s="40">
        <f t="shared" si="13"/>
        <v>422</v>
      </c>
      <c r="B427" s="40" t="str">
        <f t="shared" si="14"/>
        <v>ADS-422</v>
      </c>
      <c r="C427" s="104" t="s">
        <v>101</v>
      </c>
      <c r="D427" s="63" t="s">
        <v>997</v>
      </c>
      <c r="E427" s="106" t="s">
        <v>998</v>
      </c>
      <c r="F427" s="99"/>
      <c r="G427" s="104" t="s">
        <v>368</v>
      </c>
      <c r="H427" s="100" t="s">
        <v>131</v>
      </c>
      <c r="I427" s="100"/>
      <c r="J427" s="104" t="s">
        <v>441</v>
      </c>
      <c r="K427" s="101"/>
      <c r="L427" s="67"/>
      <c r="M427" s="101"/>
      <c r="N427" s="104" t="s">
        <v>368</v>
      </c>
      <c r="O427" s="104" t="s">
        <v>143</v>
      </c>
      <c r="P427" s="102"/>
      <c r="Q427" s="99"/>
      <c r="R427" s="103"/>
      <c r="S427" s="99"/>
      <c r="T427" s="103"/>
      <c r="U427" s="103"/>
      <c r="V427" s="103"/>
      <c r="W427" s="103"/>
      <c r="X427" s="103"/>
      <c r="Y427" s="103"/>
      <c r="Z427" s="103"/>
      <c r="AA427" s="103"/>
      <c r="AB427" s="103"/>
      <c r="AC427" s="103"/>
      <c r="AD427" s="103"/>
      <c r="AE427" s="103"/>
    </row>
    <row r="428" ht="15.75" customHeight="1">
      <c r="A428" s="40">
        <f t="shared" si="13"/>
        <v>423</v>
      </c>
      <c r="B428" s="40" t="str">
        <f t="shared" si="14"/>
        <v>ADS-423</v>
      </c>
      <c r="C428" s="104" t="s">
        <v>101</v>
      </c>
      <c r="D428" s="63" t="s">
        <v>396</v>
      </c>
      <c r="E428" s="106" t="s">
        <v>999</v>
      </c>
      <c r="F428" s="99"/>
      <c r="G428" s="104" t="s">
        <v>368</v>
      </c>
      <c r="H428" s="100" t="s">
        <v>131</v>
      </c>
      <c r="I428" s="100"/>
      <c r="J428" s="104" t="s">
        <v>441</v>
      </c>
      <c r="K428" s="101"/>
      <c r="L428" s="67"/>
      <c r="M428" s="101"/>
      <c r="N428" s="104" t="s">
        <v>368</v>
      </c>
      <c r="O428" s="104" t="s">
        <v>143</v>
      </c>
      <c r="P428" s="102"/>
      <c r="Q428" s="99"/>
      <c r="R428" s="103"/>
      <c r="S428" s="99"/>
      <c r="T428" s="103"/>
      <c r="U428" s="103"/>
      <c r="V428" s="103"/>
      <c r="W428" s="103"/>
      <c r="X428" s="103"/>
      <c r="Y428" s="103"/>
      <c r="Z428" s="103"/>
      <c r="AA428" s="103"/>
      <c r="AB428" s="103"/>
      <c r="AC428" s="103"/>
      <c r="AD428" s="103"/>
      <c r="AE428" s="103"/>
    </row>
    <row r="429" ht="15.75" customHeight="1">
      <c r="A429" s="40">
        <f t="shared" si="13"/>
        <v>424</v>
      </c>
      <c r="B429" s="40" t="str">
        <f t="shared" si="14"/>
        <v>ADS-424</v>
      </c>
      <c r="C429" s="104" t="s">
        <v>101</v>
      </c>
      <c r="D429" s="63" t="s">
        <v>382</v>
      </c>
      <c r="E429" s="106" t="s">
        <v>1000</v>
      </c>
      <c r="F429" s="99"/>
      <c r="G429" s="104" t="s">
        <v>368</v>
      </c>
      <c r="H429" s="100" t="s">
        <v>131</v>
      </c>
      <c r="I429" s="100"/>
      <c r="J429" s="104" t="s">
        <v>441</v>
      </c>
      <c r="K429" s="101"/>
      <c r="L429" s="67"/>
      <c r="M429" s="101"/>
      <c r="N429" s="104" t="s">
        <v>368</v>
      </c>
      <c r="O429" s="104" t="s">
        <v>143</v>
      </c>
      <c r="P429" s="102"/>
      <c r="Q429" s="99"/>
      <c r="R429" s="103"/>
      <c r="S429" s="99"/>
      <c r="T429" s="103"/>
      <c r="U429" s="103"/>
      <c r="V429" s="103"/>
      <c r="W429" s="103"/>
      <c r="X429" s="103"/>
      <c r="Y429" s="103"/>
      <c r="Z429" s="103"/>
      <c r="AA429" s="103"/>
      <c r="AB429" s="103"/>
      <c r="AC429" s="103"/>
      <c r="AD429" s="103"/>
      <c r="AE429" s="103"/>
    </row>
    <row r="430" ht="15.75" customHeight="1">
      <c r="A430" s="40">
        <f t="shared" si="13"/>
        <v>425</v>
      </c>
      <c r="B430" s="40" t="str">
        <f t="shared" si="14"/>
        <v>ADS-425</v>
      </c>
      <c r="C430" s="104" t="s">
        <v>101</v>
      </c>
      <c r="D430" s="63" t="s">
        <v>395</v>
      </c>
      <c r="E430" s="106" t="s">
        <v>1001</v>
      </c>
      <c r="F430" s="99"/>
      <c r="G430" s="104" t="s">
        <v>368</v>
      </c>
      <c r="H430" s="100" t="s">
        <v>131</v>
      </c>
      <c r="I430" s="100"/>
      <c r="J430" s="104" t="s">
        <v>441</v>
      </c>
      <c r="K430" s="101"/>
      <c r="L430" s="67"/>
      <c r="M430" s="101"/>
      <c r="N430" s="104" t="s">
        <v>368</v>
      </c>
      <c r="O430" s="104" t="s">
        <v>143</v>
      </c>
      <c r="P430" s="102"/>
      <c r="Q430" s="99"/>
      <c r="R430" s="103"/>
      <c r="S430" s="99"/>
      <c r="T430" s="103"/>
      <c r="U430" s="103"/>
      <c r="V430" s="103"/>
      <c r="W430" s="103"/>
      <c r="X430" s="103"/>
      <c r="Y430" s="103"/>
      <c r="Z430" s="103"/>
      <c r="AA430" s="103"/>
      <c r="AB430" s="103"/>
      <c r="AC430" s="103"/>
      <c r="AD430" s="103"/>
      <c r="AE430" s="103"/>
    </row>
    <row r="431" ht="15.75" customHeight="1">
      <c r="A431" s="40" t="str">
        <f t="shared" si="13"/>
        <v/>
      </c>
      <c r="B431" s="40" t="str">
        <f t="shared" si="14"/>
        <v/>
      </c>
      <c r="C431" s="101"/>
      <c r="D431" s="67"/>
      <c r="E431" s="99"/>
      <c r="F431" s="99"/>
      <c r="G431" s="101"/>
      <c r="H431" s="100"/>
      <c r="I431" s="100"/>
      <c r="J431" s="101"/>
      <c r="K431" s="101"/>
      <c r="L431" s="67"/>
      <c r="M431" s="101"/>
      <c r="N431" s="101"/>
      <c r="O431" s="101"/>
      <c r="P431" s="102"/>
      <c r="Q431" s="99"/>
      <c r="R431" s="103"/>
      <c r="S431" s="99"/>
      <c r="T431" s="103"/>
      <c r="U431" s="103"/>
      <c r="V431" s="103"/>
      <c r="W431" s="103"/>
      <c r="X431" s="103"/>
      <c r="Y431" s="103"/>
      <c r="Z431" s="103"/>
      <c r="AA431" s="103"/>
      <c r="AB431" s="103"/>
      <c r="AC431" s="103"/>
      <c r="AD431" s="103"/>
      <c r="AE431" s="103"/>
    </row>
    <row r="432" ht="15.75" customHeight="1">
      <c r="A432" s="40" t="str">
        <f t="shared" si="13"/>
        <v/>
      </c>
      <c r="B432" s="40" t="str">
        <f t="shared" si="14"/>
        <v/>
      </c>
      <c r="C432" s="101"/>
      <c r="D432" s="67"/>
      <c r="E432" s="99"/>
      <c r="F432" s="99"/>
      <c r="G432" s="101"/>
      <c r="H432" s="100"/>
      <c r="I432" s="100"/>
      <c r="J432" s="101"/>
      <c r="K432" s="101"/>
      <c r="L432" s="67"/>
      <c r="M432" s="101"/>
      <c r="N432" s="101"/>
      <c r="O432" s="101"/>
      <c r="P432" s="102"/>
      <c r="Q432" s="99"/>
      <c r="R432" s="103"/>
      <c r="S432" s="99"/>
      <c r="T432" s="103"/>
      <c r="U432" s="103"/>
      <c r="V432" s="103"/>
      <c r="W432" s="103"/>
      <c r="X432" s="103"/>
      <c r="Y432" s="103"/>
      <c r="Z432" s="103"/>
      <c r="AA432" s="103"/>
      <c r="AB432" s="103"/>
      <c r="AC432" s="103"/>
      <c r="AD432" s="103"/>
      <c r="AE432" s="103"/>
    </row>
    <row r="433" ht="15.75" customHeight="1">
      <c r="A433" s="40" t="str">
        <f t="shared" si="13"/>
        <v/>
      </c>
      <c r="B433" s="40" t="str">
        <f t="shared" si="14"/>
        <v/>
      </c>
      <c r="C433" s="101"/>
      <c r="D433" s="67"/>
      <c r="E433" s="99"/>
      <c r="F433" s="99"/>
      <c r="G433" s="101"/>
      <c r="H433" s="100"/>
      <c r="I433" s="100"/>
      <c r="J433" s="101"/>
      <c r="K433" s="101"/>
      <c r="L433" s="67"/>
      <c r="M433" s="101"/>
      <c r="N433" s="101"/>
      <c r="O433" s="101"/>
      <c r="P433" s="102"/>
      <c r="Q433" s="99"/>
      <c r="R433" s="103"/>
      <c r="S433" s="99"/>
      <c r="T433" s="103"/>
      <c r="U433" s="103"/>
      <c r="V433" s="103"/>
      <c r="W433" s="103"/>
      <c r="X433" s="103"/>
      <c r="Y433" s="103"/>
      <c r="Z433" s="103"/>
      <c r="AA433" s="103"/>
      <c r="AB433" s="103"/>
      <c r="AC433" s="103"/>
      <c r="AD433" s="103"/>
      <c r="AE433" s="103"/>
    </row>
    <row r="434" ht="15.75" customHeight="1">
      <c r="A434" s="40" t="str">
        <f t="shared" si="13"/>
        <v/>
      </c>
      <c r="B434" s="40" t="str">
        <f t="shared" si="14"/>
        <v/>
      </c>
      <c r="C434" s="101"/>
      <c r="D434" s="67"/>
      <c r="E434" s="99"/>
      <c r="F434" s="99"/>
      <c r="G434" s="101"/>
      <c r="H434" s="100"/>
      <c r="I434" s="100"/>
      <c r="J434" s="101"/>
      <c r="K434" s="101"/>
      <c r="L434" s="67"/>
      <c r="M434" s="101"/>
      <c r="N434" s="101"/>
      <c r="O434" s="101"/>
      <c r="P434" s="102"/>
      <c r="Q434" s="99"/>
      <c r="R434" s="103"/>
      <c r="S434" s="99"/>
      <c r="T434" s="103"/>
      <c r="U434" s="103"/>
      <c r="V434" s="103"/>
      <c r="W434" s="103"/>
      <c r="X434" s="103"/>
      <c r="Y434" s="103"/>
      <c r="Z434" s="103"/>
      <c r="AA434" s="103"/>
      <c r="AB434" s="103"/>
      <c r="AC434" s="103"/>
      <c r="AD434" s="103"/>
      <c r="AE434" s="103"/>
    </row>
    <row r="435" ht="15.75" customHeight="1">
      <c r="A435" s="40">
        <f t="shared" si="13"/>
        <v>430</v>
      </c>
      <c r="B435" s="40" t="str">
        <f t="shared" si="14"/>
        <v>ADS-430</v>
      </c>
      <c r="C435" s="104" t="s">
        <v>84</v>
      </c>
      <c r="D435" s="63"/>
      <c r="E435" s="99"/>
      <c r="F435" s="99"/>
      <c r="G435" s="104"/>
      <c r="H435" s="100"/>
      <c r="I435" s="100"/>
      <c r="J435" s="101"/>
      <c r="K435" s="101"/>
      <c r="L435" s="67"/>
      <c r="M435" s="101"/>
      <c r="N435" s="101"/>
      <c r="O435" s="101"/>
      <c r="P435" s="102"/>
      <c r="Q435" s="99"/>
      <c r="R435" s="103"/>
      <c r="S435" s="99"/>
      <c r="T435" s="103"/>
      <c r="U435" s="103"/>
      <c r="V435" s="103"/>
      <c r="W435" s="103"/>
      <c r="X435" s="103"/>
      <c r="Y435" s="103"/>
      <c r="Z435" s="103"/>
      <c r="AA435" s="103"/>
      <c r="AB435" s="103"/>
      <c r="AC435" s="103"/>
      <c r="AD435" s="103"/>
      <c r="AE435" s="103"/>
    </row>
    <row r="436" ht="15.75" customHeight="1">
      <c r="A436" s="40" t="str">
        <f t="shared" si="13"/>
        <v/>
      </c>
      <c r="B436" s="40" t="str">
        <f t="shared" si="14"/>
        <v/>
      </c>
      <c r="E436" s="25"/>
      <c r="H436" s="52"/>
    </row>
    <row r="437" ht="15.75" customHeight="1">
      <c r="A437" s="40" t="str">
        <f t="shared" si="13"/>
        <v/>
      </c>
      <c r="B437" s="40" t="str">
        <f t="shared" si="14"/>
        <v/>
      </c>
      <c r="E437" s="25"/>
      <c r="H437" s="52"/>
    </row>
    <row r="438" ht="15.75" customHeight="1">
      <c r="A438" s="40" t="str">
        <f t="shared" si="13"/>
        <v/>
      </c>
      <c r="B438" s="40" t="str">
        <f t="shared" si="14"/>
        <v/>
      </c>
      <c r="E438" s="25"/>
      <c r="H438" s="52"/>
    </row>
    <row r="439" ht="15.75" customHeight="1">
      <c r="A439" s="40" t="str">
        <f t="shared" si="13"/>
        <v/>
      </c>
      <c r="B439" s="40" t="str">
        <f t="shared" si="14"/>
        <v/>
      </c>
      <c r="E439" s="25"/>
      <c r="H439" s="52"/>
    </row>
    <row r="440" ht="15.75" customHeight="1">
      <c r="A440" s="40" t="str">
        <f t="shared" si="13"/>
        <v/>
      </c>
      <c r="B440" s="40" t="str">
        <f t="shared" si="14"/>
        <v/>
      </c>
      <c r="E440" s="25"/>
      <c r="H440" s="52"/>
    </row>
    <row r="441" ht="15.75" customHeight="1">
      <c r="A441" s="40" t="str">
        <f t="shared" si="13"/>
        <v/>
      </c>
      <c r="B441" s="40" t="str">
        <f t="shared" si="14"/>
        <v/>
      </c>
      <c r="E441" s="25"/>
      <c r="H441" s="52"/>
    </row>
    <row r="442" ht="15.75" customHeight="1">
      <c r="A442" s="40" t="str">
        <f t="shared" si="13"/>
        <v/>
      </c>
      <c r="B442" s="40" t="str">
        <f t="shared" si="14"/>
        <v/>
      </c>
      <c r="E442" s="25"/>
      <c r="H442" s="52"/>
    </row>
    <row r="443" ht="15.75" customHeight="1">
      <c r="A443" s="40" t="str">
        <f t="shared" si="13"/>
        <v/>
      </c>
      <c r="B443" s="40" t="str">
        <f t="shared" si="14"/>
        <v/>
      </c>
      <c r="E443" s="25"/>
      <c r="H443" s="52"/>
    </row>
    <row r="444" ht="15.75" customHeight="1">
      <c r="A444" s="40" t="str">
        <f t="shared" si="13"/>
        <v/>
      </c>
      <c r="B444" s="40" t="str">
        <f t="shared" si="14"/>
        <v/>
      </c>
      <c r="E444" s="25"/>
      <c r="H444" s="52"/>
    </row>
    <row r="445" ht="15.75" customHeight="1">
      <c r="A445" s="40" t="str">
        <f t="shared" si="13"/>
        <v/>
      </c>
      <c r="B445" s="40" t="str">
        <f t="shared" si="14"/>
        <v/>
      </c>
      <c r="E445" s="25"/>
      <c r="H445" s="52"/>
    </row>
    <row r="446" ht="15.75" customHeight="1">
      <c r="A446" s="40" t="str">
        <f t="shared" si="13"/>
        <v/>
      </c>
      <c r="B446" s="40" t="str">
        <f t="shared" si="14"/>
        <v/>
      </c>
      <c r="E446" s="25"/>
      <c r="H446" s="52"/>
    </row>
    <row r="447" ht="15.75" customHeight="1">
      <c r="A447" s="40" t="str">
        <f t="shared" si="13"/>
        <v/>
      </c>
      <c r="B447" s="40" t="str">
        <f t="shared" si="14"/>
        <v/>
      </c>
      <c r="E447" s="25"/>
      <c r="H447" s="52"/>
    </row>
    <row r="448" ht="15.75" customHeight="1">
      <c r="A448" s="40" t="str">
        <f t="shared" si="13"/>
        <v/>
      </c>
      <c r="B448" s="40" t="str">
        <f t="shared" si="14"/>
        <v/>
      </c>
      <c r="E448" s="25"/>
      <c r="H448" s="52"/>
    </row>
    <row r="449" ht="15.75" customHeight="1">
      <c r="A449" s="40" t="str">
        <f t="shared" si="13"/>
        <v/>
      </c>
      <c r="B449" s="40" t="str">
        <f t="shared" si="14"/>
        <v/>
      </c>
      <c r="E449" s="25"/>
      <c r="H449" s="52"/>
    </row>
    <row r="450" ht="15.75" customHeight="1">
      <c r="A450" s="40" t="str">
        <f t="shared" si="13"/>
        <v/>
      </c>
      <c r="B450" s="40" t="str">
        <f t="shared" si="14"/>
        <v/>
      </c>
      <c r="E450" s="25"/>
      <c r="H450" s="52"/>
    </row>
    <row r="451" ht="15.75" customHeight="1">
      <c r="A451" s="40" t="str">
        <f t="shared" si="13"/>
        <v/>
      </c>
      <c r="B451" s="40" t="str">
        <f t="shared" si="14"/>
        <v/>
      </c>
      <c r="E451" s="25"/>
      <c r="H451" s="52"/>
    </row>
    <row r="452" ht="15.75" customHeight="1">
      <c r="A452" s="40" t="str">
        <f t="shared" si="13"/>
        <v/>
      </c>
      <c r="B452" s="40" t="str">
        <f t="shared" si="14"/>
        <v/>
      </c>
      <c r="E452" s="25"/>
      <c r="H452" s="52"/>
    </row>
    <row r="453" ht="15.75" customHeight="1">
      <c r="A453" s="40" t="str">
        <f t="shared" si="13"/>
        <v/>
      </c>
      <c r="B453" s="40" t="str">
        <f t="shared" si="14"/>
        <v/>
      </c>
      <c r="E453" s="25"/>
      <c r="H453" s="52"/>
    </row>
    <row r="454" ht="15.75" customHeight="1">
      <c r="A454" s="40" t="str">
        <f t="shared" si="13"/>
        <v/>
      </c>
      <c r="B454" s="40" t="str">
        <f t="shared" si="14"/>
        <v/>
      </c>
      <c r="E454" s="25"/>
      <c r="H454" s="52"/>
    </row>
    <row r="455" ht="15.75" customHeight="1">
      <c r="A455" s="40" t="str">
        <f t="shared" si="13"/>
        <v/>
      </c>
      <c r="B455" s="40" t="str">
        <f t="shared" si="14"/>
        <v/>
      </c>
      <c r="E455" s="25"/>
      <c r="H455" s="52"/>
    </row>
    <row r="456" ht="15.75" customHeight="1">
      <c r="A456" s="40" t="str">
        <f t="shared" si="13"/>
        <v/>
      </c>
      <c r="B456" s="40" t="str">
        <f t="shared" si="14"/>
        <v/>
      </c>
      <c r="E456" s="25"/>
      <c r="H456" s="52"/>
    </row>
    <row r="457" ht="15.75" customHeight="1">
      <c r="A457" s="40" t="str">
        <f t="shared" si="13"/>
        <v/>
      </c>
      <c r="B457" s="40" t="str">
        <f t="shared" si="14"/>
        <v/>
      </c>
      <c r="E457" s="25"/>
      <c r="H457" s="52"/>
    </row>
    <row r="458" ht="15.75" customHeight="1">
      <c r="A458" s="40" t="str">
        <f t="shared" si="13"/>
        <v/>
      </c>
      <c r="B458" s="40" t="str">
        <f t="shared" si="14"/>
        <v/>
      </c>
      <c r="E458" s="25"/>
      <c r="H458" s="52"/>
    </row>
    <row r="459" ht="15.75" customHeight="1">
      <c r="A459" s="40" t="str">
        <f t="shared" si="13"/>
        <v/>
      </c>
      <c r="B459" s="40" t="str">
        <f t="shared" si="14"/>
        <v/>
      </c>
      <c r="E459" s="25"/>
      <c r="H459" s="52"/>
    </row>
    <row r="460" ht="15.75" customHeight="1">
      <c r="A460" s="40" t="str">
        <f t="shared" si="13"/>
        <v/>
      </c>
      <c r="B460" s="40" t="str">
        <f t="shared" si="14"/>
        <v/>
      </c>
      <c r="E460" s="25"/>
      <c r="H460" s="52"/>
    </row>
    <row r="461" ht="15.75" customHeight="1">
      <c r="A461" s="40" t="str">
        <f t="shared" si="13"/>
        <v/>
      </c>
      <c r="B461" s="40" t="str">
        <f t="shared" si="14"/>
        <v/>
      </c>
      <c r="E461" s="25"/>
      <c r="H461" s="52"/>
    </row>
    <row r="462" ht="15.75" customHeight="1">
      <c r="A462" s="40" t="str">
        <f t="shared" si="13"/>
        <v/>
      </c>
      <c r="B462" s="40" t="str">
        <f t="shared" si="14"/>
        <v/>
      </c>
      <c r="E462" s="25"/>
      <c r="H462" s="52"/>
    </row>
    <row r="463" ht="15.75" customHeight="1">
      <c r="A463" s="40" t="str">
        <f t="shared" si="13"/>
        <v/>
      </c>
      <c r="B463" s="40" t="str">
        <f t="shared" si="14"/>
        <v/>
      </c>
      <c r="E463" s="25"/>
      <c r="H463" s="52"/>
    </row>
    <row r="464" ht="15.75" customHeight="1">
      <c r="E464" s="25"/>
      <c r="H464" s="52"/>
    </row>
    <row r="465" ht="15.75" customHeight="1">
      <c r="E465" s="25"/>
      <c r="H465" s="52"/>
    </row>
    <row r="466" ht="15.75" customHeight="1">
      <c r="E466" s="25"/>
      <c r="H466" s="52"/>
    </row>
    <row r="467" ht="15.75" customHeight="1">
      <c r="E467" s="25"/>
      <c r="H467" s="52"/>
    </row>
    <row r="468" ht="15.75" customHeight="1">
      <c r="E468" s="25"/>
      <c r="H468" s="52"/>
    </row>
    <row r="469" ht="15.75" customHeight="1">
      <c r="E469" s="25"/>
      <c r="H469" s="52"/>
    </row>
    <row r="470" ht="15.75" customHeight="1">
      <c r="E470" s="25"/>
      <c r="H470" s="52"/>
    </row>
    <row r="471" ht="15.75" customHeight="1">
      <c r="E471" s="25"/>
      <c r="H471" s="52"/>
    </row>
    <row r="472" ht="15.75" customHeight="1">
      <c r="E472" s="25"/>
      <c r="H472" s="52"/>
    </row>
    <row r="473" ht="15.75" customHeight="1">
      <c r="E473" s="25"/>
      <c r="H473" s="52"/>
    </row>
    <row r="474" ht="15.75" customHeight="1">
      <c r="E474" s="25"/>
      <c r="H474" s="52"/>
    </row>
    <row r="475" ht="15.75" customHeight="1">
      <c r="E475" s="25"/>
      <c r="H475" s="52"/>
    </row>
    <row r="476" ht="15.75" customHeight="1">
      <c r="E476" s="25"/>
      <c r="H476" s="52"/>
    </row>
    <row r="477" ht="15.75" customHeight="1">
      <c r="E477" s="25"/>
      <c r="H477" s="52"/>
    </row>
    <row r="478" ht="15.75" customHeight="1">
      <c r="E478" s="25"/>
      <c r="H478" s="52"/>
    </row>
    <row r="479" ht="15.75" customHeight="1">
      <c r="E479" s="25"/>
      <c r="H479" s="52"/>
    </row>
    <row r="480" ht="15.75" customHeight="1">
      <c r="E480" s="25"/>
      <c r="H480" s="52"/>
    </row>
    <row r="481" ht="15.75" customHeight="1">
      <c r="E481" s="25"/>
      <c r="H481" s="52"/>
    </row>
    <row r="482" ht="15.75" customHeight="1">
      <c r="E482" s="25"/>
      <c r="H482" s="52"/>
    </row>
    <row r="483" ht="15.75" customHeight="1">
      <c r="E483" s="25"/>
      <c r="H483" s="52"/>
    </row>
    <row r="484" ht="15.75" customHeight="1">
      <c r="E484" s="25"/>
      <c r="H484" s="52"/>
    </row>
    <row r="485" ht="15.75" customHeight="1">
      <c r="E485" s="25"/>
      <c r="H485" s="52"/>
    </row>
    <row r="486" ht="15.75" customHeight="1">
      <c r="E486" s="25"/>
      <c r="H486" s="52"/>
    </row>
    <row r="487" ht="15.75" customHeight="1">
      <c r="E487" s="25"/>
      <c r="H487" s="52"/>
    </row>
    <row r="488" ht="15.75" customHeight="1">
      <c r="E488" s="25"/>
      <c r="H488" s="52"/>
    </row>
    <row r="489" ht="15.75" customHeight="1">
      <c r="E489" s="25"/>
      <c r="H489" s="52"/>
    </row>
    <row r="490" ht="15.75" customHeight="1">
      <c r="E490" s="25"/>
      <c r="H490" s="52"/>
    </row>
    <row r="491" ht="15.75" customHeight="1">
      <c r="E491" s="25"/>
      <c r="H491" s="52"/>
    </row>
    <row r="492" ht="15.75" customHeight="1">
      <c r="E492" s="25"/>
      <c r="H492" s="52"/>
    </row>
    <row r="493" ht="15.75" customHeight="1">
      <c r="E493" s="25"/>
      <c r="H493" s="52"/>
    </row>
    <row r="494" ht="15.75" customHeight="1">
      <c r="E494" s="25"/>
      <c r="H494" s="52"/>
    </row>
    <row r="495" ht="15.75" customHeight="1">
      <c r="E495" s="25"/>
      <c r="H495" s="52"/>
    </row>
    <row r="496" ht="15.75" customHeight="1">
      <c r="E496" s="25"/>
      <c r="H496" s="52"/>
    </row>
    <row r="497" ht="15.75" customHeight="1">
      <c r="E497" s="25"/>
      <c r="H497" s="52"/>
    </row>
    <row r="498" ht="15.75" customHeight="1">
      <c r="E498" s="25"/>
      <c r="H498" s="52"/>
    </row>
    <row r="499" ht="15.75" customHeight="1">
      <c r="E499" s="25"/>
      <c r="H499" s="52"/>
    </row>
    <row r="500" ht="15.75" customHeight="1">
      <c r="E500" s="25"/>
      <c r="H500" s="52"/>
    </row>
    <row r="501" ht="15.75" customHeight="1">
      <c r="E501" s="25"/>
      <c r="H501" s="52"/>
    </row>
    <row r="502" ht="15.75" customHeight="1">
      <c r="E502" s="25"/>
      <c r="H502" s="52"/>
    </row>
    <row r="503" ht="15.75" customHeight="1">
      <c r="E503" s="25"/>
      <c r="H503" s="52"/>
    </row>
    <row r="504" ht="15.75" customHeight="1">
      <c r="E504" s="25"/>
      <c r="H504" s="52"/>
    </row>
    <row r="505" ht="15.75" customHeight="1">
      <c r="E505" s="25"/>
      <c r="H505" s="52"/>
    </row>
    <row r="506" ht="15.75" customHeight="1">
      <c r="E506" s="25"/>
      <c r="H506" s="52"/>
    </row>
    <row r="507" ht="15.75" customHeight="1">
      <c r="E507" s="25"/>
      <c r="H507" s="52"/>
    </row>
    <row r="508" ht="15.75" customHeight="1">
      <c r="E508" s="25"/>
      <c r="H508" s="52"/>
    </row>
    <row r="509" ht="15.75" customHeight="1">
      <c r="E509" s="25"/>
      <c r="H509" s="52"/>
    </row>
    <row r="510" ht="15.75" customHeight="1">
      <c r="E510" s="25"/>
      <c r="H510" s="52"/>
    </row>
    <row r="511" ht="15.75" customHeight="1">
      <c r="E511" s="25"/>
      <c r="H511" s="52"/>
    </row>
    <row r="512" ht="15.75" customHeight="1">
      <c r="E512" s="25"/>
      <c r="H512" s="52"/>
    </row>
    <row r="513" ht="15.75" customHeight="1">
      <c r="E513" s="25"/>
      <c r="H513" s="52"/>
    </row>
    <row r="514" ht="15.75" customHeight="1">
      <c r="E514" s="25"/>
      <c r="H514" s="52"/>
    </row>
    <row r="515" ht="15.75" customHeight="1">
      <c r="E515" s="25"/>
      <c r="H515" s="52"/>
    </row>
    <row r="516" ht="15.75" customHeight="1">
      <c r="E516" s="25"/>
      <c r="H516" s="52"/>
    </row>
    <row r="517" ht="15.75" customHeight="1">
      <c r="E517" s="25"/>
      <c r="H517" s="52"/>
    </row>
    <row r="518" ht="15.75" customHeight="1">
      <c r="E518" s="25"/>
      <c r="H518" s="52"/>
    </row>
    <row r="519" ht="15.75" customHeight="1">
      <c r="E519" s="25"/>
      <c r="H519" s="52"/>
    </row>
    <row r="520" ht="15.75" customHeight="1">
      <c r="E520" s="25"/>
      <c r="H520" s="52"/>
    </row>
    <row r="521" ht="15.75" customHeight="1">
      <c r="E521" s="25"/>
      <c r="H521" s="52"/>
    </row>
    <row r="522" ht="15.75" customHeight="1">
      <c r="E522" s="25"/>
      <c r="H522" s="52"/>
    </row>
    <row r="523" ht="15.75" customHeight="1">
      <c r="E523" s="25"/>
      <c r="H523" s="52"/>
    </row>
    <row r="524" ht="15.75" customHeight="1">
      <c r="E524" s="25"/>
      <c r="H524" s="52"/>
    </row>
    <row r="525" ht="15.75" customHeight="1">
      <c r="E525" s="25"/>
      <c r="H525" s="52"/>
    </row>
    <row r="526" ht="15.75" customHeight="1">
      <c r="E526" s="25"/>
      <c r="H526" s="52"/>
    </row>
    <row r="527" ht="15.75" customHeight="1">
      <c r="E527" s="25"/>
      <c r="H527" s="52"/>
    </row>
    <row r="528" ht="15.75" customHeight="1">
      <c r="E528" s="25"/>
      <c r="H528" s="52"/>
    </row>
    <row r="529" ht="15.75" customHeight="1">
      <c r="E529" s="25"/>
      <c r="H529" s="52"/>
    </row>
    <row r="530" ht="15.75" customHeight="1">
      <c r="E530" s="25"/>
      <c r="H530" s="52"/>
    </row>
    <row r="531" ht="15.75" customHeight="1">
      <c r="E531" s="25"/>
      <c r="H531" s="52"/>
    </row>
    <row r="532" ht="15.75" customHeight="1">
      <c r="E532" s="25"/>
      <c r="H532" s="52"/>
    </row>
    <row r="533" ht="15.75" customHeight="1">
      <c r="E533" s="25"/>
      <c r="H533" s="52"/>
    </row>
    <row r="534" ht="15.75" customHeight="1">
      <c r="E534" s="25"/>
      <c r="H534" s="52"/>
    </row>
    <row r="535" ht="15.75" customHeight="1">
      <c r="E535" s="25"/>
      <c r="H535" s="52"/>
    </row>
    <row r="536" ht="15.75" customHeight="1">
      <c r="E536" s="25"/>
      <c r="H536" s="52"/>
    </row>
    <row r="537" ht="15.75" customHeight="1">
      <c r="E537" s="25"/>
      <c r="H537" s="52"/>
    </row>
    <row r="538" ht="15.75" customHeight="1">
      <c r="E538" s="25"/>
      <c r="H538" s="52"/>
    </row>
    <row r="539" ht="15.75" customHeight="1">
      <c r="E539" s="25"/>
      <c r="H539" s="52"/>
    </row>
    <row r="540" ht="15.75" customHeight="1">
      <c r="E540" s="25"/>
      <c r="H540" s="52"/>
    </row>
    <row r="541" ht="15.75" customHeight="1">
      <c r="E541" s="25"/>
      <c r="H541" s="52"/>
    </row>
    <row r="542" ht="15.75" customHeight="1">
      <c r="E542" s="25"/>
      <c r="H542" s="52"/>
    </row>
    <row r="543" ht="15.75" customHeight="1">
      <c r="E543" s="25"/>
      <c r="H543" s="52"/>
    </row>
    <row r="544" ht="15.75" customHeight="1">
      <c r="E544" s="25"/>
      <c r="H544" s="52"/>
    </row>
    <row r="545" ht="15.75" customHeight="1">
      <c r="E545" s="25"/>
      <c r="H545" s="52"/>
    </row>
    <row r="546" ht="15.75" customHeight="1">
      <c r="E546" s="25"/>
      <c r="H546" s="52"/>
    </row>
    <row r="547" ht="15.75" customHeight="1">
      <c r="E547" s="25"/>
      <c r="H547" s="52"/>
    </row>
    <row r="548" ht="15.75" customHeight="1">
      <c r="E548" s="25"/>
      <c r="H548" s="52"/>
    </row>
    <row r="549" ht="15.75" customHeight="1">
      <c r="E549" s="25"/>
      <c r="H549" s="52"/>
    </row>
    <row r="550" ht="15.75" customHeight="1">
      <c r="E550" s="25"/>
      <c r="H550" s="52"/>
    </row>
    <row r="551" ht="15.75" customHeight="1">
      <c r="E551" s="25"/>
      <c r="H551" s="52"/>
    </row>
    <row r="552" ht="15.75" customHeight="1">
      <c r="E552" s="25"/>
      <c r="H552" s="52"/>
    </row>
    <row r="553" ht="15.75" customHeight="1">
      <c r="E553" s="25"/>
      <c r="H553" s="52"/>
    </row>
    <row r="554" ht="15.75" customHeight="1">
      <c r="E554" s="25"/>
      <c r="H554" s="52"/>
    </row>
    <row r="555" ht="15.75" customHeight="1">
      <c r="E555" s="25"/>
      <c r="H555" s="52"/>
    </row>
    <row r="556" ht="15.75" customHeight="1">
      <c r="E556" s="25"/>
      <c r="H556" s="52"/>
    </row>
    <row r="557" ht="15.75" customHeight="1">
      <c r="E557" s="25"/>
      <c r="H557" s="52"/>
    </row>
    <row r="558" ht="15.75" customHeight="1">
      <c r="E558" s="25"/>
      <c r="H558" s="52"/>
    </row>
    <row r="559" ht="15.75" customHeight="1">
      <c r="E559" s="25"/>
      <c r="H559" s="52"/>
    </row>
    <row r="560" ht="15.75" customHeight="1">
      <c r="E560" s="25"/>
      <c r="H560" s="52"/>
    </row>
    <row r="561" ht="15.75" customHeight="1">
      <c r="E561" s="25"/>
      <c r="H561" s="52"/>
    </row>
    <row r="562" ht="15.75" customHeight="1">
      <c r="E562" s="25"/>
      <c r="H562" s="52"/>
    </row>
    <row r="563" ht="15.75" customHeight="1">
      <c r="E563" s="25"/>
      <c r="H563" s="52"/>
    </row>
    <row r="564" ht="15.75" customHeight="1">
      <c r="E564" s="25"/>
      <c r="H564" s="52"/>
    </row>
    <row r="565" ht="15.75" customHeight="1">
      <c r="E565" s="25"/>
      <c r="H565" s="52"/>
    </row>
    <row r="566" ht="15.75" customHeight="1">
      <c r="E566" s="25"/>
      <c r="H566" s="52"/>
    </row>
    <row r="567" ht="15.75" customHeight="1">
      <c r="E567" s="25"/>
      <c r="H567" s="52"/>
    </row>
    <row r="568" ht="15.75" customHeight="1">
      <c r="E568" s="25"/>
      <c r="H568" s="52"/>
    </row>
    <row r="569" ht="15.75" customHeight="1">
      <c r="E569" s="25"/>
      <c r="H569" s="52"/>
    </row>
    <row r="570" ht="15.75" customHeight="1">
      <c r="E570" s="25"/>
      <c r="H570" s="52"/>
    </row>
    <row r="571" ht="15.75" customHeight="1">
      <c r="E571" s="25"/>
      <c r="H571" s="52"/>
    </row>
    <row r="572" ht="15.75" customHeight="1">
      <c r="E572" s="25"/>
      <c r="H572" s="52"/>
    </row>
    <row r="573" ht="15.75" customHeight="1">
      <c r="E573" s="25"/>
      <c r="H573" s="52"/>
    </row>
    <row r="574" ht="15.75" customHeight="1">
      <c r="E574" s="25"/>
      <c r="H574" s="52"/>
    </row>
    <row r="575" ht="15.75" customHeight="1">
      <c r="E575" s="25"/>
      <c r="H575" s="52"/>
    </row>
    <row r="576" ht="15.75" customHeight="1">
      <c r="E576" s="25"/>
      <c r="H576" s="52"/>
    </row>
    <row r="577" ht="15.75" customHeight="1">
      <c r="E577" s="25"/>
      <c r="H577" s="52"/>
    </row>
    <row r="578" ht="15.75" customHeight="1">
      <c r="E578" s="25"/>
      <c r="H578" s="52"/>
    </row>
    <row r="579" ht="15.75" customHeight="1">
      <c r="E579" s="25"/>
      <c r="H579" s="52"/>
    </row>
    <row r="580" ht="15.75" customHeight="1">
      <c r="E580" s="25"/>
      <c r="H580" s="52"/>
    </row>
    <row r="581" ht="15.75" customHeight="1">
      <c r="E581" s="25"/>
      <c r="H581" s="52"/>
    </row>
    <row r="582" ht="15.75" customHeight="1">
      <c r="E582" s="25"/>
      <c r="H582" s="52"/>
    </row>
    <row r="583" ht="15.75" customHeight="1">
      <c r="E583" s="25"/>
      <c r="H583" s="52"/>
    </row>
    <row r="584" ht="15.75" customHeight="1">
      <c r="E584" s="25"/>
      <c r="H584" s="52"/>
    </row>
    <row r="585" ht="15.75" customHeight="1">
      <c r="E585" s="25"/>
      <c r="H585" s="52"/>
    </row>
    <row r="586" ht="15.75" customHeight="1">
      <c r="E586" s="25"/>
      <c r="H586" s="52"/>
    </row>
    <row r="587" ht="15.75" customHeight="1">
      <c r="E587" s="25"/>
      <c r="H587" s="52"/>
    </row>
    <row r="588" ht="15.75" customHeight="1">
      <c r="E588" s="25"/>
      <c r="H588" s="52"/>
    </row>
    <row r="589" ht="15.75" customHeight="1">
      <c r="E589" s="25"/>
      <c r="H589" s="52"/>
    </row>
    <row r="590" ht="15.75" customHeight="1">
      <c r="E590" s="25"/>
      <c r="H590" s="52"/>
    </row>
    <row r="591" ht="15.75" customHeight="1">
      <c r="E591" s="25"/>
      <c r="H591" s="52"/>
    </row>
    <row r="592" ht="15.75" customHeight="1">
      <c r="E592" s="25"/>
      <c r="H592" s="52"/>
    </row>
    <row r="593" ht="15.75" customHeight="1">
      <c r="E593" s="25"/>
      <c r="H593" s="52"/>
    </row>
    <row r="594" ht="15.75" customHeight="1">
      <c r="E594" s="25"/>
      <c r="H594" s="52"/>
    </row>
    <row r="595" ht="15.75" customHeight="1">
      <c r="E595" s="25"/>
      <c r="H595" s="52"/>
    </row>
    <row r="596" ht="15.75" customHeight="1">
      <c r="E596" s="25"/>
      <c r="H596" s="52"/>
    </row>
    <row r="597" ht="15.75" customHeight="1">
      <c r="E597" s="25"/>
      <c r="H597" s="52"/>
    </row>
    <row r="598" ht="15.75" customHeight="1">
      <c r="E598" s="25"/>
      <c r="H598" s="52"/>
    </row>
    <row r="599" ht="15.75" customHeight="1">
      <c r="E599" s="25"/>
      <c r="H599" s="52"/>
    </row>
    <row r="600" ht="15.75" customHeight="1">
      <c r="E600" s="25"/>
      <c r="H600" s="52"/>
    </row>
    <row r="601" ht="15.75" customHeight="1">
      <c r="E601" s="25"/>
      <c r="H601" s="52"/>
    </row>
    <row r="602" ht="15.75" customHeight="1">
      <c r="E602" s="25"/>
      <c r="H602" s="52"/>
    </row>
    <row r="603" ht="15.75" customHeight="1">
      <c r="E603" s="25"/>
      <c r="H603" s="52"/>
    </row>
    <row r="604" ht="15.75" customHeight="1">
      <c r="E604" s="25"/>
      <c r="H604" s="52"/>
    </row>
    <row r="605" ht="15.75" customHeight="1">
      <c r="E605" s="25"/>
      <c r="H605" s="52"/>
    </row>
    <row r="606" ht="15.75" customHeight="1">
      <c r="E606" s="25"/>
      <c r="H606" s="52"/>
    </row>
    <row r="607" ht="15.75" customHeight="1">
      <c r="E607" s="25"/>
      <c r="H607" s="52"/>
    </row>
    <row r="608" ht="15.75" customHeight="1">
      <c r="E608" s="25"/>
      <c r="H608" s="52"/>
    </row>
    <row r="609" ht="15.75" customHeight="1">
      <c r="E609" s="25"/>
      <c r="H609" s="52"/>
    </row>
    <row r="610" ht="15.75" customHeight="1">
      <c r="E610" s="25"/>
      <c r="H610" s="52"/>
    </row>
    <row r="611" ht="15.75" customHeight="1">
      <c r="E611" s="25"/>
      <c r="H611" s="52"/>
    </row>
    <row r="612" ht="15.75" customHeight="1">
      <c r="E612" s="25"/>
      <c r="H612" s="52"/>
    </row>
    <row r="613" ht="15.75" customHeight="1">
      <c r="E613" s="25"/>
      <c r="H613" s="52"/>
    </row>
    <row r="614" ht="15.75" customHeight="1">
      <c r="E614" s="25"/>
      <c r="H614" s="52"/>
    </row>
    <row r="615" ht="15.75" customHeight="1">
      <c r="E615" s="25"/>
      <c r="H615" s="52"/>
    </row>
    <row r="616" ht="15.75" customHeight="1">
      <c r="E616" s="25"/>
      <c r="H616" s="52"/>
    </row>
    <row r="617" ht="15.75" customHeight="1">
      <c r="E617" s="25"/>
      <c r="H617" s="52"/>
    </row>
    <row r="618" ht="15.75" customHeight="1">
      <c r="E618" s="25"/>
      <c r="H618" s="52"/>
    </row>
    <row r="619" ht="15.75" customHeight="1">
      <c r="E619" s="25"/>
      <c r="H619" s="52"/>
    </row>
    <row r="620" ht="15.75" customHeight="1">
      <c r="E620" s="25"/>
      <c r="H620" s="52"/>
    </row>
    <row r="621" ht="15.75" customHeight="1">
      <c r="E621" s="25"/>
      <c r="H621" s="52"/>
    </row>
    <row r="622" ht="15.75" customHeight="1">
      <c r="E622" s="25"/>
      <c r="H622" s="52"/>
    </row>
    <row r="623" ht="15.75" customHeight="1">
      <c r="E623" s="25"/>
      <c r="H623" s="52"/>
    </row>
    <row r="624" ht="15.75" customHeight="1">
      <c r="E624" s="25"/>
      <c r="H624" s="52"/>
    </row>
    <row r="625" ht="15.75" customHeight="1">
      <c r="E625" s="25"/>
      <c r="H625" s="52"/>
    </row>
    <row r="626" ht="15.75" customHeight="1">
      <c r="E626" s="25"/>
      <c r="H626" s="52"/>
    </row>
    <row r="627" ht="15.75" customHeight="1">
      <c r="E627" s="25"/>
      <c r="H627" s="52"/>
    </row>
    <row r="628" ht="15.75" customHeight="1">
      <c r="E628" s="25"/>
      <c r="H628" s="52"/>
    </row>
    <row r="629" ht="15.75" customHeight="1">
      <c r="E629" s="25"/>
      <c r="H629" s="52"/>
    </row>
    <row r="630" ht="15.75" customHeight="1">
      <c r="E630" s="25"/>
      <c r="H630" s="52"/>
    </row>
    <row r="631" ht="15.75" customHeight="1">
      <c r="E631" s="25"/>
      <c r="H631" s="52"/>
    </row>
    <row r="632" ht="15.75" customHeight="1">
      <c r="E632" s="25"/>
      <c r="H632" s="52"/>
    </row>
    <row r="633" ht="15.75" customHeight="1">
      <c r="E633" s="25"/>
      <c r="H633" s="52"/>
    </row>
    <row r="634" ht="15.75" customHeight="1">
      <c r="E634" s="25"/>
      <c r="H634" s="52"/>
    </row>
    <row r="635" ht="15.75" customHeight="1">
      <c r="E635" s="25"/>
      <c r="H635" s="52"/>
    </row>
    <row r="636" ht="15.75" customHeight="1">
      <c r="E636" s="25"/>
      <c r="H636" s="52"/>
    </row>
    <row r="637" ht="15.75" customHeight="1">
      <c r="E637" s="25"/>
      <c r="H637" s="52"/>
    </row>
    <row r="638" ht="15.75" customHeight="1">
      <c r="E638" s="25"/>
      <c r="H638" s="52"/>
    </row>
    <row r="639" ht="15.75" customHeight="1">
      <c r="E639" s="25"/>
      <c r="H639" s="52"/>
    </row>
    <row r="640" ht="15.75" customHeight="1">
      <c r="E640" s="25"/>
      <c r="H640" s="52"/>
    </row>
    <row r="641" ht="15.75" customHeight="1">
      <c r="E641" s="25"/>
      <c r="H641" s="52"/>
    </row>
    <row r="642" ht="15.75" customHeight="1">
      <c r="E642" s="25"/>
      <c r="H642" s="52"/>
    </row>
    <row r="643" ht="15.75" customHeight="1">
      <c r="E643" s="25"/>
      <c r="H643" s="52"/>
    </row>
    <row r="644" ht="15.75" customHeight="1">
      <c r="E644" s="25"/>
      <c r="H644" s="52"/>
    </row>
    <row r="645" ht="15.75" customHeight="1">
      <c r="E645" s="25"/>
      <c r="H645" s="52"/>
    </row>
    <row r="646" ht="15.75" customHeight="1">
      <c r="E646" s="25"/>
      <c r="H646" s="52"/>
    </row>
    <row r="647" ht="15.75" customHeight="1">
      <c r="E647" s="25"/>
      <c r="H647" s="52"/>
    </row>
    <row r="648" ht="15.75" customHeight="1">
      <c r="E648" s="25"/>
      <c r="H648" s="52"/>
    </row>
    <row r="649" ht="15.75" customHeight="1">
      <c r="E649" s="25"/>
      <c r="H649" s="52"/>
    </row>
    <row r="650" ht="15.75" customHeight="1">
      <c r="E650" s="25"/>
      <c r="H650" s="52"/>
    </row>
    <row r="651" ht="15.75" customHeight="1">
      <c r="E651" s="25"/>
      <c r="H651" s="52"/>
    </row>
    <row r="652" ht="15.75" customHeight="1">
      <c r="E652" s="25"/>
      <c r="H652" s="52"/>
    </row>
    <row r="653" ht="15.75" customHeight="1">
      <c r="E653" s="25"/>
      <c r="H653" s="52"/>
    </row>
    <row r="654" ht="15.75" customHeight="1">
      <c r="E654" s="25"/>
      <c r="H654" s="52"/>
    </row>
    <row r="655" ht="15.75" customHeight="1">
      <c r="E655" s="25"/>
      <c r="H655" s="52"/>
    </row>
    <row r="656" ht="15.75" customHeight="1">
      <c r="E656" s="25"/>
      <c r="H656" s="52"/>
    </row>
    <row r="657" ht="15.75" customHeight="1">
      <c r="E657" s="25"/>
      <c r="H657" s="52"/>
    </row>
    <row r="658" ht="15.75" customHeight="1">
      <c r="E658" s="25"/>
      <c r="H658" s="52"/>
    </row>
    <row r="659" ht="15.75" customHeight="1">
      <c r="E659" s="25"/>
      <c r="H659" s="52"/>
    </row>
    <row r="660" ht="15.75" customHeight="1">
      <c r="E660" s="25"/>
      <c r="H660" s="52"/>
    </row>
    <row r="661" ht="15.75" customHeight="1">
      <c r="E661" s="25"/>
      <c r="H661" s="52"/>
    </row>
    <row r="662" ht="15.75" customHeight="1">
      <c r="E662" s="25"/>
      <c r="H662" s="52"/>
    </row>
    <row r="663" ht="15.75" customHeight="1">
      <c r="E663" s="25"/>
      <c r="H663" s="52"/>
    </row>
    <row r="664" ht="15.75" customHeight="1">
      <c r="E664" s="25"/>
      <c r="H664" s="52"/>
    </row>
    <row r="665" ht="15.75" customHeight="1">
      <c r="E665" s="25"/>
      <c r="H665" s="52"/>
    </row>
    <row r="666" ht="15.75" customHeight="1">
      <c r="E666" s="25"/>
      <c r="H666" s="52"/>
    </row>
    <row r="667" ht="15.75" customHeight="1">
      <c r="E667" s="25"/>
      <c r="H667" s="52"/>
    </row>
    <row r="668" ht="15.75" customHeight="1">
      <c r="E668" s="25"/>
      <c r="H668" s="52"/>
    </row>
    <row r="669" ht="15.75" customHeight="1">
      <c r="E669" s="25"/>
      <c r="H669" s="52"/>
    </row>
    <row r="670" ht="15.75" customHeight="1">
      <c r="E670" s="25"/>
      <c r="H670" s="52"/>
    </row>
    <row r="671" ht="15.75" customHeight="1">
      <c r="E671" s="25"/>
      <c r="H671" s="52"/>
    </row>
    <row r="672" ht="15.75" customHeight="1">
      <c r="E672" s="25"/>
      <c r="H672" s="52"/>
    </row>
    <row r="673" ht="15.75" customHeight="1">
      <c r="E673" s="25"/>
      <c r="H673" s="52"/>
    </row>
    <row r="674" ht="15.75" customHeight="1">
      <c r="E674" s="25"/>
      <c r="H674" s="52"/>
    </row>
    <row r="675" ht="15.75" customHeight="1">
      <c r="E675" s="25"/>
      <c r="H675" s="52"/>
    </row>
    <row r="676" ht="15.75" customHeight="1">
      <c r="E676" s="25"/>
      <c r="H676" s="52"/>
    </row>
    <row r="677" ht="15.75" customHeight="1">
      <c r="E677" s="25"/>
      <c r="H677" s="52"/>
    </row>
    <row r="678" ht="15.75" customHeight="1">
      <c r="E678" s="25"/>
      <c r="H678" s="52"/>
    </row>
    <row r="679" ht="15.75" customHeight="1">
      <c r="E679" s="25"/>
      <c r="H679" s="52"/>
    </row>
    <row r="680" ht="15.75" customHeight="1">
      <c r="E680" s="25"/>
      <c r="H680" s="52"/>
    </row>
    <row r="681" ht="15.75" customHeight="1">
      <c r="E681" s="25"/>
      <c r="H681" s="52"/>
    </row>
    <row r="682" ht="15.75" customHeight="1">
      <c r="E682" s="25"/>
      <c r="H682" s="52"/>
    </row>
    <row r="683" ht="15.75" customHeight="1">
      <c r="E683" s="25"/>
      <c r="H683" s="52"/>
    </row>
    <row r="684" ht="15.75" customHeight="1">
      <c r="E684" s="25"/>
      <c r="H684" s="52"/>
    </row>
    <row r="685" ht="15.75" customHeight="1">
      <c r="E685" s="25"/>
      <c r="H685" s="52"/>
    </row>
    <row r="686" ht="15.75" customHeight="1">
      <c r="E686" s="25"/>
      <c r="H686" s="52"/>
    </row>
    <row r="687" ht="15.75" customHeight="1">
      <c r="E687" s="25"/>
      <c r="H687" s="52"/>
    </row>
    <row r="688" ht="15.75" customHeight="1">
      <c r="E688" s="25"/>
      <c r="H688" s="52"/>
    </row>
    <row r="689" ht="15.75" customHeight="1">
      <c r="E689" s="25"/>
      <c r="H689" s="52"/>
    </row>
    <row r="690" ht="15.75" customHeight="1">
      <c r="E690" s="25"/>
      <c r="H690" s="52"/>
    </row>
    <row r="691" ht="15.75" customHeight="1">
      <c r="E691" s="25"/>
      <c r="H691" s="52"/>
    </row>
    <row r="692" ht="15.75" customHeight="1">
      <c r="E692" s="25"/>
      <c r="H692" s="52"/>
    </row>
    <row r="693" ht="15.75" customHeight="1">
      <c r="E693" s="25"/>
      <c r="H693" s="52"/>
    </row>
    <row r="694" ht="15.75" customHeight="1">
      <c r="E694" s="25"/>
      <c r="H694" s="52"/>
    </row>
    <row r="695" ht="15.75" customHeight="1">
      <c r="E695" s="25"/>
      <c r="H695" s="52"/>
    </row>
    <row r="696" ht="15.75" customHeight="1">
      <c r="E696" s="25"/>
      <c r="H696" s="52"/>
    </row>
    <row r="697" ht="15.75" customHeight="1">
      <c r="E697" s="25"/>
      <c r="H697" s="52"/>
    </row>
    <row r="698" ht="15.75" customHeight="1">
      <c r="E698" s="25"/>
      <c r="H698" s="52"/>
    </row>
    <row r="699" ht="15.75" customHeight="1">
      <c r="E699" s="25"/>
      <c r="H699" s="52"/>
    </row>
    <row r="700" ht="15.75" customHeight="1">
      <c r="E700" s="25"/>
      <c r="H700" s="52"/>
    </row>
    <row r="701" ht="15.75" customHeight="1">
      <c r="E701" s="25"/>
      <c r="H701" s="52"/>
    </row>
    <row r="702" ht="15.75" customHeight="1">
      <c r="E702" s="25"/>
      <c r="H702" s="52"/>
    </row>
    <row r="703" ht="15.75" customHeight="1">
      <c r="E703" s="25"/>
      <c r="H703" s="52"/>
    </row>
    <row r="704" ht="15.75" customHeight="1">
      <c r="E704" s="25"/>
      <c r="H704" s="52"/>
    </row>
    <row r="705" ht="15.75" customHeight="1">
      <c r="E705" s="25"/>
      <c r="H705" s="52"/>
    </row>
    <row r="706" ht="15.75" customHeight="1">
      <c r="E706" s="25"/>
      <c r="H706" s="52"/>
    </row>
    <row r="707" ht="15.75" customHeight="1">
      <c r="E707" s="25"/>
      <c r="H707" s="52"/>
    </row>
    <row r="708" ht="15.75" customHeight="1">
      <c r="E708" s="25"/>
      <c r="H708" s="52"/>
    </row>
    <row r="709" ht="15.75" customHeight="1">
      <c r="E709" s="25"/>
      <c r="H709" s="52"/>
    </row>
    <row r="710" ht="15.75" customHeight="1">
      <c r="E710" s="25"/>
      <c r="H710" s="52"/>
    </row>
    <row r="711" ht="15.75" customHeight="1">
      <c r="E711" s="25"/>
      <c r="H711" s="52"/>
    </row>
    <row r="712" ht="15.75" customHeight="1">
      <c r="E712" s="25"/>
      <c r="H712" s="52"/>
    </row>
    <row r="713" ht="15.75" customHeight="1">
      <c r="E713" s="25"/>
      <c r="H713" s="52"/>
    </row>
    <row r="714" ht="15.75" customHeight="1">
      <c r="E714" s="25"/>
      <c r="H714" s="52"/>
    </row>
    <row r="715" ht="15.75" customHeight="1">
      <c r="E715" s="25"/>
      <c r="H715" s="52"/>
    </row>
    <row r="716" ht="15.75" customHeight="1">
      <c r="E716" s="25"/>
      <c r="H716" s="52"/>
    </row>
    <row r="717" ht="15.75" customHeight="1">
      <c r="E717" s="25"/>
      <c r="H717" s="52"/>
    </row>
    <row r="718" ht="15.75" customHeight="1">
      <c r="E718" s="25"/>
      <c r="H718" s="52"/>
    </row>
    <row r="719" ht="15.75" customHeight="1">
      <c r="E719" s="25"/>
      <c r="H719" s="52"/>
    </row>
    <row r="720" ht="15.75" customHeight="1">
      <c r="E720" s="25"/>
      <c r="H720" s="52"/>
    </row>
    <row r="721" ht="15.75" customHeight="1">
      <c r="E721" s="25"/>
      <c r="H721" s="52"/>
    </row>
    <row r="722" ht="15.75" customHeight="1">
      <c r="E722" s="25"/>
      <c r="H722" s="52"/>
    </row>
    <row r="723" ht="15.75" customHeight="1">
      <c r="E723" s="25"/>
      <c r="H723" s="52"/>
    </row>
    <row r="724" ht="15.75" customHeight="1">
      <c r="E724" s="25"/>
      <c r="H724" s="52"/>
    </row>
    <row r="725" ht="15.75" customHeight="1">
      <c r="E725" s="25"/>
      <c r="H725" s="52"/>
    </row>
    <row r="726" ht="15.75" customHeight="1">
      <c r="E726" s="25"/>
      <c r="H726" s="52"/>
    </row>
    <row r="727" ht="15.75" customHeight="1">
      <c r="E727" s="25"/>
      <c r="H727" s="52"/>
    </row>
    <row r="728" ht="15.75" customHeight="1">
      <c r="E728" s="25"/>
      <c r="H728" s="52"/>
    </row>
    <row r="729" ht="15.75" customHeight="1">
      <c r="E729" s="25"/>
      <c r="H729" s="52"/>
    </row>
    <row r="730" ht="15.75" customHeight="1">
      <c r="E730" s="25"/>
      <c r="H730" s="52"/>
    </row>
    <row r="731" ht="15.75" customHeight="1">
      <c r="E731" s="25"/>
      <c r="H731" s="52"/>
    </row>
    <row r="732" ht="15.75" customHeight="1">
      <c r="E732" s="25"/>
      <c r="H732" s="52"/>
    </row>
    <row r="733" ht="15.75" customHeight="1">
      <c r="E733" s="25"/>
      <c r="H733" s="52"/>
    </row>
    <row r="734" ht="15.75" customHeight="1">
      <c r="E734" s="25"/>
      <c r="H734" s="52"/>
    </row>
    <row r="735" ht="15.75" customHeight="1">
      <c r="E735" s="25"/>
      <c r="H735" s="52"/>
    </row>
    <row r="736" ht="15.75" customHeight="1">
      <c r="E736" s="25"/>
      <c r="H736" s="52"/>
    </row>
    <row r="737" ht="15.75" customHeight="1">
      <c r="E737" s="25"/>
      <c r="H737" s="52"/>
    </row>
    <row r="738" ht="15.75" customHeight="1">
      <c r="E738" s="25"/>
      <c r="H738" s="52"/>
    </row>
    <row r="739" ht="15.75" customHeight="1">
      <c r="E739" s="25"/>
      <c r="H739" s="52"/>
    </row>
    <row r="740" ht="15.75" customHeight="1">
      <c r="E740" s="25"/>
      <c r="H740" s="52"/>
    </row>
    <row r="741" ht="15.75" customHeight="1">
      <c r="E741" s="25"/>
      <c r="H741" s="52"/>
    </row>
    <row r="742" ht="15.75" customHeight="1">
      <c r="E742" s="25"/>
      <c r="H742" s="52"/>
    </row>
    <row r="743" ht="15.75" customHeight="1">
      <c r="E743" s="25"/>
      <c r="H743" s="52"/>
    </row>
    <row r="744" ht="15.75" customHeight="1">
      <c r="E744" s="25"/>
      <c r="H744" s="52"/>
    </row>
    <row r="745" ht="15.75" customHeight="1">
      <c r="E745" s="25"/>
      <c r="H745" s="52"/>
    </row>
    <row r="746" ht="15.75" customHeight="1">
      <c r="E746" s="25"/>
      <c r="H746" s="52"/>
    </row>
    <row r="747" ht="15.75" customHeight="1">
      <c r="E747" s="25"/>
      <c r="H747" s="52"/>
    </row>
    <row r="748" ht="15.75" customHeight="1">
      <c r="E748" s="25"/>
      <c r="H748" s="52"/>
    </row>
    <row r="749" ht="15.75" customHeight="1">
      <c r="E749" s="25"/>
      <c r="H749" s="52"/>
    </row>
    <row r="750" ht="15.75" customHeight="1">
      <c r="E750" s="25"/>
      <c r="H750" s="52"/>
    </row>
    <row r="751" ht="15.75" customHeight="1">
      <c r="E751" s="25"/>
      <c r="H751" s="52"/>
    </row>
    <row r="752" ht="15.75" customHeight="1">
      <c r="E752" s="25"/>
      <c r="H752" s="52"/>
    </row>
    <row r="753" ht="15.75" customHeight="1">
      <c r="E753" s="25"/>
      <c r="H753" s="52"/>
    </row>
    <row r="754" ht="15.75" customHeight="1">
      <c r="E754" s="25"/>
      <c r="H754" s="52"/>
    </row>
    <row r="755" ht="15.75" customHeight="1">
      <c r="E755" s="25"/>
      <c r="H755" s="52"/>
    </row>
    <row r="756" ht="15.75" customHeight="1">
      <c r="E756" s="25"/>
      <c r="H756" s="52"/>
    </row>
    <row r="757" ht="15.75" customHeight="1">
      <c r="E757" s="25"/>
      <c r="H757" s="52"/>
    </row>
    <row r="758" ht="15.75" customHeight="1">
      <c r="E758" s="25"/>
      <c r="H758" s="52"/>
    </row>
    <row r="759" ht="15.75" customHeight="1">
      <c r="E759" s="25"/>
      <c r="H759" s="52"/>
    </row>
    <row r="760" ht="15.75" customHeight="1">
      <c r="E760" s="25"/>
      <c r="H760" s="52"/>
    </row>
    <row r="761" ht="15.75" customHeight="1">
      <c r="E761" s="25"/>
      <c r="H761" s="52"/>
    </row>
    <row r="762" ht="15.75" customHeight="1">
      <c r="E762" s="25"/>
      <c r="H762" s="52"/>
    </row>
    <row r="763" ht="15.75" customHeight="1">
      <c r="E763" s="25"/>
      <c r="H763" s="52"/>
    </row>
    <row r="764" ht="15.75" customHeight="1">
      <c r="E764" s="25"/>
      <c r="H764" s="52"/>
    </row>
    <row r="765" ht="15.75" customHeight="1">
      <c r="E765" s="25"/>
      <c r="H765" s="52"/>
    </row>
    <row r="766" ht="15.75" customHeight="1">
      <c r="E766" s="25"/>
      <c r="H766" s="52"/>
    </row>
    <row r="767" ht="15.75" customHeight="1">
      <c r="E767" s="25"/>
      <c r="H767" s="52"/>
    </row>
    <row r="768" ht="15.75" customHeight="1">
      <c r="E768" s="25"/>
      <c r="H768" s="52"/>
    </row>
    <row r="769" ht="15.75" customHeight="1">
      <c r="E769" s="25"/>
      <c r="H769" s="52"/>
    </row>
    <row r="770" ht="15.75" customHeight="1">
      <c r="E770" s="25"/>
      <c r="H770" s="52"/>
    </row>
    <row r="771" ht="15.75" customHeight="1">
      <c r="E771" s="25"/>
      <c r="H771" s="52"/>
    </row>
    <row r="772" ht="15.75" customHeight="1">
      <c r="E772" s="25"/>
      <c r="H772" s="52"/>
    </row>
    <row r="773" ht="15.75" customHeight="1">
      <c r="E773" s="25"/>
      <c r="H773" s="52"/>
    </row>
    <row r="774" ht="15.75" customHeight="1">
      <c r="E774" s="25"/>
      <c r="H774" s="52"/>
    </row>
    <row r="775" ht="15.75" customHeight="1">
      <c r="E775" s="25"/>
      <c r="H775" s="52"/>
    </row>
    <row r="776" ht="15.75" customHeight="1">
      <c r="E776" s="25"/>
      <c r="H776" s="52"/>
    </row>
    <row r="777" ht="15.75" customHeight="1">
      <c r="E777" s="25"/>
      <c r="H777" s="52"/>
    </row>
    <row r="778" ht="15.75" customHeight="1">
      <c r="E778" s="25"/>
      <c r="H778" s="52"/>
    </row>
    <row r="779" ht="15.75" customHeight="1">
      <c r="E779" s="25"/>
      <c r="H779" s="52"/>
    </row>
    <row r="780" ht="15.75" customHeight="1">
      <c r="E780" s="25"/>
      <c r="H780" s="52"/>
    </row>
    <row r="781" ht="15.75" customHeight="1">
      <c r="E781" s="25"/>
      <c r="H781" s="52"/>
    </row>
    <row r="782" ht="15.75" customHeight="1">
      <c r="E782" s="25"/>
      <c r="H782" s="52"/>
    </row>
    <row r="783" ht="15.75" customHeight="1">
      <c r="E783" s="25"/>
      <c r="H783" s="52"/>
    </row>
    <row r="784" ht="15.75" customHeight="1">
      <c r="E784" s="25"/>
      <c r="H784" s="52"/>
    </row>
    <row r="785" ht="15.75" customHeight="1">
      <c r="E785" s="25"/>
      <c r="H785" s="52"/>
    </row>
    <row r="786" ht="15.75" customHeight="1">
      <c r="E786" s="25"/>
      <c r="H786" s="52"/>
    </row>
    <row r="787" ht="15.75" customHeight="1">
      <c r="E787" s="25"/>
      <c r="H787" s="52"/>
    </row>
    <row r="788" ht="15.75" customHeight="1">
      <c r="E788" s="25"/>
      <c r="H788" s="52"/>
    </row>
    <row r="789" ht="15.75" customHeight="1">
      <c r="E789" s="25"/>
      <c r="H789" s="52"/>
    </row>
    <row r="790" ht="15.75" customHeight="1">
      <c r="E790" s="25"/>
      <c r="H790" s="52"/>
    </row>
    <row r="791" ht="15.75" customHeight="1">
      <c r="E791" s="25"/>
      <c r="H791" s="52"/>
    </row>
    <row r="792" ht="15.75" customHeight="1">
      <c r="E792" s="25"/>
      <c r="H792" s="52"/>
    </row>
    <row r="793" ht="15.75" customHeight="1">
      <c r="E793" s="25"/>
      <c r="H793" s="52"/>
    </row>
    <row r="794" ht="15.75" customHeight="1">
      <c r="E794" s="25"/>
      <c r="H794" s="52"/>
    </row>
    <row r="795" ht="15.75" customHeight="1">
      <c r="E795" s="25"/>
      <c r="H795" s="52"/>
    </row>
    <row r="796" ht="15.75" customHeight="1">
      <c r="E796" s="25"/>
      <c r="H796" s="52"/>
    </row>
    <row r="797" ht="15.75" customHeight="1">
      <c r="E797" s="25"/>
      <c r="H797" s="52"/>
    </row>
    <row r="798" ht="15.75" customHeight="1">
      <c r="E798" s="25"/>
      <c r="H798" s="52"/>
    </row>
    <row r="799" ht="15.75" customHeight="1">
      <c r="E799" s="25"/>
      <c r="H799" s="52"/>
    </row>
    <row r="800" ht="15.75" customHeight="1">
      <c r="E800" s="25"/>
      <c r="H800" s="52"/>
    </row>
    <row r="801" ht="15.75" customHeight="1">
      <c r="E801" s="25"/>
      <c r="H801" s="52"/>
    </row>
    <row r="802" ht="15.75" customHeight="1">
      <c r="E802" s="25"/>
      <c r="H802" s="52"/>
    </row>
    <row r="803" ht="15.75" customHeight="1">
      <c r="E803" s="25"/>
      <c r="H803" s="52"/>
    </row>
    <row r="804" ht="15.75" customHeight="1">
      <c r="E804" s="25"/>
      <c r="H804" s="52"/>
    </row>
    <row r="805" ht="15.75" customHeight="1">
      <c r="E805" s="25"/>
      <c r="H805" s="52"/>
    </row>
    <row r="806" ht="15.75" customHeight="1">
      <c r="E806" s="25"/>
      <c r="H806" s="52"/>
    </row>
    <row r="807" ht="15.75" customHeight="1">
      <c r="E807" s="25"/>
      <c r="H807" s="52"/>
    </row>
    <row r="808" ht="15.75" customHeight="1">
      <c r="E808" s="25"/>
      <c r="H808" s="52"/>
    </row>
    <row r="809" ht="15.75" customHeight="1">
      <c r="E809" s="25"/>
      <c r="H809" s="52"/>
    </row>
    <row r="810" ht="15.75" customHeight="1">
      <c r="E810" s="25"/>
      <c r="H810" s="52"/>
    </row>
    <row r="811" ht="15.75" customHeight="1">
      <c r="E811" s="25"/>
      <c r="H811" s="52"/>
    </row>
    <row r="812" ht="15.75" customHeight="1">
      <c r="E812" s="25"/>
      <c r="H812" s="52"/>
    </row>
    <row r="813" ht="15.75" customHeight="1">
      <c r="E813" s="25"/>
      <c r="H813" s="52"/>
    </row>
    <row r="814" ht="15.75" customHeight="1">
      <c r="E814" s="25"/>
      <c r="H814" s="52"/>
    </row>
    <row r="815" ht="15.75" customHeight="1">
      <c r="E815" s="25"/>
      <c r="H815" s="52"/>
    </row>
    <row r="816" ht="15.75" customHeight="1">
      <c r="E816" s="25"/>
      <c r="H816" s="52"/>
    </row>
    <row r="817" ht="15.75" customHeight="1">
      <c r="E817" s="25"/>
      <c r="H817" s="52"/>
    </row>
    <row r="818" ht="15.75" customHeight="1">
      <c r="E818" s="25"/>
      <c r="H818" s="52"/>
    </row>
    <row r="819" ht="15.75" customHeight="1">
      <c r="E819" s="25"/>
      <c r="H819" s="52"/>
    </row>
    <row r="820" ht="15.75" customHeight="1">
      <c r="E820" s="25"/>
      <c r="H820" s="52"/>
    </row>
    <row r="821" ht="15.75" customHeight="1">
      <c r="E821" s="25"/>
      <c r="H821" s="52"/>
    </row>
    <row r="822" ht="15.75" customHeight="1">
      <c r="E822" s="25"/>
      <c r="H822" s="52"/>
    </row>
    <row r="823" ht="15.75" customHeight="1">
      <c r="E823" s="25"/>
      <c r="H823" s="52"/>
    </row>
    <row r="824" ht="15.75" customHeight="1">
      <c r="E824" s="25"/>
      <c r="H824" s="52"/>
    </row>
    <row r="825" ht="15.75" customHeight="1">
      <c r="E825" s="25"/>
      <c r="H825" s="52"/>
    </row>
    <row r="826" ht="15.75" customHeight="1">
      <c r="E826" s="25"/>
      <c r="H826" s="52"/>
    </row>
    <row r="827" ht="15.75" customHeight="1">
      <c r="E827" s="25"/>
      <c r="H827" s="52"/>
    </row>
    <row r="828" ht="15.75" customHeight="1">
      <c r="E828" s="25"/>
      <c r="H828" s="52"/>
    </row>
    <row r="829" ht="15.75" customHeight="1">
      <c r="E829" s="25"/>
      <c r="H829" s="52"/>
    </row>
    <row r="830" ht="15.75" customHeight="1">
      <c r="E830" s="25"/>
      <c r="H830" s="52"/>
    </row>
    <row r="831" ht="15.75" customHeight="1">
      <c r="E831" s="25"/>
      <c r="H831" s="52"/>
    </row>
    <row r="832" ht="15.75" customHeight="1">
      <c r="E832" s="25"/>
      <c r="H832" s="52"/>
    </row>
    <row r="833" ht="15.75" customHeight="1">
      <c r="E833" s="25"/>
      <c r="H833" s="52"/>
    </row>
    <row r="834" ht="15.75" customHeight="1">
      <c r="E834" s="25"/>
      <c r="H834" s="52"/>
    </row>
    <row r="835" ht="15.75" customHeight="1">
      <c r="E835" s="25"/>
      <c r="H835" s="52"/>
    </row>
    <row r="836" ht="15.75" customHeight="1">
      <c r="E836" s="25"/>
      <c r="H836" s="52"/>
    </row>
    <row r="837" ht="15.75" customHeight="1">
      <c r="E837" s="25"/>
      <c r="H837" s="52"/>
    </row>
    <row r="838" ht="15.75" customHeight="1">
      <c r="E838" s="25"/>
      <c r="H838" s="52"/>
    </row>
    <row r="839" ht="15.75" customHeight="1">
      <c r="E839" s="25"/>
      <c r="H839" s="52"/>
    </row>
    <row r="840" ht="15.75" customHeight="1">
      <c r="E840" s="25"/>
      <c r="H840" s="52"/>
    </row>
    <row r="841" ht="15.75" customHeight="1">
      <c r="E841" s="25"/>
      <c r="H841" s="52"/>
    </row>
    <row r="842" ht="15.75" customHeight="1">
      <c r="E842" s="25"/>
      <c r="H842" s="52"/>
    </row>
    <row r="843" ht="15.75" customHeight="1">
      <c r="E843" s="25"/>
      <c r="H843" s="52"/>
    </row>
    <row r="844" ht="15.75" customHeight="1">
      <c r="E844" s="25"/>
      <c r="H844" s="52"/>
    </row>
    <row r="845" ht="15.75" customHeight="1">
      <c r="E845" s="25"/>
      <c r="H845" s="52"/>
    </row>
    <row r="846" ht="15.75" customHeight="1">
      <c r="E846" s="25"/>
      <c r="H846" s="52"/>
    </row>
    <row r="847" ht="15.75" customHeight="1">
      <c r="E847" s="25"/>
      <c r="H847" s="52"/>
    </row>
    <row r="848" ht="15.75" customHeight="1">
      <c r="E848" s="25"/>
      <c r="H848" s="52"/>
    </row>
    <row r="849" ht="15.75" customHeight="1">
      <c r="E849" s="25"/>
      <c r="H849" s="52"/>
    </row>
    <row r="850" ht="15.75" customHeight="1">
      <c r="E850" s="25"/>
      <c r="H850" s="52"/>
    </row>
    <row r="851" ht="15.75" customHeight="1">
      <c r="E851" s="25"/>
      <c r="H851" s="52"/>
    </row>
    <row r="852" ht="15.75" customHeight="1">
      <c r="E852" s="25"/>
      <c r="H852" s="52"/>
    </row>
    <row r="853" ht="15.75" customHeight="1">
      <c r="E853" s="25"/>
      <c r="H853" s="52"/>
    </row>
    <row r="854" ht="15.75" customHeight="1">
      <c r="E854" s="25"/>
      <c r="H854" s="52"/>
    </row>
    <row r="855" ht="15.75" customHeight="1">
      <c r="E855" s="25"/>
      <c r="H855" s="52"/>
    </row>
    <row r="856" ht="15.75" customHeight="1">
      <c r="E856" s="25"/>
      <c r="H856" s="52"/>
    </row>
    <row r="857" ht="15.75" customHeight="1">
      <c r="E857" s="25"/>
      <c r="H857" s="52"/>
    </row>
    <row r="858" ht="15.75" customHeight="1">
      <c r="E858" s="25"/>
      <c r="H858" s="52"/>
    </row>
    <row r="859" ht="15.75" customHeight="1">
      <c r="E859" s="25"/>
      <c r="H859" s="52"/>
    </row>
    <row r="860" ht="15.75" customHeight="1">
      <c r="E860" s="25"/>
      <c r="H860" s="52"/>
    </row>
    <row r="861" ht="15.75" customHeight="1">
      <c r="E861" s="25"/>
      <c r="H861" s="52"/>
    </row>
    <row r="862" ht="15.75" customHeight="1">
      <c r="E862" s="25"/>
      <c r="H862" s="52"/>
    </row>
    <row r="863" ht="15.75" customHeight="1">
      <c r="E863" s="25"/>
      <c r="H863" s="52"/>
    </row>
    <row r="864" ht="15.75" customHeight="1">
      <c r="E864" s="25"/>
      <c r="H864" s="52"/>
    </row>
    <row r="865" ht="15.75" customHeight="1">
      <c r="E865" s="25"/>
      <c r="H865" s="52"/>
    </row>
    <row r="866" ht="15.75" customHeight="1">
      <c r="E866" s="25"/>
      <c r="H866" s="52"/>
    </row>
    <row r="867" ht="15.75" customHeight="1">
      <c r="E867" s="25"/>
      <c r="H867" s="52"/>
    </row>
    <row r="868" ht="15.75" customHeight="1">
      <c r="E868" s="25"/>
      <c r="H868" s="52"/>
    </row>
    <row r="869" ht="15.75" customHeight="1">
      <c r="E869" s="25"/>
      <c r="H869" s="52"/>
    </row>
    <row r="870" ht="15.75" customHeight="1">
      <c r="E870" s="25"/>
      <c r="H870" s="52"/>
    </row>
    <row r="871" ht="15.75" customHeight="1">
      <c r="E871" s="25"/>
      <c r="H871" s="52"/>
    </row>
    <row r="872" ht="15.75" customHeight="1">
      <c r="E872" s="25"/>
      <c r="H872" s="52"/>
    </row>
    <row r="873" ht="15.75" customHeight="1">
      <c r="E873" s="25"/>
      <c r="H873" s="52"/>
    </row>
    <row r="874" ht="15.75" customHeight="1">
      <c r="E874" s="25"/>
      <c r="H874" s="52"/>
    </row>
    <row r="875" ht="15.75" customHeight="1">
      <c r="E875" s="25"/>
      <c r="H875" s="52"/>
    </row>
    <row r="876" ht="15.75" customHeight="1">
      <c r="E876" s="25"/>
      <c r="H876" s="52"/>
    </row>
    <row r="877" ht="15.75" customHeight="1">
      <c r="E877" s="25"/>
      <c r="H877" s="52"/>
    </row>
    <row r="878" ht="15.75" customHeight="1">
      <c r="E878" s="25"/>
      <c r="H878" s="52"/>
    </row>
    <row r="879" ht="15.75" customHeight="1">
      <c r="E879" s="25"/>
      <c r="H879" s="52"/>
    </row>
    <row r="880" ht="15.75" customHeight="1">
      <c r="E880" s="25"/>
      <c r="H880" s="52"/>
    </row>
    <row r="881" ht="15.75" customHeight="1">
      <c r="E881" s="25"/>
      <c r="H881" s="52"/>
    </row>
    <row r="882" ht="15.75" customHeight="1">
      <c r="E882" s="25"/>
      <c r="H882" s="52"/>
    </row>
    <row r="883" ht="15.75" customHeight="1">
      <c r="E883" s="25"/>
      <c r="H883" s="52"/>
    </row>
    <row r="884" ht="15.75" customHeight="1">
      <c r="E884" s="25"/>
      <c r="H884" s="52"/>
    </row>
    <row r="885" ht="15.75" customHeight="1">
      <c r="E885" s="25"/>
      <c r="H885" s="52"/>
    </row>
    <row r="886" ht="15.75" customHeight="1">
      <c r="E886" s="25"/>
      <c r="H886" s="52"/>
    </row>
    <row r="887" ht="15.75" customHeight="1">
      <c r="E887" s="25"/>
      <c r="H887" s="52"/>
    </row>
    <row r="888" ht="15.75" customHeight="1">
      <c r="E888" s="25"/>
      <c r="H888" s="52"/>
    </row>
    <row r="889" ht="15.75" customHeight="1">
      <c r="E889" s="25"/>
      <c r="H889" s="52"/>
    </row>
    <row r="890" ht="15.75" customHeight="1">
      <c r="E890" s="25"/>
      <c r="H890" s="52"/>
    </row>
    <row r="891" ht="15.75" customHeight="1">
      <c r="E891" s="25"/>
      <c r="H891" s="52"/>
    </row>
    <row r="892" ht="15.75" customHeight="1">
      <c r="E892" s="25"/>
      <c r="H892" s="52"/>
    </row>
    <row r="893" ht="15.75" customHeight="1">
      <c r="E893" s="25"/>
      <c r="H893" s="52"/>
    </row>
    <row r="894" ht="15.75" customHeight="1">
      <c r="E894" s="25"/>
      <c r="H894" s="52"/>
    </row>
    <row r="895" ht="15.75" customHeight="1">
      <c r="E895" s="25"/>
      <c r="H895" s="52"/>
    </row>
    <row r="896" ht="15.75" customHeight="1">
      <c r="E896" s="25"/>
      <c r="H896" s="52"/>
    </row>
    <row r="897" ht="15.75" customHeight="1">
      <c r="E897" s="25"/>
      <c r="H897" s="52"/>
    </row>
    <row r="898" ht="15.75" customHeight="1">
      <c r="E898" s="25"/>
      <c r="H898" s="52"/>
    </row>
    <row r="899" ht="15.75" customHeight="1">
      <c r="E899" s="25"/>
      <c r="H899" s="52"/>
    </row>
    <row r="900" ht="15.75" customHeight="1">
      <c r="E900" s="25"/>
      <c r="H900" s="52"/>
    </row>
    <row r="901" ht="15.75" customHeight="1">
      <c r="E901" s="25"/>
      <c r="H901" s="52"/>
    </row>
    <row r="902" ht="15.75" customHeight="1">
      <c r="E902" s="25"/>
      <c r="H902" s="52"/>
    </row>
    <row r="903" ht="15.75" customHeight="1">
      <c r="E903" s="25"/>
      <c r="H903" s="52"/>
    </row>
    <row r="904" ht="15.75" customHeight="1">
      <c r="E904" s="25"/>
      <c r="H904" s="52"/>
    </row>
    <row r="905" ht="15.75" customHeight="1">
      <c r="E905" s="25"/>
      <c r="H905" s="52"/>
    </row>
    <row r="906" ht="15.75" customHeight="1">
      <c r="E906" s="25"/>
      <c r="H906" s="52"/>
    </row>
    <row r="907" ht="15.75" customHeight="1">
      <c r="E907" s="25"/>
      <c r="H907" s="52"/>
    </row>
    <row r="908" ht="15.75" customHeight="1">
      <c r="E908" s="25"/>
      <c r="H908" s="52"/>
    </row>
    <row r="909" ht="15.75" customHeight="1">
      <c r="E909" s="25"/>
      <c r="H909" s="52"/>
    </row>
    <row r="910" ht="15.75" customHeight="1">
      <c r="E910" s="25"/>
      <c r="H910" s="52"/>
    </row>
    <row r="911" ht="15.75" customHeight="1">
      <c r="E911" s="25"/>
      <c r="H911" s="52"/>
    </row>
    <row r="912" ht="15.75" customHeight="1">
      <c r="E912" s="25"/>
      <c r="H912" s="52"/>
    </row>
    <row r="913" ht="15.75" customHeight="1">
      <c r="E913" s="25"/>
      <c r="H913" s="52"/>
    </row>
    <row r="914" ht="15.75" customHeight="1">
      <c r="E914" s="25"/>
      <c r="H914" s="52"/>
    </row>
    <row r="915" ht="15.75" customHeight="1">
      <c r="E915" s="25"/>
      <c r="H915" s="52"/>
    </row>
    <row r="916" ht="15.75" customHeight="1">
      <c r="E916" s="25"/>
      <c r="H916" s="52"/>
    </row>
    <row r="917" ht="15.75" customHeight="1">
      <c r="E917" s="25"/>
      <c r="H917" s="52"/>
    </row>
    <row r="918" ht="15.75" customHeight="1">
      <c r="E918" s="25"/>
      <c r="H918" s="52"/>
    </row>
    <row r="919" ht="15.75" customHeight="1">
      <c r="E919" s="25"/>
      <c r="H919" s="52"/>
    </row>
    <row r="920" ht="15.75" customHeight="1">
      <c r="E920" s="25"/>
      <c r="H920" s="52"/>
    </row>
    <row r="921" ht="15.75" customHeight="1">
      <c r="E921" s="25"/>
      <c r="H921" s="52"/>
    </row>
    <row r="922" ht="15.75" customHeight="1">
      <c r="E922" s="25"/>
      <c r="H922" s="52"/>
    </row>
    <row r="923" ht="15.75" customHeight="1">
      <c r="E923" s="25"/>
      <c r="H923" s="52"/>
    </row>
    <row r="924" ht="15.75" customHeight="1">
      <c r="E924" s="25"/>
      <c r="H924" s="52"/>
    </row>
    <row r="925" ht="15.75" customHeight="1">
      <c r="E925" s="25"/>
      <c r="H925" s="52"/>
    </row>
    <row r="926" ht="15.75" customHeight="1">
      <c r="E926" s="25"/>
      <c r="H926" s="52"/>
    </row>
    <row r="927" ht="15.75" customHeight="1">
      <c r="E927" s="25"/>
      <c r="H927" s="52"/>
    </row>
    <row r="928" ht="15.75" customHeight="1">
      <c r="E928" s="25"/>
      <c r="H928" s="52"/>
    </row>
    <row r="929" ht="15.75" customHeight="1">
      <c r="E929" s="25"/>
      <c r="H929" s="52"/>
    </row>
    <row r="930" ht="15.75" customHeight="1">
      <c r="E930" s="25"/>
      <c r="H930" s="52"/>
    </row>
    <row r="931" ht="15.75" customHeight="1">
      <c r="E931" s="25"/>
      <c r="H931" s="52"/>
    </row>
    <row r="932" ht="15.75" customHeight="1">
      <c r="E932" s="25"/>
      <c r="H932" s="52"/>
    </row>
    <row r="933" ht="15.75" customHeight="1">
      <c r="E933" s="25"/>
      <c r="H933" s="52"/>
    </row>
    <row r="934" ht="15.75" customHeight="1">
      <c r="E934" s="25"/>
      <c r="H934" s="52"/>
    </row>
    <row r="935" ht="15.75" customHeight="1">
      <c r="E935" s="25"/>
      <c r="H935" s="52"/>
    </row>
    <row r="936" ht="15.75" customHeight="1">
      <c r="E936" s="25"/>
      <c r="H936" s="52"/>
    </row>
    <row r="937" ht="15.75" customHeight="1">
      <c r="E937" s="25"/>
      <c r="H937" s="52"/>
    </row>
    <row r="938" ht="15.75" customHeight="1">
      <c r="E938" s="25"/>
      <c r="H938" s="52"/>
    </row>
    <row r="939" ht="15.75" customHeight="1">
      <c r="E939" s="25"/>
      <c r="H939" s="52"/>
    </row>
    <row r="940" ht="15.75" customHeight="1">
      <c r="E940" s="25"/>
      <c r="H940" s="52"/>
    </row>
    <row r="941" ht="15.75" customHeight="1">
      <c r="E941" s="25"/>
      <c r="H941" s="52"/>
    </row>
    <row r="942" ht="15.75" customHeight="1">
      <c r="E942" s="25"/>
      <c r="H942" s="52"/>
    </row>
    <row r="943" ht="15.75" customHeight="1">
      <c r="E943" s="25"/>
      <c r="H943" s="52"/>
    </row>
    <row r="944" ht="15.75" customHeight="1">
      <c r="E944" s="25"/>
      <c r="H944" s="52"/>
    </row>
    <row r="945" ht="15.75" customHeight="1">
      <c r="E945" s="25"/>
      <c r="H945" s="52"/>
    </row>
    <row r="946" ht="15.75" customHeight="1">
      <c r="E946" s="25"/>
      <c r="H946" s="52"/>
    </row>
    <row r="947" ht="15.75" customHeight="1">
      <c r="E947" s="25"/>
      <c r="H947" s="52"/>
    </row>
    <row r="948" ht="15.75" customHeight="1">
      <c r="E948" s="25"/>
      <c r="H948" s="52"/>
    </row>
    <row r="949" ht="15.75" customHeight="1">
      <c r="E949" s="25"/>
      <c r="H949" s="52"/>
    </row>
    <row r="950" ht="15.75" customHeight="1">
      <c r="E950" s="25"/>
      <c r="H950" s="52"/>
    </row>
    <row r="951" ht="15.75" customHeight="1">
      <c r="E951" s="25"/>
      <c r="H951" s="52"/>
    </row>
    <row r="952" ht="15.75" customHeight="1">
      <c r="E952" s="25"/>
      <c r="H952" s="52"/>
    </row>
    <row r="953" ht="15.75" customHeight="1">
      <c r="E953" s="25"/>
      <c r="H953" s="52"/>
    </row>
    <row r="954" ht="15.75" customHeight="1">
      <c r="E954" s="25"/>
      <c r="H954" s="52"/>
    </row>
    <row r="955" ht="15.75" customHeight="1">
      <c r="E955" s="25"/>
      <c r="H955" s="52"/>
    </row>
    <row r="956" ht="15.75" customHeight="1">
      <c r="E956" s="25"/>
      <c r="H956" s="52"/>
    </row>
    <row r="957" ht="15.75" customHeight="1">
      <c r="E957" s="25"/>
      <c r="H957" s="52"/>
    </row>
    <row r="958" ht="15.75" customHeight="1">
      <c r="E958" s="25"/>
      <c r="H958" s="52"/>
    </row>
    <row r="959" ht="15.75" customHeight="1">
      <c r="E959" s="25"/>
      <c r="H959" s="52"/>
    </row>
    <row r="960" ht="15.75" customHeight="1">
      <c r="E960" s="25"/>
      <c r="H960" s="52"/>
    </row>
    <row r="961" ht="15.75" customHeight="1">
      <c r="E961" s="25"/>
      <c r="H961" s="52"/>
    </row>
    <row r="962" ht="15.75" customHeight="1">
      <c r="E962" s="25"/>
      <c r="H962" s="52"/>
    </row>
    <row r="963" ht="15.75" customHeight="1">
      <c r="E963" s="25"/>
      <c r="H963" s="52"/>
    </row>
    <row r="964" ht="15.75" customHeight="1">
      <c r="E964" s="25"/>
      <c r="H964" s="52"/>
    </row>
    <row r="965" ht="15.75" customHeight="1">
      <c r="E965" s="25"/>
      <c r="H965" s="52"/>
    </row>
    <row r="966" ht="15.75" customHeight="1">
      <c r="E966" s="25"/>
      <c r="H966" s="52"/>
    </row>
    <row r="967" ht="15.75" customHeight="1">
      <c r="E967" s="25"/>
      <c r="H967" s="52"/>
    </row>
    <row r="968" ht="15.75" customHeight="1">
      <c r="E968" s="25"/>
      <c r="H968" s="52"/>
    </row>
    <row r="969" ht="15.75" customHeight="1">
      <c r="E969" s="25"/>
      <c r="H969" s="52"/>
    </row>
    <row r="970" ht="15.75" customHeight="1">
      <c r="E970" s="25"/>
      <c r="H970" s="52"/>
    </row>
    <row r="971" ht="15.75" customHeight="1">
      <c r="E971" s="25"/>
      <c r="H971" s="52"/>
    </row>
    <row r="972" ht="15.75" customHeight="1">
      <c r="E972" s="25"/>
      <c r="H972" s="52"/>
    </row>
    <row r="973" ht="15.75" customHeight="1">
      <c r="E973" s="25"/>
      <c r="H973" s="52"/>
    </row>
    <row r="974" ht="15.75" customHeight="1">
      <c r="E974" s="25"/>
      <c r="H974" s="52"/>
    </row>
    <row r="975" ht="15.75" customHeight="1">
      <c r="E975" s="25"/>
      <c r="H975" s="52"/>
    </row>
    <row r="976" ht="15.75" customHeight="1">
      <c r="E976" s="25"/>
      <c r="H976" s="52"/>
    </row>
    <row r="977" ht="15.75" customHeight="1">
      <c r="E977" s="25"/>
      <c r="H977" s="52"/>
    </row>
    <row r="978" ht="15.75" customHeight="1">
      <c r="E978" s="25"/>
      <c r="H978" s="52"/>
    </row>
    <row r="979" ht="15.75" customHeight="1">
      <c r="E979" s="25"/>
      <c r="H979" s="52"/>
    </row>
    <row r="980" ht="15.75" customHeight="1">
      <c r="E980" s="25"/>
      <c r="H980" s="52"/>
    </row>
    <row r="981" ht="15.75" customHeight="1">
      <c r="E981" s="25"/>
      <c r="H981" s="52"/>
    </row>
    <row r="982" ht="15.75" customHeight="1">
      <c r="E982" s="25"/>
      <c r="H982" s="52"/>
    </row>
    <row r="983" ht="15.75" customHeight="1">
      <c r="E983" s="25"/>
      <c r="H983" s="52"/>
    </row>
    <row r="984" ht="15.75" customHeight="1">
      <c r="E984" s="25"/>
      <c r="H984" s="52"/>
    </row>
    <row r="985" ht="15.75" customHeight="1">
      <c r="E985" s="25"/>
      <c r="H985" s="52"/>
    </row>
    <row r="986" ht="15.75" customHeight="1">
      <c r="E986" s="25"/>
      <c r="H986" s="52"/>
    </row>
    <row r="987" ht="15.75" customHeight="1">
      <c r="E987" s="25"/>
      <c r="H987" s="52"/>
    </row>
    <row r="988" ht="15.75" customHeight="1">
      <c r="E988" s="25"/>
      <c r="H988" s="52"/>
    </row>
    <row r="989" ht="15.75" customHeight="1">
      <c r="E989" s="25"/>
      <c r="H989" s="52"/>
    </row>
    <row r="990" ht="15.75" customHeight="1">
      <c r="E990" s="25"/>
      <c r="H990" s="52"/>
    </row>
    <row r="991" ht="15.75" customHeight="1">
      <c r="E991" s="25"/>
      <c r="H991" s="52"/>
    </row>
    <row r="992" ht="15.75" customHeight="1">
      <c r="E992" s="25"/>
      <c r="H992" s="52"/>
    </row>
    <row r="993" ht="15.75" customHeight="1">
      <c r="E993" s="25"/>
      <c r="H993" s="52"/>
    </row>
    <row r="994" ht="15.75" customHeight="1">
      <c r="E994" s="25"/>
      <c r="H994" s="52"/>
    </row>
    <row r="995" ht="15.75" customHeight="1">
      <c r="E995" s="25"/>
      <c r="H995" s="52"/>
    </row>
    <row r="996" ht="15.75" customHeight="1">
      <c r="E996" s="25"/>
      <c r="H996" s="52"/>
    </row>
    <row r="997" ht="15.75" customHeight="1">
      <c r="E997" s="25"/>
      <c r="H997" s="52"/>
    </row>
    <row r="998" ht="15.75" customHeight="1">
      <c r="E998" s="25"/>
      <c r="H998" s="52"/>
    </row>
    <row r="999" ht="15.75" customHeight="1">
      <c r="E999" s="25"/>
      <c r="H999" s="52"/>
    </row>
    <row r="1000" ht="15.75" customHeight="1">
      <c r="E1000" s="25"/>
      <c r="H1000" s="52"/>
    </row>
    <row r="1001" ht="15.75" customHeight="1">
      <c r="E1001" s="25"/>
      <c r="H1001" s="52"/>
    </row>
    <row r="1002" ht="15.75" customHeight="1">
      <c r="E1002" s="25"/>
      <c r="H1002" s="52"/>
    </row>
    <row r="1003" ht="15.75" customHeight="1">
      <c r="E1003" s="25"/>
      <c r="H1003" s="52"/>
    </row>
    <row r="1004" ht="15.75" customHeight="1">
      <c r="E1004" s="25"/>
      <c r="H1004" s="52"/>
    </row>
    <row r="1005" ht="15.75" customHeight="1">
      <c r="E1005" s="25"/>
      <c r="H1005" s="52"/>
    </row>
    <row r="1006" ht="15.75" customHeight="1">
      <c r="E1006" s="25"/>
      <c r="H1006" s="52"/>
    </row>
    <row r="1007" ht="15.75" customHeight="1">
      <c r="E1007" s="25"/>
      <c r="H1007" s="52"/>
    </row>
    <row r="1008" ht="15.75" customHeight="1">
      <c r="E1008" s="25"/>
      <c r="H1008" s="52"/>
    </row>
    <row r="1009" ht="15.75" customHeight="1">
      <c r="E1009" s="25"/>
      <c r="H1009" s="52"/>
    </row>
    <row r="1010" ht="15.75" customHeight="1">
      <c r="E1010" s="25"/>
      <c r="H1010" s="52"/>
    </row>
    <row r="1011" ht="15.75" customHeight="1">
      <c r="E1011" s="25"/>
      <c r="H1011" s="52"/>
    </row>
    <row r="1012" ht="15.75" customHeight="1">
      <c r="E1012" s="25"/>
      <c r="H1012" s="52"/>
    </row>
    <row r="1013" ht="15.75" customHeight="1">
      <c r="E1013" s="25"/>
      <c r="H1013" s="52"/>
    </row>
    <row r="1014" ht="15.75" customHeight="1">
      <c r="E1014" s="25"/>
      <c r="H1014" s="52"/>
    </row>
    <row r="1015" ht="15.75" customHeight="1">
      <c r="E1015" s="25"/>
      <c r="H1015" s="52"/>
    </row>
    <row r="1016" ht="15.75" customHeight="1">
      <c r="E1016" s="25"/>
      <c r="H1016" s="52"/>
    </row>
    <row r="1017" ht="15.75" customHeight="1">
      <c r="E1017" s="25"/>
      <c r="H1017" s="52"/>
    </row>
    <row r="1018" ht="15.75" customHeight="1">
      <c r="E1018" s="25"/>
      <c r="H1018" s="52"/>
    </row>
    <row r="1019" ht="15.75" customHeight="1">
      <c r="E1019" s="25"/>
      <c r="H1019" s="52"/>
    </row>
    <row r="1020" ht="15.75" customHeight="1">
      <c r="E1020" s="25"/>
      <c r="H1020" s="52"/>
    </row>
    <row r="1021" ht="15.75" customHeight="1">
      <c r="E1021" s="25"/>
      <c r="H1021" s="52"/>
    </row>
    <row r="1022" ht="15.75" customHeight="1">
      <c r="E1022" s="25"/>
      <c r="H1022" s="52"/>
    </row>
    <row r="1023" ht="15.75" customHeight="1">
      <c r="E1023" s="25"/>
      <c r="H1023" s="52"/>
    </row>
    <row r="1024" ht="15.75" customHeight="1">
      <c r="E1024" s="25"/>
      <c r="H1024" s="52"/>
    </row>
    <row r="1025" ht="15.75" customHeight="1">
      <c r="E1025" s="25"/>
      <c r="H1025" s="52"/>
    </row>
    <row r="1026" ht="15.75" customHeight="1">
      <c r="E1026" s="25"/>
      <c r="H1026" s="52"/>
    </row>
    <row r="1027" ht="15.75" customHeight="1">
      <c r="E1027" s="25"/>
      <c r="H1027" s="52"/>
    </row>
    <row r="1028" ht="15.75" customHeight="1">
      <c r="E1028" s="25"/>
      <c r="H1028" s="52"/>
    </row>
    <row r="1029" ht="15.75" customHeight="1">
      <c r="E1029" s="25"/>
      <c r="H1029" s="52"/>
    </row>
    <row r="1030" ht="15.75" customHeight="1">
      <c r="E1030" s="25"/>
      <c r="H1030" s="52"/>
    </row>
    <row r="1031" ht="15.75" customHeight="1">
      <c r="E1031" s="25"/>
      <c r="H1031" s="52"/>
    </row>
    <row r="1032" ht="15.75" customHeight="1">
      <c r="E1032" s="25"/>
      <c r="H1032" s="52"/>
    </row>
    <row r="1033" ht="15.75" customHeight="1">
      <c r="E1033" s="25"/>
      <c r="H1033" s="52"/>
    </row>
    <row r="1034" ht="15.75" customHeight="1">
      <c r="E1034" s="25"/>
      <c r="H1034" s="52"/>
    </row>
    <row r="1035" ht="15.75" customHeight="1">
      <c r="E1035" s="25"/>
      <c r="H1035" s="52"/>
    </row>
    <row r="1036" ht="15.75" customHeight="1">
      <c r="E1036" s="25"/>
      <c r="H1036" s="52"/>
    </row>
    <row r="1037" ht="15.75" customHeight="1">
      <c r="E1037" s="25"/>
      <c r="H1037" s="52"/>
    </row>
    <row r="1038" ht="15.75" customHeight="1">
      <c r="E1038" s="25"/>
      <c r="H1038" s="52"/>
    </row>
    <row r="1039" ht="15.75" customHeight="1">
      <c r="E1039" s="25"/>
      <c r="H1039" s="52"/>
    </row>
    <row r="1040" ht="15.75" customHeight="1">
      <c r="E1040" s="25"/>
      <c r="H1040" s="52"/>
    </row>
    <row r="1041" ht="15.75" customHeight="1">
      <c r="E1041" s="25"/>
      <c r="H1041" s="52"/>
    </row>
    <row r="1042" ht="15.75" customHeight="1">
      <c r="E1042" s="25"/>
      <c r="H1042" s="52"/>
    </row>
    <row r="1043" ht="15.75" customHeight="1">
      <c r="E1043" s="25"/>
      <c r="H1043" s="52"/>
    </row>
    <row r="1044" ht="15.75" customHeight="1">
      <c r="E1044" s="25"/>
      <c r="H1044" s="52"/>
    </row>
    <row r="1045" ht="15.75" customHeight="1">
      <c r="E1045" s="25"/>
      <c r="H1045" s="52"/>
    </row>
    <row r="1046" ht="15.75" customHeight="1">
      <c r="E1046" s="25"/>
      <c r="H1046" s="52"/>
    </row>
    <row r="1047" ht="15.75" customHeight="1">
      <c r="E1047" s="25"/>
      <c r="H1047" s="52"/>
    </row>
    <row r="1048" ht="15.75" customHeight="1">
      <c r="E1048" s="25"/>
      <c r="H1048" s="52"/>
    </row>
    <row r="1049" ht="15.75" customHeight="1">
      <c r="E1049" s="25"/>
      <c r="H1049" s="52"/>
    </row>
    <row r="1050" ht="15.75" customHeight="1">
      <c r="E1050" s="25"/>
      <c r="H1050" s="52"/>
    </row>
    <row r="1051" ht="15.75" customHeight="1">
      <c r="E1051" s="25"/>
      <c r="H1051" s="52"/>
    </row>
    <row r="1052" ht="15.75" customHeight="1">
      <c r="E1052" s="25"/>
      <c r="H1052" s="52"/>
    </row>
    <row r="1053" ht="15.75" customHeight="1">
      <c r="E1053" s="25"/>
      <c r="H1053" s="52"/>
    </row>
    <row r="1054" ht="15.75" customHeight="1">
      <c r="E1054" s="25"/>
      <c r="H1054" s="52"/>
    </row>
    <row r="1055" ht="15.75" customHeight="1">
      <c r="E1055" s="25"/>
      <c r="H1055" s="52"/>
    </row>
    <row r="1056" ht="15.75" customHeight="1">
      <c r="E1056" s="25"/>
      <c r="H1056" s="52"/>
    </row>
    <row r="1057" ht="15.75" customHeight="1">
      <c r="E1057" s="25"/>
      <c r="H1057" s="52"/>
    </row>
    <row r="1058" ht="15.75" customHeight="1">
      <c r="E1058" s="25"/>
      <c r="H1058" s="52"/>
    </row>
    <row r="1059" ht="15.75" customHeight="1">
      <c r="E1059" s="25"/>
      <c r="H1059" s="52"/>
    </row>
    <row r="1060" ht="15.75" customHeight="1">
      <c r="E1060" s="25"/>
      <c r="H1060" s="52"/>
    </row>
    <row r="1061" ht="15.75" customHeight="1">
      <c r="E1061" s="25"/>
      <c r="H1061" s="52"/>
    </row>
    <row r="1062" ht="15.75" customHeight="1">
      <c r="E1062" s="25"/>
      <c r="H1062" s="52"/>
    </row>
    <row r="1063" ht="15.75" customHeight="1">
      <c r="E1063" s="25"/>
      <c r="H1063" s="52"/>
    </row>
    <row r="1064" ht="15.75" customHeight="1">
      <c r="E1064" s="25"/>
      <c r="H1064" s="52"/>
    </row>
    <row r="1065" ht="15.75" customHeight="1">
      <c r="E1065" s="25"/>
      <c r="H1065" s="52"/>
    </row>
    <row r="1066" ht="15.75" customHeight="1">
      <c r="E1066" s="25"/>
      <c r="H1066" s="52"/>
    </row>
    <row r="1067" ht="15.75" customHeight="1">
      <c r="E1067" s="25"/>
      <c r="H1067" s="52"/>
    </row>
    <row r="1068" ht="15.75" customHeight="1">
      <c r="E1068" s="25"/>
      <c r="H1068" s="52"/>
    </row>
    <row r="1069" ht="15.75" customHeight="1">
      <c r="E1069" s="25"/>
      <c r="H1069" s="52"/>
    </row>
    <row r="1070" ht="15.75" customHeight="1">
      <c r="E1070" s="25"/>
      <c r="H1070" s="52"/>
    </row>
    <row r="1071" ht="15.75" customHeight="1">
      <c r="E1071" s="25"/>
      <c r="H1071" s="52"/>
    </row>
    <row r="1072" ht="15.75" customHeight="1">
      <c r="E1072" s="25"/>
      <c r="H1072" s="52"/>
    </row>
    <row r="1073" ht="15.75" customHeight="1">
      <c r="E1073" s="25"/>
      <c r="H1073" s="52"/>
    </row>
    <row r="1074" ht="15.75" customHeight="1">
      <c r="E1074" s="25"/>
      <c r="H1074" s="52"/>
    </row>
    <row r="1075" ht="15.75" customHeight="1">
      <c r="E1075" s="25"/>
      <c r="H1075" s="52"/>
    </row>
    <row r="1076" ht="15.75" customHeight="1">
      <c r="E1076" s="25"/>
      <c r="H1076" s="52"/>
    </row>
    <row r="1077" ht="15.75" customHeight="1">
      <c r="E1077" s="25"/>
      <c r="H1077" s="52"/>
    </row>
    <row r="1078" ht="15.75" customHeight="1">
      <c r="E1078" s="25"/>
      <c r="H1078" s="52"/>
    </row>
    <row r="1079" ht="15.75" customHeight="1">
      <c r="E1079" s="25"/>
      <c r="H1079" s="52"/>
    </row>
    <row r="1080" ht="15.75" customHeight="1">
      <c r="E1080" s="25"/>
      <c r="H1080" s="52"/>
    </row>
    <row r="1081" ht="15.75" customHeight="1">
      <c r="E1081" s="25"/>
      <c r="H1081" s="52"/>
    </row>
    <row r="1082" ht="15.75" customHeight="1">
      <c r="E1082" s="25"/>
      <c r="H1082" s="52"/>
    </row>
    <row r="1083" ht="15.75" customHeight="1">
      <c r="E1083" s="25"/>
      <c r="H1083" s="52"/>
    </row>
    <row r="1084" ht="15.75" customHeight="1">
      <c r="E1084" s="25"/>
      <c r="H1084" s="52"/>
    </row>
    <row r="1085" ht="15.75" customHeight="1">
      <c r="E1085" s="25"/>
      <c r="H1085" s="52"/>
    </row>
    <row r="1086" ht="15.75" customHeight="1">
      <c r="E1086" s="25"/>
      <c r="H1086" s="52"/>
    </row>
    <row r="1087" ht="15.75" customHeight="1">
      <c r="E1087" s="25"/>
      <c r="H1087" s="52"/>
    </row>
    <row r="1088" ht="15.75" customHeight="1">
      <c r="E1088" s="25"/>
      <c r="H1088" s="52"/>
    </row>
    <row r="1089" ht="15.75" customHeight="1">
      <c r="E1089" s="25"/>
      <c r="H1089" s="52"/>
    </row>
    <row r="1090" ht="15.75" customHeight="1">
      <c r="E1090" s="25"/>
      <c r="H1090" s="52"/>
    </row>
    <row r="1091" ht="15.75" customHeight="1">
      <c r="E1091" s="25"/>
      <c r="H1091" s="52"/>
    </row>
    <row r="1092" ht="15.75" customHeight="1">
      <c r="E1092" s="25"/>
      <c r="H1092" s="52"/>
    </row>
    <row r="1093" ht="15.75" customHeight="1">
      <c r="E1093" s="25"/>
      <c r="H1093" s="52"/>
    </row>
    <row r="1094" ht="15.75" customHeight="1">
      <c r="E1094" s="25"/>
      <c r="H1094" s="52"/>
    </row>
    <row r="1095" ht="15.75" customHeight="1">
      <c r="E1095" s="25"/>
      <c r="H1095" s="52"/>
    </row>
    <row r="1096" ht="15.75" customHeight="1">
      <c r="E1096" s="25"/>
      <c r="H1096" s="52"/>
    </row>
    <row r="1097" ht="15.75" customHeight="1">
      <c r="E1097" s="25"/>
      <c r="H1097" s="52"/>
    </row>
    <row r="1098" ht="15.75" customHeight="1">
      <c r="E1098" s="25"/>
      <c r="H1098" s="52"/>
    </row>
    <row r="1099" ht="15.75" customHeight="1">
      <c r="E1099" s="25"/>
      <c r="H1099" s="52"/>
    </row>
    <row r="1100" ht="15.75" customHeight="1">
      <c r="E1100" s="25"/>
      <c r="H1100" s="52"/>
    </row>
    <row r="1101" ht="15.75" customHeight="1">
      <c r="E1101" s="25"/>
      <c r="H1101" s="52"/>
    </row>
    <row r="1102" ht="15.75" customHeight="1">
      <c r="E1102" s="25"/>
      <c r="H1102" s="52"/>
    </row>
    <row r="1103" ht="15.75" customHeight="1">
      <c r="E1103" s="25"/>
      <c r="H1103" s="52"/>
    </row>
    <row r="1104" ht="15.75" customHeight="1">
      <c r="E1104" s="25"/>
      <c r="H1104" s="52"/>
    </row>
    <row r="1105" ht="15.75" customHeight="1">
      <c r="E1105" s="25"/>
      <c r="H1105" s="52"/>
    </row>
    <row r="1106" ht="15.75" customHeight="1">
      <c r="E1106" s="25"/>
      <c r="H1106" s="52"/>
    </row>
    <row r="1107" ht="15.75" customHeight="1">
      <c r="E1107" s="25"/>
      <c r="H1107" s="52"/>
    </row>
    <row r="1108" ht="15.75" customHeight="1">
      <c r="E1108" s="25"/>
      <c r="H1108" s="52"/>
    </row>
    <row r="1109" ht="15.75" customHeight="1">
      <c r="E1109" s="25"/>
      <c r="H1109" s="52"/>
    </row>
    <row r="1110" ht="15.75" customHeight="1">
      <c r="E1110" s="25"/>
      <c r="H1110" s="52"/>
    </row>
    <row r="1111" ht="15.75" customHeight="1">
      <c r="E1111" s="25"/>
      <c r="H1111" s="52"/>
    </row>
    <row r="1112" ht="15.75" customHeight="1">
      <c r="E1112" s="25"/>
      <c r="H1112" s="52"/>
    </row>
    <row r="1113" ht="15.75" customHeight="1">
      <c r="E1113" s="25"/>
      <c r="H1113" s="52"/>
    </row>
    <row r="1114" ht="15.75" customHeight="1">
      <c r="E1114" s="25"/>
      <c r="H1114" s="52"/>
    </row>
    <row r="1115" ht="15.75" customHeight="1">
      <c r="E1115" s="25"/>
      <c r="H1115" s="52"/>
    </row>
    <row r="1116" ht="15.75" customHeight="1">
      <c r="E1116" s="25"/>
      <c r="H1116" s="52"/>
    </row>
    <row r="1117" ht="15.75" customHeight="1">
      <c r="E1117" s="25"/>
      <c r="H1117" s="52"/>
    </row>
    <row r="1118" ht="15.75" customHeight="1">
      <c r="E1118" s="25"/>
      <c r="H1118" s="52"/>
    </row>
    <row r="1119" ht="15.75" customHeight="1">
      <c r="E1119" s="25"/>
      <c r="H1119" s="52"/>
    </row>
    <row r="1120" ht="15.75" customHeight="1">
      <c r="E1120" s="25"/>
      <c r="H1120" s="52"/>
    </row>
    <row r="1121" ht="15.75" customHeight="1">
      <c r="E1121" s="25"/>
      <c r="H1121" s="52"/>
    </row>
    <row r="1122" ht="15.75" customHeight="1">
      <c r="E1122" s="25"/>
      <c r="H1122" s="52"/>
    </row>
    <row r="1123" ht="15.75" customHeight="1">
      <c r="E1123" s="25"/>
      <c r="H1123" s="52"/>
    </row>
    <row r="1124" ht="15.75" customHeight="1">
      <c r="E1124" s="25"/>
      <c r="H1124" s="52"/>
    </row>
    <row r="1125" ht="15.75" customHeight="1">
      <c r="E1125" s="25"/>
      <c r="H1125" s="52"/>
    </row>
    <row r="1126" ht="15.75" customHeight="1">
      <c r="E1126" s="25"/>
      <c r="H1126" s="52"/>
    </row>
    <row r="1127" ht="15.75" customHeight="1">
      <c r="E1127" s="25"/>
      <c r="H1127" s="52"/>
    </row>
    <row r="1128" ht="15.75" customHeight="1">
      <c r="E1128" s="25"/>
      <c r="H1128" s="52"/>
    </row>
    <row r="1129" ht="15.75" customHeight="1">
      <c r="E1129" s="25"/>
      <c r="H1129" s="52"/>
    </row>
    <row r="1130" ht="15.75" customHeight="1">
      <c r="E1130" s="25"/>
      <c r="H1130" s="52"/>
    </row>
    <row r="1131" ht="15.75" customHeight="1">
      <c r="E1131" s="25"/>
      <c r="H1131" s="52"/>
    </row>
    <row r="1132" ht="15.75" customHeight="1">
      <c r="E1132" s="25"/>
      <c r="H1132" s="52"/>
    </row>
    <row r="1133" ht="15.75" customHeight="1">
      <c r="E1133" s="25"/>
      <c r="H1133" s="52"/>
    </row>
    <row r="1134" ht="15.75" customHeight="1">
      <c r="E1134" s="25"/>
      <c r="H1134" s="52"/>
    </row>
    <row r="1135" ht="15.75" customHeight="1">
      <c r="E1135" s="25"/>
      <c r="H1135" s="52"/>
    </row>
    <row r="1136" ht="15.75" customHeight="1">
      <c r="E1136" s="25"/>
      <c r="H1136" s="52"/>
    </row>
    <row r="1137" ht="15.75" customHeight="1">
      <c r="E1137" s="25"/>
      <c r="H1137" s="52"/>
    </row>
    <row r="1138" ht="15.75" customHeight="1">
      <c r="E1138" s="25"/>
      <c r="H1138" s="52"/>
    </row>
    <row r="1139" ht="15.75" customHeight="1">
      <c r="E1139" s="25"/>
      <c r="H1139" s="52"/>
    </row>
    <row r="1140" ht="15.75" customHeight="1">
      <c r="E1140" s="25"/>
      <c r="H1140" s="52"/>
    </row>
    <row r="1141" ht="15.75" customHeight="1">
      <c r="E1141" s="25"/>
      <c r="H1141" s="52"/>
    </row>
    <row r="1142" ht="15.75" customHeight="1">
      <c r="E1142" s="25"/>
      <c r="H1142" s="52"/>
    </row>
    <row r="1143" ht="15.75" customHeight="1">
      <c r="E1143" s="25"/>
      <c r="H1143" s="52"/>
    </row>
    <row r="1144" ht="15.75" customHeight="1">
      <c r="E1144" s="25"/>
      <c r="H1144" s="52"/>
    </row>
    <row r="1145" ht="15.75" customHeight="1">
      <c r="E1145" s="25"/>
      <c r="H1145" s="52"/>
    </row>
    <row r="1146" ht="15.75" customHeight="1">
      <c r="E1146" s="25"/>
      <c r="H1146" s="52"/>
    </row>
    <row r="1147" ht="15.75" customHeight="1">
      <c r="E1147" s="25"/>
      <c r="H1147" s="52"/>
    </row>
    <row r="1148" ht="15.75" customHeight="1">
      <c r="E1148" s="25"/>
      <c r="H1148" s="52"/>
    </row>
    <row r="1149" ht="15.75" customHeight="1">
      <c r="E1149" s="25"/>
      <c r="H1149" s="52"/>
    </row>
    <row r="1150" ht="15.75" customHeight="1">
      <c r="E1150" s="25"/>
      <c r="H1150" s="52"/>
    </row>
    <row r="1151" ht="15.75" customHeight="1">
      <c r="E1151" s="25"/>
      <c r="H1151" s="52"/>
    </row>
    <row r="1152" ht="15.75" customHeight="1">
      <c r="E1152" s="25"/>
      <c r="H1152" s="52"/>
    </row>
    <row r="1153" ht="15.75" customHeight="1">
      <c r="E1153" s="25"/>
      <c r="H1153" s="52"/>
    </row>
    <row r="1154" ht="15.75" customHeight="1">
      <c r="E1154" s="25"/>
      <c r="H1154" s="52"/>
    </row>
    <row r="1155" ht="15.75" customHeight="1">
      <c r="E1155" s="25"/>
      <c r="H1155" s="52"/>
    </row>
    <row r="1156" ht="15.75" customHeight="1">
      <c r="E1156" s="25"/>
      <c r="H1156" s="52"/>
    </row>
    <row r="1157" ht="15.75" customHeight="1">
      <c r="E1157" s="25"/>
      <c r="H1157" s="52"/>
    </row>
    <row r="1158" ht="15.75" customHeight="1">
      <c r="E1158" s="25"/>
      <c r="H1158" s="52"/>
    </row>
    <row r="1159" ht="15.75" customHeight="1">
      <c r="E1159" s="25"/>
      <c r="H1159" s="52"/>
    </row>
    <row r="1160" ht="15.75" customHeight="1">
      <c r="E1160" s="25"/>
      <c r="H1160" s="52"/>
    </row>
    <row r="1161" ht="15.75" customHeight="1">
      <c r="E1161" s="25"/>
      <c r="H1161" s="52"/>
    </row>
    <row r="1162" ht="15.75" customHeight="1">
      <c r="E1162" s="25"/>
      <c r="H1162" s="52"/>
    </row>
    <row r="1163" ht="15.75" customHeight="1">
      <c r="E1163" s="25"/>
      <c r="H1163" s="52"/>
    </row>
    <row r="1164" ht="15.75" customHeight="1">
      <c r="E1164" s="25"/>
      <c r="H1164" s="52"/>
    </row>
    <row r="1165" ht="15.75" customHeight="1">
      <c r="E1165" s="25"/>
      <c r="H1165" s="52"/>
    </row>
    <row r="1166" ht="15.75" customHeight="1">
      <c r="E1166" s="25"/>
      <c r="H1166" s="52"/>
    </row>
    <row r="1167" ht="15.75" customHeight="1">
      <c r="E1167" s="25"/>
      <c r="H1167" s="52"/>
    </row>
    <row r="1168" ht="15.75" customHeight="1">
      <c r="E1168" s="25"/>
      <c r="H1168" s="52"/>
    </row>
    <row r="1169" ht="15.75" customHeight="1">
      <c r="E1169" s="25"/>
      <c r="H1169" s="52"/>
    </row>
    <row r="1170" ht="15.75" customHeight="1">
      <c r="E1170" s="25"/>
      <c r="H1170" s="52"/>
    </row>
    <row r="1171" ht="15.75" customHeight="1">
      <c r="E1171" s="25"/>
      <c r="H1171" s="52"/>
    </row>
    <row r="1172" ht="15.75" customHeight="1">
      <c r="E1172" s="25"/>
      <c r="H1172" s="52"/>
    </row>
    <row r="1173" ht="15.75" customHeight="1">
      <c r="E1173" s="25"/>
      <c r="H1173" s="52"/>
    </row>
    <row r="1174" ht="15.75" customHeight="1">
      <c r="E1174" s="25"/>
      <c r="H1174" s="52"/>
    </row>
    <row r="1175" ht="15.75" customHeight="1">
      <c r="E1175" s="25"/>
      <c r="H1175" s="52"/>
    </row>
    <row r="1176" ht="15.75" customHeight="1">
      <c r="E1176" s="25"/>
      <c r="H1176" s="52"/>
    </row>
    <row r="1177" ht="15.75" customHeight="1">
      <c r="E1177" s="25"/>
      <c r="H1177" s="52"/>
    </row>
    <row r="1178" ht="15.75" customHeight="1">
      <c r="E1178" s="25"/>
      <c r="H1178" s="52"/>
    </row>
    <row r="1179" ht="15.75" customHeight="1">
      <c r="E1179" s="25"/>
      <c r="H1179" s="52"/>
    </row>
    <row r="1180" ht="15.75" customHeight="1">
      <c r="E1180" s="25"/>
      <c r="H1180" s="52"/>
    </row>
    <row r="1181" ht="15.75" customHeight="1">
      <c r="E1181" s="25"/>
      <c r="H1181" s="52"/>
    </row>
    <row r="1182" ht="15.75" customHeight="1">
      <c r="E1182" s="25"/>
      <c r="H1182" s="52"/>
    </row>
    <row r="1183" ht="15.75" customHeight="1">
      <c r="E1183" s="25"/>
      <c r="H1183" s="52"/>
    </row>
    <row r="1184" ht="15.75" customHeight="1">
      <c r="E1184" s="25"/>
      <c r="H1184" s="52"/>
    </row>
    <row r="1185" ht="15.75" customHeight="1">
      <c r="E1185" s="25"/>
      <c r="H1185" s="52"/>
    </row>
    <row r="1186" ht="15.75" customHeight="1">
      <c r="E1186" s="25"/>
      <c r="H1186" s="52"/>
    </row>
    <row r="1187" ht="15.75" customHeight="1">
      <c r="E1187" s="25"/>
      <c r="H1187" s="52"/>
    </row>
    <row r="1188" ht="15.75" customHeight="1">
      <c r="E1188" s="25"/>
      <c r="H1188" s="52"/>
    </row>
    <row r="1189" ht="15.75" customHeight="1">
      <c r="E1189" s="25"/>
      <c r="H1189" s="52"/>
    </row>
    <row r="1190" ht="15.75" customHeight="1">
      <c r="E1190" s="25"/>
      <c r="H1190" s="52"/>
    </row>
    <row r="1191" ht="15.75" customHeight="1">
      <c r="E1191" s="25"/>
      <c r="H1191" s="52"/>
    </row>
    <row r="1192" ht="15.75" customHeight="1">
      <c r="E1192" s="25"/>
      <c r="H1192" s="52"/>
    </row>
    <row r="1193" ht="15.75" customHeight="1">
      <c r="E1193" s="25"/>
      <c r="H1193" s="52"/>
    </row>
    <row r="1194" ht="15.75" customHeight="1">
      <c r="E1194" s="25"/>
      <c r="H1194" s="52"/>
    </row>
    <row r="1195" ht="15.75" customHeight="1">
      <c r="E1195" s="25"/>
      <c r="H1195" s="52"/>
    </row>
    <row r="1196" ht="15.75" customHeight="1">
      <c r="E1196" s="25"/>
      <c r="H1196" s="52"/>
    </row>
    <row r="1197" ht="15.75" customHeight="1">
      <c r="E1197" s="25"/>
      <c r="H1197" s="52"/>
    </row>
    <row r="1198" ht="15.75" customHeight="1">
      <c r="E1198" s="25"/>
      <c r="H1198" s="52"/>
    </row>
    <row r="1199" ht="15.75" customHeight="1">
      <c r="E1199" s="25"/>
      <c r="H1199" s="52"/>
    </row>
    <row r="1200" ht="15.75" customHeight="1">
      <c r="E1200" s="25"/>
      <c r="H1200" s="52"/>
    </row>
    <row r="1201" ht="15.75" customHeight="1">
      <c r="E1201" s="25"/>
      <c r="H1201" s="52"/>
    </row>
    <row r="1202" ht="15.75" customHeight="1">
      <c r="E1202" s="25"/>
      <c r="H1202" s="52"/>
    </row>
    <row r="1203" ht="15.75" customHeight="1">
      <c r="E1203" s="25"/>
      <c r="H1203" s="52"/>
    </row>
    <row r="1204" ht="15.75" customHeight="1">
      <c r="E1204" s="25"/>
      <c r="H1204" s="52"/>
    </row>
    <row r="1205" ht="15.75" customHeight="1">
      <c r="E1205" s="25"/>
      <c r="H1205" s="52"/>
    </row>
    <row r="1206" ht="15.75" customHeight="1">
      <c r="E1206" s="25"/>
      <c r="H1206" s="52"/>
    </row>
    <row r="1207" ht="15.75" customHeight="1">
      <c r="E1207" s="25"/>
      <c r="H1207" s="52"/>
    </row>
    <row r="1208" ht="15.75" customHeight="1">
      <c r="E1208" s="25"/>
      <c r="H1208" s="52"/>
    </row>
    <row r="1209" ht="15.75" customHeight="1">
      <c r="E1209" s="25"/>
      <c r="H1209" s="52"/>
    </row>
    <row r="1210" ht="15.75" customHeight="1">
      <c r="E1210" s="25"/>
      <c r="H1210" s="52"/>
    </row>
    <row r="1211" ht="15.75" customHeight="1">
      <c r="E1211" s="25"/>
      <c r="H1211" s="52"/>
    </row>
    <row r="1212" ht="15.75" customHeight="1">
      <c r="E1212" s="25"/>
      <c r="H1212" s="52"/>
    </row>
    <row r="1213" ht="15.75" customHeight="1">
      <c r="E1213" s="25"/>
      <c r="H1213" s="52"/>
    </row>
    <row r="1214" ht="15.75" customHeight="1">
      <c r="E1214" s="25"/>
      <c r="H1214" s="52"/>
    </row>
    <row r="1215" ht="15.75" customHeight="1">
      <c r="E1215" s="25"/>
      <c r="H1215" s="52"/>
    </row>
    <row r="1216" ht="15.75" customHeight="1">
      <c r="E1216" s="25"/>
      <c r="H1216" s="52"/>
    </row>
    <row r="1217" ht="15.75" customHeight="1">
      <c r="E1217" s="25"/>
      <c r="H1217" s="52"/>
    </row>
    <row r="1218" ht="15.75" customHeight="1">
      <c r="E1218" s="25"/>
      <c r="H1218" s="52"/>
    </row>
    <row r="1219" ht="15.75" customHeight="1">
      <c r="E1219" s="25"/>
      <c r="H1219" s="52"/>
    </row>
    <row r="1220" ht="15.75" customHeight="1">
      <c r="E1220" s="25"/>
      <c r="H1220" s="52"/>
    </row>
    <row r="1221" ht="15.75" customHeight="1">
      <c r="E1221" s="25"/>
      <c r="H1221" s="52"/>
    </row>
    <row r="1222" ht="15.75" customHeight="1">
      <c r="E1222" s="25"/>
      <c r="H1222" s="52"/>
    </row>
    <row r="1223" ht="15.75" customHeight="1">
      <c r="E1223" s="25"/>
      <c r="H1223" s="52"/>
    </row>
    <row r="1224" ht="15.75" customHeight="1">
      <c r="E1224" s="25"/>
      <c r="H1224" s="52"/>
    </row>
    <row r="1225" ht="15.75" customHeight="1">
      <c r="E1225" s="25"/>
      <c r="H1225" s="52"/>
    </row>
    <row r="1226" ht="15.75" customHeight="1">
      <c r="E1226" s="25"/>
      <c r="H1226" s="52"/>
    </row>
    <row r="1227" ht="15.75" customHeight="1">
      <c r="E1227" s="25"/>
      <c r="H1227" s="52"/>
    </row>
    <row r="1228" ht="15.75" customHeight="1">
      <c r="E1228" s="25"/>
      <c r="H1228" s="52"/>
    </row>
    <row r="1229" ht="15.75" customHeight="1">
      <c r="E1229" s="25"/>
      <c r="H1229" s="52"/>
    </row>
    <row r="1230" ht="15.75" customHeight="1">
      <c r="E1230" s="25"/>
      <c r="H1230" s="52"/>
    </row>
  </sheetData>
  <mergeCells count="2">
    <mergeCell ref="A4:S4"/>
    <mergeCell ref="T4:AE4"/>
  </mergeCells>
  <conditionalFormatting sqref="T6:AE435">
    <cfRule type="expression" dxfId="3" priority="1">
      <formula>T6="Hoạt động"</formula>
    </cfRule>
  </conditionalFormatting>
  <conditionalFormatting sqref="T6:AE435">
    <cfRule type="expression" dxfId="5" priority="2">
      <formula>T6="Hạn chế"</formula>
    </cfRule>
  </conditionalFormatting>
  <conditionalFormatting sqref="T6:AE435">
    <cfRule type="expression" dxfId="6" priority="3">
      <formula>T6="Checkpoint"</formula>
    </cfRule>
  </conditionalFormatting>
  <conditionalFormatting sqref="T6:AE435">
    <cfRule type="expression" dxfId="9" priority="4">
      <formula>T6="Die / Mất"</formula>
    </cfRule>
  </conditionalFormatting>
  <conditionalFormatting sqref="T6:AE435">
    <cfRule type="expression" dxfId="7" priority="5">
      <formula>T6="Đã thu hồi"</formula>
    </cfRule>
  </conditionalFormatting>
  <conditionalFormatting sqref="T6:AE435">
    <cfRule type="expression" dxfId="7" priority="6">
      <formula>T6="Ngừng dùng"</formula>
    </cfRule>
  </conditionalFormatting>
  <conditionalFormatting sqref="R6:R435">
    <cfRule type="expression" dxfId="3" priority="7">
      <formula>R6="Đã bàn giao"</formula>
    </cfRule>
  </conditionalFormatting>
  <conditionalFormatting sqref="R6:R435">
    <cfRule type="expression" dxfId="5" priority="8">
      <formula>R6="Đang bàn giao"</formula>
    </cfRule>
  </conditionalFormatting>
  <conditionalFormatting sqref="R6:R435">
    <cfRule type="expression" dxfId="9" priority="9">
      <formula>R6="Chưa bàn giao"</formula>
    </cfRule>
  </conditionalFormatting>
  <conditionalFormatting sqref="H6:I435">
    <cfRule type="expression" dxfId="10" priority="10">
      <formula>H6="Đang làm"</formula>
    </cfRule>
  </conditionalFormatting>
  <conditionalFormatting sqref="H6:I435">
    <cfRule type="expression" dxfId="11" priority="11">
      <formula>H6="Thử việc"</formula>
    </cfRule>
  </conditionalFormatting>
  <conditionalFormatting sqref="H6:I435">
    <cfRule type="expression" dxfId="12" priority="12">
      <formula>H6="Tạm nghỉ"</formula>
    </cfRule>
  </conditionalFormatting>
  <conditionalFormatting sqref="H6:I435">
    <cfRule type="expression" dxfId="13" priority="13">
      <formula>H6="Chuyển ban"</formula>
    </cfRule>
  </conditionalFormatting>
  <conditionalFormatting sqref="H6:I435">
    <cfRule type="expression" dxfId="8" priority="14">
      <formula>H6="Đã nghỉ việc"</formula>
    </cfRule>
  </conditionalFormatting>
  <conditionalFormatting sqref="H6:I435">
    <cfRule type="expression" dxfId="8" priority="15">
      <formula>H6="Chưa có trong DS"</formula>
    </cfRule>
  </conditionalFormatting>
  <dataValidations>
    <dataValidation type="list" allowBlank="1" showInputMessage="1" showErrorMessage="1" prompt="Kiểm tra lại - Vui lòng chọn trong danh sách." sqref="M6:M435">
      <formula1>'Danh mục'!$C$2:$C$4</formula1>
    </dataValidation>
    <dataValidation type="list" allowBlank="1" showInputMessage="1" showErrorMessage="1" prompt="Kiểm tra lại - Vui lòng chọn trong danh sách." sqref="O6:O435">
      <formula1>'Danh mục'!$D$2:$D$7</formula1>
    </dataValidation>
    <dataValidation type="list" allowBlank="1" showInputMessage="1" showErrorMessage="1" prompt="Kiểm tra lại - Vui lòng chọn trong danh sách." sqref="R6:R435">
      <formula1>'Danh mục'!$E$2:$E$4</formula1>
    </dataValidation>
    <dataValidation type="list" allowBlank="1" showInputMessage="1" showErrorMessage="1" prompt="Kiểm tra lại - Vui lòng chọn trong danh sách." sqref="T6:AE435">
      <formula1>'Danh mục'!$F$2:$F$7</formula1>
    </dataValidation>
    <dataValidation type="list" allowBlank="1" showInputMessage="1" prompt="Nhấp và nhập một giá trị trong dải ô" sqref="N23:N88 N303 N305:N322 G6:G435">
      <formula1>'Người sử dụng'!$C$5:$C$140</formula1>
    </dataValidation>
    <dataValidation type="list" allowBlank="1" showInputMessage="1" showErrorMessage="1" prompt="Nhấp và nhập một giá trị trong dải ô" sqref="J6:J435">
      <formula1>'Danh mục'!$B$2:$B$25</formula1>
    </dataValidation>
    <dataValidation type="date" operator="greaterThan" allowBlank="1" showInputMessage="1" showErrorMessage="1" prompt="Nhập ngày dạng dd/mm/yyyy." sqref="P6:P435">
      <formula1>DATE(2000,1,1)</formula1>
    </dataValidation>
    <dataValidation type="list" allowBlank="1" showInputMessage="1" showErrorMessage="1" prompt="Nhấp và nhập một giá trị trong dải ô" sqref="C6:C435">
      <formula1>'Danh mục'!$A$2:$A$19</formula1>
    </dataValidation>
    <dataValidation type="list" allowBlank="1" showInputMessage="1" prompt="Kiểm tra lại - Tên này chưa có trong tab Người sử dụng." sqref="N6:N22 N89:N302 N304 N323:N435">
      <formula1>'Người sử dụng'!$C$5:$C$140</formula1>
    </dataValidation>
  </dataValidations>
  <hyperlinks>
    <hyperlink r:id="rId1" ref="F6"/>
    <hyperlink r:id="rId2" ref="F10"/>
    <hyperlink r:id="rId3" ref="F11"/>
    <hyperlink r:id="rId4" ref="F12"/>
    <hyperlink r:id="rId5" ref="F13"/>
    <hyperlink r:id="rId6" ref="F14"/>
    <hyperlink r:id="rId7" ref="F15"/>
    <hyperlink r:id="rId8" ref="F16"/>
    <hyperlink r:id="rId9" ref="F17"/>
    <hyperlink r:id="rId10" ref="F18"/>
    <hyperlink r:id="rId11" ref="F19"/>
    <hyperlink r:id="rId12" ref="F20"/>
    <hyperlink r:id="rId13" ref="F23"/>
    <hyperlink r:id="rId14" ref="F24"/>
    <hyperlink r:id="rId15" ref="F25"/>
    <hyperlink r:id="rId16" ref="F26"/>
    <hyperlink r:id="rId17" ref="F27"/>
    <hyperlink r:id="rId18" ref="F29"/>
    <hyperlink r:id="rId19" ref="F30"/>
    <hyperlink r:id="rId20" ref="F31"/>
    <hyperlink r:id="rId21" ref="F32"/>
    <hyperlink r:id="rId22" ref="F89"/>
    <hyperlink r:id="rId23" ref="F90"/>
    <hyperlink r:id="rId24" ref="F93"/>
    <hyperlink r:id="rId25" ref="F94"/>
    <hyperlink r:id="rId26" ref="F95"/>
    <hyperlink r:id="rId27" ref="F96"/>
    <hyperlink r:id="rId28" ref="F98"/>
    <hyperlink r:id="rId29" ref="F99"/>
    <hyperlink r:id="rId30" ref="F100"/>
    <hyperlink r:id="rId31" ref="F101"/>
    <hyperlink r:id="rId32" ref="F102"/>
    <hyperlink r:id="rId33" ref="F103"/>
    <hyperlink r:id="rId34" ref="F104"/>
    <hyperlink r:id="rId35" ref="F219"/>
    <hyperlink r:id="rId36" ref="F220"/>
    <hyperlink r:id="rId37" ref="F221"/>
    <hyperlink r:id="rId38" ref="F222"/>
    <hyperlink r:id="rId39" ref="F223"/>
    <hyperlink r:id="rId40" ref="F224"/>
    <hyperlink r:id="rId41" ref="F225"/>
    <hyperlink r:id="rId42" ref="F226"/>
    <hyperlink r:id="rId43" ref="F236"/>
    <hyperlink r:id="rId44" ref="F251"/>
    <hyperlink r:id="rId45" ref="F303"/>
    <hyperlink r:id="rId46" ref="F304"/>
    <hyperlink r:id="rId47" ref="F305"/>
    <hyperlink r:id="rId48" ref="F309"/>
    <hyperlink r:id="rId49" ref="F310"/>
    <hyperlink r:id="rId50" ref="F311"/>
    <hyperlink r:id="rId51" ref="F312"/>
    <hyperlink r:id="rId52" ref="F313"/>
    <hyperlink r:id="rId53" ref="F314"/>
    <hyperlink r:id="rId54" ref="F321"/>
    <hyperlink r:id="rId55" ref="F322"/>
    <hyperlink r:id="rId56" ref="F323"/>
    <hyperlink r:id="rId57" ref="F324"/>
    <hyperlink r:id="rId58" ref="F325"/>
    <hyperlink r:id="rId59" ref="F326"/>
    <hyperlink r:id="rId60" ref="F330"/>
    <hyperlink r:id="rId61" ref="F331"/>
    <hyperlink r:id="rId62" ref="F332"/>
    <hyperlink r:id="rId63" ref="F337"/>
    <hyperlink r:id="rId64" ref="F338"/>
    <hyperlink r:id="rId65" ref="F339"/>
    <hyperlink r:id="rId66" ref="F340"/>
    <hyperlink r:id="rId67" ref="F341"/>
    <hyperlink r:id="rId68" ref="F342"/>
    <hyperlink r:id="rId69" ref="F343"/>
    <hyperlink r:id="rId70" ref="F344"/>
    <hyperlink r:id="rId71" ref="F345"/>
    <hyperlink r:id="rId72" ref="F346"/>
    <hyperlink r:id="rId73" ref="F347"/>
    <hyperlink r:id="rId74" ref="E401"/>
    <hyperlink r:id="rId75" ref="E402"/>
    <hyperlink r:id="rId76" ref="E403"/>
    <hyperlink r:id="rId77" ref="E404"/>
    <hyperlink r:id="rId78" ref="E405"/>
    <hyperlink r:id="rId79" ref="E406"/>
    <hyperlink r:id="rId80" ref="E407"/>
    <hyperlink r:id="rId81" ref="E408"/>
    <hyperlink r:id="rId82" ref="E409"/>
  </hyperlinks>
  <printOptions/>
  <pageMargins bottom="1.0" footer="0.0" header="0.0" left="0.75" right="0.75" top="1.0"/>
  <pageSetup paperSize="9" orientation="portrait"/>
  <drawing r:id="rId83"/>
  <tableParts count="1">
    <tablePart r:id="rId8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AFEA"/>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6.0"/>
    <col customWidth="1" min="2" max="2" width="13.0"/>
    <col customWidth="1" min="3" max="3" width="14.0"/>
    <col customWidth="1" min="4" max="4" width="22.0"/>
    <col customWidth="1" min="5" max="5" width="28.0"/>
    <col customWidth="1" min="6" max="6" width="30.0"/>
    <col customWidth="1" min="7" max="7" width="22.0"/>
    <col customWidth="1" min="8" max="9" width="16.0"/>
    <col customWidth="1" min="10" max="10" width="22.0"/>
    <col customWidth="1" min="11" max="11" width="26.0"/>
    <col customWidth="1" min="12" max="12" width="14.0"/>
    <col customWidth="1" min="13" max="13" width="12.0"/>
    <col customWidth="1" min="14" max="14" width="20.0"/>
    <col customWidth="1" min="15" max="15" width="18.0"/>
    <col customWidth="1" min="16" max="16" width="14.0"/>
    <col customWidth="1" min="17" max="17" width="26.0"/>
    <col customWidth="1" min="18" max="18" width="18.0"/>
    <col customWidth="1" min="19" max="19" width="28.0"/>
    <col customWidth="1" min="20" max="31" width="12.0"/>
  </cols>
  <sheetData>
    <row r="1">
      <c r="A1" s="1" t="s">
        <v>192</v>
      </c>
    </row>
    <row r="2">
      <c r="A2" s="8" t="s">
        <v>94</v>
      </c>
      <c r="C2" s="27"/>
      <c r="D2" s="27"/>
      <c r="E2" s="8" t="s">
        <v>99</v>
      </c>
      <c r="G2" s="29"/>
    </row>
    <row r="3">
      <c r="A3" s="7" t="s">
        <v>105</v>
      </c>
    </row>
    <row r="4" ht="15.0" customHeight="1">
      <c r="A4" s="31" t="s">
        <v>108</v>
      </c>
      <c r="B4" s="32"/>
      <c r="C4" s="32"/>
      <c r="D4" s="32"/>
      <c r="E4" s="32"/>
      <c r="F4" s="32"/>
      <c r="G4" s="32"/>
      <c r="H4" s="32"/>
      <c r="I4" s="32"/>
      <c r="J4" s="32"/>
      <c r="K4" s="32"/>
      <c r="L4" s="32"/>
      <c r="M4" s="32"/>
      <c r="N4" s="32"/>
      <c r="O4" s="32"/>
      <c r="P4" s="32"/>
      <c r="Q4" s="32"/>
      <c r="R4" s="32"/>
      <c r="S4" s="34"/>
      <c r="T4" s="37" t="s">
        <v>110</v>
      </c>
      <c r="U4" s="32"/>
      <c r="V4" s="32"/>
      <c r="W4" s="32"/>
      <c r="X4" s="32"/>
      <c r="Y4" s="32"/>
      <c r="Z4" s="32"/>
      <c r="AA4" s="32"/>
      <c r="AB4" s="32"/>
      <c r="AC4" s="32"/>
      <c r="AD4" s="32"/>
      <c r="AE4" s="34"/>
    </row>
    <row r="5" ht="33.75" customHeight="1">
      <c r="A5" s="11" t="s">
        <v>11</v>
      </c>
      <c r="B5" s="11" t="s">
        <v>65</v>
      </c>
      <c r="C5" s="12" t="s">
        <v>66</v>
      </c>
      <c r="D5" s="12" t="s">
        <v>67</v>
      </c>
      <c r="E5" s="12" t="s">
        <v>68</v>
      </c>
      <c r="F5" s="12" t="s">
        <v>69</v>
      </c>
      <c r="G5" s="12" t="s">
        <v>71</v>
      </c>
      <c r="H5" s="38" t="s">
        <v>112</v>
      </c>
      <c r="I5" s="11" t="s">
        <v>72</v>
      </c>
      <c r="J5" s="12" t="s">
        <v>73</v>
      </c>
      <c r="K5" s="12" t="s">
        <v>74</v>
      </c>
      <c r="L5" s="12" t="s">
        <v>75</v>
      </c>
      <c r="M5" s="12" t="s">
        <v>76</v>
      </c>
      <c r="N5" s="12" t="s">
        <v>78</v>
      </c>
      <c r="O5" s="12" t="s">
        <v>79</v>
      </c>
      <c r="P5" s="12" t="s">
        <v>80</v>
      </c>
      <c r="Q5" s="12" t="s">
        <v>81</v>
      </c>
      <c r="R5" s="39" t="s">
        <v>82</v>
      </c>
      <c r="S5" s="12" t="s">
        <v>36</v>
      </c>
      <c r="T5" s="39" t="s">
        <v>113</v>
      </c>
      <c r="U5" s="39" t="s">
        <v>114</v>
      </c>
      <c r="V5" s="39" t="s">
        <v>115</v>
      </c>
      <c r="W5" s="39" t="s">
        <v>116</v>
      </c>
      <c r="X5" s="39" t="s">
        <v>117</v>
      </c>
      <c r="Y5" s="39" t="s">
        <v>118</v>
      </c>
      <c r="Z5" s="39" t="s">
        <v>119</v>
      </c>
      <c r="AA5" s="39" t="s">
        <v>120</v>
      </c>
      <c r="AB5" s="39" t="s">
        <v>121</v>
      </c>
      <c r="AC5" s="39" t="s">
        <v>122</v>
      </c>
      <c r="AD5" s="39" t="s">
        <v>123</v>
      </c>
      <c r="AE5" s="39" t="s">
        <v>124</v>
      </c>
    </row>
    <row r="6">
      <c r="A6" s="40">
        <f t="shared" ref="A6:A205" si="1">IF(C6="","",ROW()-5)</f>
        <v>1</v>
      </c>
      <c r="B6" s="40" t="str">
        <f t="shared" ref="B6:B205" si="2">IF(C6="","","BT-"&amp;TEXT(ROW()-5,"000"))</f>
        <v>BT-001</v>
      </c>
      <c r="C6" s="19" t="s">
        <v>103</v>
      </c>
      <c r="D6" s="23"/>
      <c r="E6" s="51"/>
      <c r="F6" s="51"/>
      <c r="G6" s="24"/>
      <c r="H6" s="48" t="str">
        <f t="array" ref="H6:H1000">IFERROR(_xlfn.XLOOKUP(G6:G1000,'Người sử dụng'!$C$4:$C1000,'Người sử dụng'!$B$4:$B1000),"")</f>
        <v/>
      </c>
      <c r="I6" s="40" t="str">
        <f t="array" ref="I6">IF(G6="","",IFERROR(INDEX('Người sử dụng'!$H$5:$H$140,MATCH(G6,'Người sử dụng'!$C$5:$C$140,0)),"Chưa có trong DS"))</f>
        <v/>
      </c>
      <c r="J6" s="24"/>
      <c r="K6" s="24"/>
      <c r="L6" s="23"/>
      <c r="M6" s="24"/>
      <c r="N6" s="24"/>
      <c r="O6" s="24"/>
      <c r="P6" s="26"/>
      <c r="Q6" s="51"/>
      <c r="R6" s="46"/>
      <c r="S6" s="51"/>
      <c r="T6" s="46"/>
      <c r="U6" s="46"/>
      <c r="V6" s="46"/>
      <c r="W6" s="46"/>
      <c r="X6" s="46"/>
      <c r="Y6" s="46"/>
      <c r="Z6" s="46"/>
      <c r="AA6" s="46"/>
      <c r="AB6" s="46"/>
      <c r="AC6" s="46"/>
      <c r="AD6" s="46"/>
      <c r="AE6" s="46"/>
    </row>
    <row r="7">
      <c r="A7" s="40" t="str">
        <f t="shared" si="1"/>
        <v/>
      </c>
      <c r="B7" s="40" t="str">
        <f t="shared" si="2"/>
        <v/>
      </c>
      <c r="C7" s="24"/>
      <c r="D7" s="23"/>
      <c r="E7" s="51"/>
      <c r="F7" s="51"/>
      <c r="G7" s="24"/>
      <c r="H7" s="40"/>
      <c r="I7" s="40" t="str">
        <f t="array" ref="I7">IF(G7="","",IFERROR(INDEX('Người sử dụng'!$H$5:$H$140,MATCH(G7,'Người sử dụng'!$C$5:$C$140,0)),"Chưa có trong DS"))</f>
        <v/>
      </c>
      <c r="J7" s="24"/>
      <c r="K7" s="24"/>
      <c r="L7" s="23"/>
      <c r="M7" s="24"/>
      <c r="N7" s="24"/>
      <c r="O7" s="24"/>
      <c r="P7" s="26"/>
      <c r="Q7" s="51"/>
      <c r="R7" s="46"/>
      <c r="S7" s="51"/>
      <c r="T7" s="46"/>
      <c r="U7" s="46"/>
      <c r="V7" s="46"/>
      <c r="W7" s="46"/>
      <c r="X7" s="46"/>
      <c r="Y7" s="46"/>
      <c r="Z7" s="46"/>
      <c r="AA7" s="46"/>
      <c r="AB7" s="46"/>
      <c r="AC7" s="46"/>
      <c r="AD7" s="46"/>
      <c r="AE7" s="46"/>
    </row>
    <row r="8">
      <c r="A8" s="40" t="str">
        <f t="shared" si="1"/>
        <v/>
      </c>
      <c r="B8" s="40" t="str">
        <f t="shared" si="2"/>
        <v/>
      </c>
      <c r="C8" s="24"/>
      <c r="D8" s="23"/>
      <c r="E8" s="51"/>
      <c r="F8" s="51"/>
      <c r="G8" s="24"/>
      <c r="H8" s="40"/>
      <c r="I8" s="40" t="str">
        <f t="array" ref="I8">IF(G8="","",IFERROR(INDEX('Người sử dụng'!$H$5:$H$140,MATCH(G8,'Người sử dụng'!$C$5:$C$140,0)),"Chưa có trong DS"))</f>
        <v/>
      </c>
      <c r="J8" s="24"/>
      <c r="K8" s="24"/>
      <c r="L8" s="23"/>
      <c r="M8" s="24"/>
      <c r="N8" s="24"/>
      <c r="O8" s="24"/>
      <c r="P8" s="26"/>
      <c r="Q8" s="51"/>
      <c r="R8" s="46"/>
      <c r="S8" s="51"/>
      <c r="T8" s="46"/>
      <c r="U8" s="46"/>
      <c r="V8" s="46"/>
      <c r="W8" s="46"/>
      <c r="X8" s="46"/>
      <c r="Y8" s="46"/>
      <c r="Z8" s="46"/>
      <c r="AA8" s="46"/>
      <c r="AB8" s="46"/>
      <c r="AC8" s="46"/>
      <c r="AD8" s="46"/>
      <c r="AE8" s="46"/>
    </row>
    <row r="9">
      <c r="A9" s="40" t="str">
        <f t="shared" si="1"/>
        <v/>
      </c>
      <c r="B9" s="40" t="str">
        <f t="shared" si="2"/>
        <v/>
      </c>
      <c r="C9" s="24"/>
      <c r="D9" s="23"/>
      <c r="E9" s="51"/>
      <c r="F9" s="51"/>
      <c r="G9" s="24"/>
      <c r="H9" s="40"/>
      <c r="I9" s="40" t="str">
        <f t="array" ref="I9">IF(G9="","",IFERROR(INDEX('Người sử dụng'!$H$5:$H$140,MATCH(G9,'Người sử dụng'!$C$5:$C$140,0)),"Chưa có trong DS"))</f>
        <v/>
      </c>
      <c r="J9" s="24"/>
      <c r="K9" s="24"/>
      <c r="L9" s="23"/>
      <c r="M9" s="24"/>
      <c r="N9" s="24"/>
      <c r="O9" s="24"/>
      <c r="P9" s="26"/>
      <c r="Q9" s="51"/>
      <c r="R9" s="46"/>
      <c r="S9" s="51"/>
      <c r="T9" s="46"/>
      <c r="U9" s="46"/>
      <c r="V9" s="46"/>
      <c r="W9" s="46"/>
      <c r="X9" s="46"/>
      <c r="Y9" s="46"/>
      <c r="Z9" s="46"/>
      <c r="AA9" s="46"/>
      <c r="AB9" s="46"/>
      <c r="AC9" s="46"/>
      <c r="AD9" s="46"/>
      <c r="AE9" s="46"/>
    </row>
    <row r="10">
      <c r="A10" s="40" t="str">
        <f t="shared" si="1"/>
        <v/>
      </c>
      <c r="B10" s="40" t="str">
        <f t="shared" si="2"/>
        <v/>
      </c>
      <c r="C10" s="24"/>
      <c r="D10" s="23"/>
      <c r="E10" s="51"/>
      <c r="F10" s="51"/>
      <c r="G10" s="24"/>
      <c r="H10" s="40"/>
      <c r="I10" s="40" t="str">
        <f t="array" ref="I10">IF(G10="","",IFERROR(INDEX('Người sử dụng'!$H$5:$H$140,MATCH(G10,'Người sử dụng'!$C$5:$C$140,0)),"Chưa có trong DS"))</f>
        <v/>
      </c>
      <c r="J10" s="24"/>
      <c r="K10" s="24"/>
      <c r="L10" s="23"/>
      <c r="M10" s="24"/>
      <c r="N10" s="24"/>
      <c r="O10" s="24"/>
      <c r="P10" s="26"/>
      <c r="Q10" s="51"/>
      <c r="R10" s="46"/>
      <c r="S10" s="51"/>
      <c r="T10" s="46"/>
      <c r="U10" s="46"/>
      <c r="V10" s="46"/>
      <c r="W10" s="46"/>
      <c r="X10" s="46"/>
      <c r="Y10" s="46"/>
      <c r="Z10" s="46"/>
      <c r="AA10" s="46"/>
      <c r="AB10" s="46"/>
      <c r="AC10" s="46"/>
      <c r="AD10" s="46"/>
      <c r="AE10" s="46"/>
    </row>
    <row r="11">
      <c r="A11" s="40" t="str">
        <f t="shared" si="1"/>
        <v/>
      </c>
      <c r="B11" s="40" t="str">
        <f t="shared" si="2"/>
        <v/>
      </c>
      <c r="C11" s="24"/>
      <c r="D11" s="23"/>
      <c r="E11" s="51"/>
      <c r="F11" s="51"/>
      <c r="G11" s="24"/>
      <c r="H11" s="40"/>
      <c r="I11" s="40" t="str">
        <f t="array" ref="I11">IF(G11="","",IFERROR(INDEX('Người sử dụng'!$H$5:$H$140,MATCH(G11,'Người sử dụng'!$C$5:$C$140,0)),"Chưa có trong DS"))</f>
        <v/>
      </c>
      <c r="J11" s="24"/>
      <c r="K11" s="24"/>
      <c r="L11" s="23"/>
      <c r="M11" s="24"/>
      <c r="N11" s="24"/>
      <c r="O11" s="24"/>
      <c r="P11" s="26"/>
      <c r="Q11" s="51"/>
      <c r="R11" s="46"/>
      <c r="S11" s="51"/>
      <c r="T11" s="46"/>
      <c r="U11" s="46"/>
      <c r="V11" s="46"/>
      <c r="W11" s="46"/>
      <c r="X11" s="46"/>
      <c r="Y11" s="46"/>
      <c r="Z11" s="46"/>
      <c r="AA11" s="46"/>
      <c r="AB11" s="46"/>
      <c r="AC11" s="46"/>
      <c r="AD11" s="46"/>
      <c r="AE11" s="46"/>
    </row>
    <row r="12">
      <c r="A12" s="40" t="str">
        <f t="shared" si="1"/>
        <v/>
      </c>
      <c r="B12" s="40" t="str">
        <f t="shared" si="2"/>
        <v/>
      </c>
      <c r="C12" s="24"/>
      <c r="D12" s="23"/>
      <c r="E12" s="51"/>
      <c r="F12" s="51"/>
      <c r="G12" s="24"/>
      <c r="H12" s="40"/>
      <c r="I12" s="40" t="str">
        <f t="array" ref="I12">IF(G12="","",IFERROR(INDEX('Người sử dụng'!$H$5:$H$140,MATCH(G12,'Người sử dụng'!$C$5:$C$140,0)),"Chưa có trong DS"))</f>
        <v/>
      </c>
      <c r="J12" s="24"/>
      <c r="K12" s="24"/>
      <c r="L12" s="23"/>
      <c r="M12" s="24"/>
      <c r="N12" s="24"/>
      <c r="O12" s="24"/>
      <c r="P12" s="26"/>
      <c r="Q12" s="51"/>
      <c r="R12" s="46"/>
      <c r="S12" s="51"/>
      <c r="T12" s="46"/>
      <c r="U12" s="46"/>
      <c r="V12" s="46"/>
      <c r="W12" s="46"/>
      <c r="X12" s="46"/>
      <c r="Y12" s="46"/>
      <c r="Z12" s="46"/>
      <c r="AA12" s="46"/>
      <c r="AB12" s="46"/>
      <c r="AC12" s="46"/>
      <c r="AD12" s="46"/>
      <c r="AE12" s="46"/>
    </row>
    <row r="13">
      <c r="A13" s="40" t="str">
        <f t="shared" si="1"/>
        <v/>
      </c>
      <c r="B13" s="40" t="str">
        <f t="shared" si="2"/>
        <v/>
      </c>
      <c r="C13" s="24"/>
      <c r="D13" s="23"/>
      <c r="E13" s="51"/>
      <c r="F13" s="51"/>
      <c r="G13" s="24"/>
      <c r="H13" s="40"/>
      <c r="I13" s="40" t="str">
        <f t="array" ref="I13">IF(G13="","",IFERROR(INDEX('Người sử dụng'!$H$5:$H$140,MATCH(G13,'Người sử dụng'!$C$5:$C$140,0)),"Chưa có trong DS"))</f>
        <v/>
      </c>
      <c r="J13" s="24"/>
      <c r="K13" s="24"/>
      <c r="L13" s="23"/>
      <c r="M13" s="24"/>
      <c r="N13" s="24"/>
      <c r="O13" s="24"/>
      <c r="P13" s="26"/>
      <c r="Q13" s="51"/>
      <c r="R13" s="46"/>
      <c r="S13" s="51"/>
      <c r="T13" s="46"/>
      <c r="U13" s="46"/>
      <c r="V13" s="46"/>
      <c r="W13" s="46"/>
      <c r="X13" s="46"/>
      <c r="Y13" s="46"/>
      <c r="Z13" s="46"/>
      <c r="AA13" s="46"/>
      <c r="AB13" s="46"/>
      <c r="AC13" s="46"/>
      <c r="AD13" s="46"/>
      <c r="AE13" s="46"/>
    </row>
    <row r="14">
      <c r="A14" s="40" t="str">
        <f t="shared" si="1"/>
        <v/>
      </c>
      <c r="B14" s="40" t="str">
        <f t="shared" si="2"/>
        <v/>
      </c>
      <c r="C14" s="24"/>
      <c r="D14" s="23"/>
      <c r="E14" s="51"/>
      <c r="F14" s="51"/>
      <c r="G14" s="24"/>
      <c r="H14" s="40"/>
      <c r="I14" s="40" t="str">
        <f t="array" ref="I14">IF(G14="","",IFERROR(INDEX('Người sử dụng'!$H$5:$H$140,MATCH(G14,'Người sử dụng'!$C$5:$C$140,0)),"Chưa có trong DS"))</f>
        <v/>
      </c>
      <c r="J14" s="24"/>
      <c r="K14" s="24"/>
      <c r="L14" s="23"/>
      <c r="M14" s="24"/>
      <c r="N14" s="24"/>
      <c r="O14" s="24"/>
      <c r="P14" s="26"/>
      <c r="Q14" s="51"/>
      <c r="R14" s="46"/>
      <c r="S14" s="51"/>
      <c r="T14" s="46"/>
      <c r="U14" s="46"/>
      <c r="V14" s="46"/>
      <c r="W14" s="46"/>
      <c r="X14" s="46"/>
      <c r="Y14" s="46"/>
      <c r="Z14" s="46"/>
      <c r="AA14" s="46"/>
      <c r="AB14" s="46"/>
      <c r="AC14" s="46"/>
      <c r="AD14" s="46"/>
      <c r="AE14" s="46"/>
    </row>
    <row r="15">
      <c r="A15" s="40" t="str">
        <f t="shared" si="1"/>
        <v/>
      </c>
      <c r="B15" s="40" t="str">
        <f t="shared" si="2"/>
        <v/>
      </c>
      <c r="C15" s="24"/>
      <c r="D15" s="23"/>
      <c r="E15" s="51"/>
      <c r="F15" s="51"/>
      <c r="G15" s="24"/>
      <c r="H15" s="40"/>
      <c r="I15" s="40" t="str">
        <f t="array" ref="I15">IF(G15="","",IFERROR(INDEX('Người sử dụng'!$H$5:$H$140,MATCH(G15,'Người sử dụng'!$C$5:$C$140,0)),"Chưa có trong DS"))</f>
        <v/>
      </c>
      <c r="J15" s="24"/>
      <c r="K15" s="24"/>
      <c r="L15" s="23"/>
      <c r="M15" s="24"/>
      <c r="N15" s="24"/>
      <c r="O15" s="24"/>
      <c r="P15" s="26"/>
      <c r="Q15" s="51"/>
      <c r="R15" s="46"/>
      <c r="S15" s="51"/>
      <c r="T15" s="46"/>
      <c r="U15" s="46"/>
      <c r="V15" s="46"/>
      <c r="W15" s="46"/>
      <c r="X15" s="46"/>
      <c r="Y15" s="46"/>
      <c r="Z15" s="46"/>
      <c r="AA15" s="46"/>
      <c r="AB15" s="46"/>
      <c r="AC15" s="46"/>
      <c r="AD15" s="46"/>
      <c r="AE15" s="46"/>
    </row>
    <row r="16">
      <c r="A16" s="40" t="str">
        <f t="shared" si="1"/>
        <v/>
      </c>
      <c r="B16" s="40" t="str">
        <f t="shared" si="2"/>
        <v/>
      </c>
      <c r="C16" s="24"/>
      <c r="D16" s="23"/>
      <c r="E16" s="51"/>
      <c r="F16" s="51"/>
      <c r="G16" s="24"/>
      <c r="H16" s="40"/>
      <c r="I16" s="40" t="str">
        <f t="array" ref="I16">IF(G16="","",IFERROR(INDEX('Người sử dụng'!$H$5:$H$140,MATCH(G16,'Người sử dụng'!$C$5:$C$140,0)),"Chưa có trong DS"))</f>
        <v/>
      </c>
      <c r="J16" s="24"/>
      <c r="K16" s="24"/>
      <c r="L16" s="23"/>
      <c r="M16" s="24"/>
      <c r="N16" s="24"/>
      <c r="O16" s="24"/>
      <c r="P16" s="26"/>
      <c r="Q16" s="51"/>
      <c r="R16" s="46"/>
      <c r="S16" s="51"/>
      <c r="T16" s="46"/>
      <c r="U16" s="46"/>
      <c r="V16" s="46"/>
      <c r="W16" s="46"/>
      <c r="X16" s="46"/>
      <c r="Y16" s="46"/>
      <c r="Z16" s="46"/>
      <c r="AA16" s="46"/>
      <c r="AB16" s="46"/>
      <c r="AC16" s="46"/>
      <c r="AD16" s="46"/>
      <c r="AE16" s="46"/>
    </row>
    <row r="17">
      <c r="A17" s="40" t="str">
        <f t="shared" si="1"/>
        <v/>
      </c>
      <c r="B17" s="40" t="str">
        <f t="shared" si="2"/>
        <v/>
      </c>
      <c r="C17" s="24"/>
      <c r="D17" s="23"/>
      <c r="E17" s="51"/>
      <c r="F17" s="51"/>
      <c r="G17" s="24"/>
      <c r="H17" s="40"/>
      <c r="I17" s="40" t="str">
        <f t="array" ref="I17">IF(G17="","",IFERROR(INDEX('Người sử dụng'!$H$5:$H$140,MATCH(G17,'Người sử dụng'!$C$5:$C$140,0)),"Chưa có trong DS"))</f>
        <v/>
      </c>
      <c r="J17" s="24"/>
      <c r="K17" s="24"/>
      <c r="L17" s="23"/>
      <c r="M17" s="24"/>
      <c r="N17" s="24"/>
      <c r="O17" s="24"/>
      <c r="P17" s="26"/>
      <c r="Q17" s="51"/>
      <c r="R17" s="46"/>
      <c r="S17" s="51"/>
      <c r="T17" s="46"/>
      <c r="U17" s="46"/>
      <c r="V17" s="46"/>
      <c r="W17" s="46"/>
      <c r="X17" s="46"/>
      <c r="Y17" s="46"/>
      <c r="Z17" s="46"/>
      <c r="AA17" s="46"/>
      <c r="AB17" s="46"/>
      <c r="AC17" s="46"/>
      <c r="AD17" s="46"/>
      <c r="AE17" s="46"/>
    </row>
    <row r="18">
      <c r="A18" s="40" t="str">
        <f t="shared" si="1"/>
        <v/>
      </c>
      <c r="B18" s="40" t="str">
        <f t="shared" si="2"/>
        <v/>
      </c>
      <c r="C18" s="24"/>
      <c r="D18" s="23"/>
      <c r="E18" s="51"/>
      <c r="F18" s="51"/>
      <c r="G18" s="24"/>
      <c r="H18" s="40"/>
      <c r="I18" s="40" t="str">
        <f t="array" ref="I18">IF(G18="","",IFERROR(INDEX('Người sử dụng'!$H$5:$H$140,MATCH(G18,'Người sử dụng'!$C$5:$C$140,0)),"Chưa có trong DS"))</f>
        <v/>
      </c>
      <c r="J18" s="24"/>
      <c r="K18" s="24"/>
      <c r="L18" s="23"/>
      <c r="M18" s="24"/>
      <c r="N18" s="24"/>
      <c r="O18" s="24"/>
      <c r="P18" s="26"/>
      <c r="Q18" s="51"/>
      <c r="R18" s="46"/>
      <c r="S18" s="51"/>
      <c r="T18" s="46"/>
      <c r="U18" s="46"/>
      <c r="V18" s="46"/>
      <c r="W18" s="46"/>
      <c r="X18" s="46"/>
      <c r="Y18" s="46"/>
      <c r="Z18" s="46"/>
      <c r="AA18" s="46"/>
      <c r="AB18" s="46"/>
      <c r="AC18" s="46"/>
      <c r="AD18" s="46"/>
      <c r="AE18" s="46"/>
    </row>
    <row r="19">
      <c r="A19" s="40" t="str">
        <f t="shared" si="1"/>
        <v/>
      </c>
      <c r="B19" s="40" t="str">
        <f t="shared" si="2"/>
        <v/>
      </c>
      <c r="C19" s="24"/>
      <c r="D19" s="23"/>
      <c r="E19" s="51"/>
      <c r="F19" s="51"/>
      <c r="G19" s="24"/>
      <c r="H19" s="40"/>
      <c r="I19" s="40" t="str">
        <f t="array" ref="I19">IF(G19="","",IFERROR(INDEX('Người sử dụng'!$H$5:$H$140,MATCH(G19,'Người sử dụng'!$C$5:$C$140,0)),"Chưa có trong DS"))</f>
        <v/>
      </c>
      <c r="J19" s="24"/>
      <c r="K19" s="24"/>
      <c r="L19" s="23"/>
      <c r="M19" s="24"/>
      <c r="N19" s="24"/>
      <c r="O19" s="24"/>
      <c r="P19" s="26"/>
      <c r="Q19" s="51"/>
      <c r="R19" s="46"/>
      <c r="S19" s="51"/>
      <c r="T19" s="46"/>
      <c r="U19" s="46"/>
      <c r="V19" s="46"/>
      <c r="W19" s="46"/>
      <c r="X19" s="46"/>
      <c r="Y19" s="46"/>
      <c r="Z19" s="46"/>
      <c r="AA19" s="46"/>
      <c r="AB19" s="46"/>
      <c r="AC19" s="46"/>
      <c r="AD19" s="46"/>
      <c r="AE19" s="46"/>
    </row>
    <row r="20">
      <c r="A20" s="40" t="str">
        <f t="shared" si="1"/>
        <v/>
      </c>
      <c r="B20" s="40" t="str">
        <f t="shared" si="2"/>
        <v/>
      </c>
      <c r="C20" s="24"/>
      <c r="D20" s="23"/>
      <c r="E20" s="51"/>
      <c r="F20" s="51"/>
      <c r="G20" s="24"/>
      <c r="H20" s="40"/>
      <c r="I20" s="40" t="str">
        <f t="array" ref="I20">IF(G20="","",IFERROR(INDEX('Người sử dụng'!$H$5:$H$140,MATCH(G20,'Người sử dụng'!$C$5:$C$140,0)),"Chưa có trong DS"))</f>
        <v/>
      </c>
      <c r="J20" s="24"/>
      <c r="K20" s="24"/>
      <c r="L20" s="23"/>
      <c r="M20" s="24"/>
      <c r="N20" s="24"/>
      <c r="O20" s="24"/>
      <c r="P20" s="26"/>
      <c r="Q20" s="51"/>
      <c r="R20" s="46"/>
      <c r="S20" s="51"/>
      <c r="T20" s="46"/>
      <c r="U20" s="46"/>
      <c r="V20" s="46"/>
      <c r="W20" s="46"/>
      <c r="X20" s="46"/>
      <c r="Y20" s="46"/>
      <c r="Z20" s="46"/>
      <c r="AA20" s="46"/>
      <c r="AB20" s="46"/>
      <c r="AC20" s="46"/>
      <c r="AD20" s="46"/>
      <c r="AE20" s="46"/>
    </row>
    <row r="21" ht="15.75" customHeight="1">
      <c r="A21" s="40" t="str">
        <f t="shared" si="1"/>
        <v/>
      </c>
      <c r="B21" s="40" t="str">
        <f t="shared" si="2"/>
        <v/>
      </c>
      <c r="C21" s="24"/>
      <c r="D21" s="23"/>
      <c r="E21" s="51"/>
      <c r="F21" s="51"/>
      <c r="G21" s="24"/>
      <c r="H21" s="40"/>
      <c r="I21" s="40" t="str">
        <f t="array" ref="I21">IF(G21="","",IFERROR(INDEX('Người sử dụng'!$H$5:$H$140,MATCH(G21,'Người sử dụng'!$C$5:$C$140,0)),"Chưa có trong DS"))</f>
        <v/>
      </c>
      <c r="J21" s="24"/>
      <c r="K21" s="24"/>
      <c r="L21" s="23"/>
      <c r="M21" s="24"/>
      <c r="N21" s="24"/>
      <c r="O21" s="24"/>
      <c r="P21" s="26"/>
      <c r="Q21" s="51"/>
      <c r="R21" s="46"/>
      <c r="S21" s="51"/>
      <c r="T21" s="46"/>
      <c r="U21" s="46"/>
      <c r="V21" s="46"/>
      <c r="W21" s="46"/>
      <c r="X21" s="46"/>
      <c r="Y21" s="46"/>
      <c r="Z21" s="46"/>
      <c r="AA21" s="46"/>
      <c r="AB21" s="46"/>
      <c r="AC21" s="46"/>
      <c r="AD21" s="46"/>
      <c r="AE21" s="46"/>
    </row>
    <row r="22" ht="15.75" customHeight="1">
      <c r="A22" s="40" t="str">
        <f t="shared" si="1"/>
        <v/>
      </c>
      <c r="B22" s="40" t="str">
        <f t="shared" si="2"/>
        <v/>
      </c>
      <c r="C22" s="24"/>
      <c r="D22" s="23"/>
      <c r="E22" s="51"/>
      <c r="F22" s="51"/>
      <c r="G22" s="24"/>
      <c r="H22" s="40"/>
      <c r="I22" s="40" t="str">
        <f t="array" ref="I22">IF(G22="","",IFERROR(INDEX('Người sử dụng'!$H$5:$H$140,MATCH(G22,'Người sử dụng'!$C$5:$C$140,0)),"Chưa có trong DS"))</f>
        <v/>
      </c>
      <c r="J22" s="24"/>
      <c r="K22" s="24"/>
      <c r="L22" s="23"/>
      <c r="M22" s="24"/>
      <c r="N22" s="24"/>
      <c r="O22" s="24"/>
      <c r="P22" s="26"/>
      <c r="Q22" s="51"/>
      <c r="R22" s="46"/>
      <c r="S22" s="51"/>
      <c r="T22" s="46"/>
      <c r="U22" s="46"/>
      <c r="V22" s="46"/>
      <c r="W22" s="46"/>
      <c r="X22" s="46"/>
      <c r="Y22" s="46"/>
      <c r="Z22" s="46"/>
      <c r="AA22" s="46"/>
      <c r="AB22" s="46"/>
      <c r="AC22" s="46"/>
      <c r="AD22" s="46"/>
      <c r="AE22" s="46"/>
    </row>
    <row r="23" ht="15.75" customHeight="1">
      <c r="A23" s="40" t="str">
        <f t="shared" si="1"/>
        <v/>
      </c>
      <c r="B23" s="40" t="str">
        <f t="shared" si="2"/>
        <v/>
      </c>
      <c r="C23" s="24"/>
      <c r="D23" s="23"/>
      <c r="E23" s="51"/>
      <c r="F23" s="51"/>
      <c r="G23" s="24"/>
      <c r="H23" s="40"/>
      <c r="I23" s="40" t="str">
        <f t="array" ref="I23">IF(G23="","",IFERROR(INDEX('Người sử dụng'!$H$5:$H$140,MATCH(G23,'Người sử dụng'!$C$5:$C$140,0)),"Chưa có trong DS"))</f>
        <v/>
      </c>
      <c r="J23" s="24"/>
      <c r="K23" s="24"/>
      <c r="L23" s="23"/>
      <c r="M23" s="24"/>
      <c r="N23" s="24"/>
      <c r="O23" s="24"/>
      <c r="P23" s="26"/>
      <c r="Q23" s="51"/>
      <c r="R23" s="46"/>
      <c r="S23" s="51"/>
      <c r="T23" s="46"/>
      <c r="U23" s="46"/>
      <c r="V23" s="46"/>
      <c r="W23" s="46"/>
      <c r="X23" s="46"/>
      <c r="Y23" s="46"/>
      <c r="Z23" s="46"/>
      <c r="AA23" s="46"/>
      <c r="AB23" s="46"/>
      <c r="AC23" s="46"/>
      <c r="AD23" s="46"/>
      <c r="AE23" s="46"/>
    </row>
    <row r="24" ht="15.75" customHeight="1">
      <c r="A24" s="40" t="str">
        <f t="shared" si="1"/>
        <v/>
      </c>
      <c r="B24" s="40" t="str">
        <f t="shared" si="2"/>
        <v/>
      </c>
      <c r="C24" s="24"/>
      <c r="D24" s="23"/>
      <c r="E24" s="51"/>
      <c r="F24" s="51"/>
      <c r="G24" s="24"/>
      <c r="H24" s="40"/>
      <c r="I24" s="40" t="str">
        <f t="array" ref="I24">IF(G24="","",IFERROR(INDEX('Người sử dụng'!$H$5:$H$140,MATCH(G24,'Người sử dụng'!$C$5:$C$140,0)),"Chưa có trong DS"))</f>
        <v/>
      </c>
      <c r="J24" s="24"/>
      <c r="K24" s="24"/>
      <c r="L24" s="23"/>
      <c r="M24" s="24"/>
      <c r="N24" s="24"/>
      <c r="O24" s="24"/>
      <c r="P24" s="26"/>
      <c r="Q24" s="51"/>
      <c r="R24" s="46"/>
      <c r="S24" s="51"/>
      <c r="T24" s="46"/>
      <c r="U24" s="46"/>
      <c r="V24" s="46"/>
      <c r="W24" s="46"/>
      <c r="X24" s="46"/>
      <c r="Y24" s="46"/>
      <c r="Z24" s="46"/>
      <c r="AA24" s="46"/>
      <c r="AB24" s="46"/>
      <c r="AC24" s="46"/>
      <c r="AD24" s="46"/>
      <c r="AE24" s="46"/>
    </row>
    <row r="25" ht="15.75" customHeight="1">
      <c r="A25" s="40" t="str">
        <f t="shared" si="1"/>
        <v/>
      </c>
      <c r="B25" s="40" t="str">
        <f t="shared" si="2"/>
        <v/>
      </c>
      <c r="C25" s="24"/>
      <c r="D25" s="23"/>
      <c r="E25" s="51"/>
      <c r="F25" s="51"/>
      <c r="G25" s="24"/>
      <c r="H25" s="40"/>
      <c r="I25" s="40" t="str">
        <f t="array" ref="I25">IF(G25="","",IFERROR(INDEX('Người sử dụng'!$H$5:$H$140,MATCH(G25,'Người sử dụng'!$C$5:$C$140,0)),"Chưa có trong DS"))</f>
        <v/>
      </c>
      <c r="J25" s="24"/>
      <c r="K25" s="24"/>
      <c r="L25" s="23"/>
      <c r="M25" s="24"/>
      <c r="N25" s="24"/>
      <c r="O25" s="24"/>
      <c r="P25" s="26"/>
      <c r="Q25" s="51"/>
      <c r="R25" s="46"/>
      <c r="S25" s="51"/>
      <c r="T25" s="46"/>
      <c r="U25" s="46"/>
      <c r="V25" s="46"/>
      <c r="W25" s="46"/>
      <c r="X25" s="46"/>
      <c r="Y25" s="46"/>
      <c r="Z25" s="46"/>
      <c r="AA25" s="46"/>
      <c r="AB25" s="46"/>
      <c r="AC25" s="46"/>
      <c r="AD25" s="46"/>
      <c r="AE25" s="46"/>
    </row>
    <row r="26" ht="15.75" customHeight="1">
      <c r="A26" s="40" t="str">
        <f t="shared" si="1"/>
        <v/>
      </c>
      <c r="B26" s="40" t="str">
        <f t="shared" si="2"/>
        <v/>
      </c>
      <c r="C26" s="24"/>
      <c r="D26" s="23"/>
      <c r="E26" s="51"/>
      <c r="F26" s="51"/>
      <c r="G26" s="24"/>
      <c r="H26" s="40"/>
      <c r="I26" s="40" t="str">
        <f t="array" ref="I26">IF(G26="","",IFERROR(INDEX('Người sử dụng'!$H$5:$H$140,MATCH(G26,'Người sử dụng'!$C$5:$C$140,0)),"Chưa có trong DS"))</f>
        <v/>
      </c>
      <c r="J26" s="24"/>
      <c r="K26" s="24"/>
      <c r="L26" s="23"/>
      <c r="M26" s="24"/>
      <c r="N26" s="24"/>
      <c r="O26" s="24"/>
      <c r="P26" s="26"/>
      <c r="Q26" s="51"/>
      <c r="R26" s="46"/>
      <c r="S26" s="51"/>
      <c r="T26" s="46"/>
      <c r="U26" s="46"/>
      <c r="V26" s="46"/>
      <c r="W26" s="46"/>
      <c r="X26" s="46"/>
      <c r="Y26" s="46"/>
      <c r="Z26" s="46"/>
      <c r="AA26" s="46"/>
      <c r="AB26" s="46"/>
      <c r="AC26" s="46"/>
      <c r="AD26" s="46"/>
      <c r="AE26" s="46"/>
    </row>
    <row r="27" ht="15.75" customHeight="1">
      <c r="A27" s="40" t="str">
        <f t="shared" si="1"/>
        <v/>
      </c>
      <c r="B27" s="40" t="str">
        <f t="shared" si="2"/>
        <v/>
      </c>
      <c r="C27" s="24"/>
      <c r="D27" s="23"/>
      <c r="E27" s="51"/>
      <c r="F27" s="51"/>
      <c r="G27" s="24"/>
      <c r="H27" s="40"/>
      <c r="I27" s="40" t="str">
        <f t="array" ref="I27">IF(G27="","",IFERROR(INDEX('Người sử dụng'!$H$5:$H$140,MATCH(G27,'Người sử dụng'!$C$5:$C$140,0)),"Chưa có trong DS"))</f>
        <v/>
      </c>
      <c r="J27" s="24"/>
      <c r="K27" s="24"/>
      <c r="L27" s="23"/>
      <c r="M27" s="24"/>
      <c r="N27" s="24"/>
      <c r="O27" s="24"/>
      <c r="P27" s="26"/>
      <c r="Q27" s="51"/>
      <c r="R27" s="46"/>
      <c r="S27" s="51"/>
      <c r="T27" s="46"/>
      <c r="U27" s="46"/>
      <c r="V27" s="46"/>
      <c r="W27" s="46"/>
      <c r="X27" s="46"/>
      <c r="Y27" s="46"/>
      <c r="Z27" s="46"/>
      <c r="AA27" s="46"/>
      <c r="AB27" s="46"/>
      <c r="AC27" s="46"/>
      <c r="AD27" s="46"/>
      <c r="AE27" s="46"/>
    </row>
    <row r="28" ht="15.75" customHeight="1">
      <c r="A28" s="40" t="str">
        <f t="shared" si="1"/>
        <v/>
      </c>
      <c r="B28" s="40" t="str">
        <f t="shared" si="2"/>
        <v/>
      </c>
      <c r="C28" s="24"/>
      <c r="D28" s="23"/>
      <c r="E28" s="51"/>
      <c r="F28" s="51"/>
      <c r="G28" s="24"/>
      <c r="H28" s="40"/>
      <c r="I28" s="40" t="str">
        <f t="array" ref="I28">IF(G28="","",IFERROR(INDEX('Người sử dụng'!$H$5:$H$140,MATCH(G28,'Người sử dụng'!$C$5:$C$140,0)),"Chưa có trong DS"))</f>
        <v/>
      </c>
      <c r="J28" s="24"/>
      <c r="K28" s="24"/>
      <c r="L28" s="23"/>
      <c r="M28" s="24"/>
      <c r="N28" s="24"/>
      <c r="O28" s="24"/>
      <c r="P28" s="26"/>
      <c r="Q28" s="51"/>
      <c r="R28" s="46"/>
      <c r="S28" s="51"/>
      <c r="T28" s="46"/>
      <c r="U28" s="46"/>
      <c r="V28" s="46"/>
      <c r="W28" s="46"/>
      <c r="X28" s="46"/>
      <c r="Y28" s="46"/>
      <c r="Z28" s="46"/>
      <c r="AA28" s="46"/>
      <c r="AB28" s="46"/>
      <c r="AC28" s="46"/>
      <c r="AD28" s="46"/>
      <c r="AE28" s="46"/>
    </row>
    <row r="29" ht="15.75" customHeight="1">
      <c r="A29" s="40" t="str">
        <f t="shared" si="1"/>
        <v/>
      </c>
      <c r="B29" s="40" t="str">
        <f t="shared" si="2"/>
        <v/>
      </c>
      <c r="C29" s="24"/>
      <c r="D29" s="23"/>
      <c r="E29" s="51"/>
      <c r="F29" s="51"/>
      <c r="G29" s="24"/>
      <c r="H29" s="40"/>
      <c r="I29" s="40" t="str">
        <f t="array" ref="I29">IF(G29="","",IFERROR(INDEX('Người sử dụng'!$H$5:$H$140,MATCH(G29,'Người sử dụng'!$C$5:$C$140,0)),"Chưa có trong DS"))</f>
        <v/>
      </c>
      <c r="J29" s="24"/>
      <c r="K29" s="24"/>
      <c r="L29" s="23"/>
      <c r="M29" s="24"/>
      <c r="N29" s="24"/>
      <c r="O29" s="24"/>
      <c r="P29" s="26"/>
      <c r="Q29" s="51"/>
      <c r="R29" s="46"/>
      <c r="S29" s="51"/>
      <c r="T29" s="46"/>
      <c r="U29" s="46"/>
      <c r="V29" s="46"/>
      <c r="W29" s="46"/>
      <c r="X29" s="46"/>
      <c r="Y29" s="46"/>
      <c r="Z29" s="46"/>
      <c r="AA29" s="46"/>
      <c r="AB29" s="46"/>
      <c r="AC29" s="46"/>
      <c r="AD29" s="46"/>
      <c r="AE29" s="46"/>
    </row>
    <row r="30" ht="15.75" customHeight="1">
      <c r="A30" s="40" t="str">
        <f t="shared" si="1"/>
        <v/>
      </c>
      <c r="B30" s="40" t="str">
        <f t="shared" si="2"/>
        <v/>
      </c>
      <c r="C30" s="24"/>
      <c r="D30" s="23"/>
      <c r="E30" s="51"/>
      <c r="F30" s="51"/>
      <c r="G30" s="24"/>
      <c r="H30" s="40"/>
      <c r="I30" s="40" t="str">
        <f t="array" ref="I30">IF(G30="","",IFERROR(INDEX('Người sử dụng'!$H$5:$H$140,MATCH(G30,'Người sử dụng'!$C$5:$C$140,0)),"Chưa có trong DS"))</f>
        <v/>
      </c>
      <c r="J30" s="24"/>
      <c r="K30" s="24"/>
      <c r="L30" s="23"/>
      <c r="M30" s="24"/>
      <c r="N30" s="24"/>
      <c r="O30" s="24"/>
      <c r="P30" s="26"/>
      <c r="Q30" s="51"/>
      <c r="R30" s="46"/>
      <c r="S30" s="51"/>
      <c r="T30" s="46"/>
      <c r="U30" s="46"/>
      <c r="V30" s="46"/>
      <c r="W30" s="46"/>
      <c r="X30" s="46"/>
      <c r="Y30" s="46"/>
      <c r="Z30" s="46"/>
      <c r="AA30" s="46"/>
      <c r="AB30" s="46"/>
      <c r="AC30" s="46"/>
      <c r="AD30" s="46"/>
      <c r="AE30" s="46"/>
    </row>
    <row r="31" ht="15.75" customHeight="1">
      <c r="A31" s="40" t="str">
        <f t="shared" si="1"/>
        <v/>
      </c>
      <c r="B31" s="40" t="str">
        <f t="shared" si="2"/>
        <v/>
      </c>
      <c r="C31" s="24"/>
      <c r="D31" s="23"/>
      <c r="E31" s="51"/>
      <c r="F31" s="51"/>
      <c r="G31" s="24"/>
      <c r="H31" s="40"/>
      <c r="I31" s="40" t="str">
        <f t="array" ref="I31">IF(G31="","",IFERROR(INDEX('Người sử dụng'!$H$5:$H$140,MATCH(G31,'Người sử dụng'!$C$5:$C$140,0)),"Chưa có trong DS"))</f>
        <v/>
      </c>
      <c r="J31" s="24"/>
      <c r="K31" s="24"/>
      <c r="L31" s="23"/>
      <c r="M31" s="24"/>
      <c r="N31" s="24"/>
      <c r="O31" s="24"/>
      <c r="P31" s="26"/>
      <c r="Q31" s="51"/>
      <c r="R31" s="46"/>
      <c r="S31" s="51"/>
      <c r="T31" s="46"/>
      <c r="U31" s="46"/>
      <c r="V31" s="46"/>
      <c r="W31" s="46"/>
      <c r="X31" s="46"/>
      <c r="Y31" s="46"/>
      <c r="Z31" s="46"/>
      <c r="AA31" s="46"/>
      <c r="AB31" s="46"/>
      <c r="AC31" s="46"/>
      <c r="AD31" s="46"/>
      <c r="AE31" s="46"/>
    </row>
    <row r="32" ht="15.75" customHeight="1">
      <c r="A32" s="40" t="str">
        <f t="shared" si="1"/>
        <v/>
      </c>
      <c r="B32" s="40" t="str">
        <f t="shared" si="2"/>
        <v/>
      </c>
      <c r="C32" s="24"/>
      <c r="D32" s="23"/>
      <c r="E32" s="51"/>
      <c r="F32" s="51"/>
      <c r="G32" s="24"/>
      <c r="H32" s="40"/>
      <c r="I32" s="40" t="str">
        <f t="array" ref="I32">IF(G32="","",IFERROR(INDEX('Người sử dụng'!$H$5:$H$140,MATCH(G32,'Người sử dụng'!$C$5:$C$140,0)),"Chưa có trong DS"))</f>
        <v/>
      </c>
      <c r="J32" s="24"/>
      <c r="K32" s="24"/>
      <c r="L32" s="23"/>
      <c r="M32" s="24"/>
      <c r="N32" s="24"/>
      <c r="O32" s="24"/>
      <c r="P32" s="26"/>
      <c r="Q32" s="51"/>
      <c r="R32" s="46"/>
      <c r="S32" s="51"/>
      <c r="T32" s="46"/>
      <c r="U32" s="46"/>
      <c r="V32" s="46"/>
      <c r="W32" s="46"/>
      <c r="X32" s="46"/>
      <c r="Y32" s="46"/>
      <c r="Z32" s="46"/>
      <c r="AA32" s="46"/>
      <c r="AB32" s="46"/>
      <c r="AC32" s="46"/>
      <c r="AD32" s="46"/>
      <c r="AE32" s="46"/>
    </row>
    <row r="33" ht="15.75" customHeight="1">
      <c r="A33" s="40" t="str">
        <f t="shared" si="1"/>
        <v/>
      </c>
      <c r="B33" s="40" t="str">
        <f t="shared" si="2"/>
        <v/>
      </c>
      <c r="C33" s="24"/>
      <c r="D33" s="23"/>
      <c r="E33" s="51"/>
      <c r="F33" s="51"/>
      <c r="G33" s="24"/>
      <c r="H33" s="40"/>
      <c r="I33" s="40" t="str">
        <f t="array" ref="I33">IF(G33="","",IFERROR(INDEX('Người sử dụng'!$H$5:$H$140,MATCH(G33,'Người sử dụng'!$C$5:$C$140,0)),"Chưa có trong DS"))</f>
        <v/>
      </c>
      <c r="J33" s="24"/>
      <c r="K33" s="24"/>
      <c r="L33" s="23"/>
      <c r="M33" s="24"/>
      <c r="N33" s="24"/>
      <c r="O33" s="24"/>
      <c r="P33" s="26"/>
      <c r="Q33" s="51"/>
      <c r="R33" s="46"/>
      <c r="S33" s="51"/>
      <c r="T33" s="46"/>
      <c r="U33" s="46"/>
      <c r="V33" s="46"/>
      <c r="W33" s="46"/>
      <c r="X33" s="46"/>
      <c r="Y33" s="46"/>
      <c r="Z33" s="46"/>
      <c r="AA33" s="46"/>
      <c r="AB33" s="46"/>
      <c r="AC33" s="46"/>
      <c r="AD33" s="46"/>
      <c r="AE33" s="46"/>
    </row>
    <row r="34" ht="15.75" customHeight="1">
      <c r="A34" s="40" t="str">
        <f t="shared" si="1"/>
        <v/>
      </c>
      <c r="B34" s="40" t="str">
        <f t="shared" si="2"/>
        <v/>
      </c>
      <c r="C34" s="24"/>
      <c r="D34" s="23"/>
      <c r="E34" s="51"/>
      <c r="F34" s="51"/>
      <c r="G34" s="24"/>
      <c r="H34" s="40"/>
      <c r="I34" s="40" t="str">
        <f t="array" ref="I34">IF(G34="","",IFERROR(INDEX('Người sử dụng'!$H$5:$H$140,MATCH(G34,'Người sử dụng'!$C$5:$C$140,0)),"Chưa có trong DS"))</f>
        <v/>
      </c>
      <c r="J34" s="24"/>
      <c r="K34" s="24"/>
      <c r="L34" s="23"/>
      <c r="M34" s="24"/>
      <c r="N34" s="24"/>
      <c r="O34" s="24"/>
      <c r="P34" s="26"/>
      <c r="Q34" s="51"/>
      <c r="R34" s="46"/>
      <c r="S34" s="51"/>
      <c r="T34" s="46"/>
      <c r="U34" s="46"/>
      <c r="V34" s="46"/>
      <c r="W34" s="46"/>
      <c r="X34" s="46"/>
      <c r="Y34" s="46"/>
      <c r="Z34" s="46"/>
      <c r="AA34" s="46"/>
      <c r="AB34" s="46"/>
      <c r="AC34" s="46"/>
      <c r="AD34" s="46"/>
      <c r="AE34" s="46"/>
    </row>
    <row r="35" ht="15.75" customHeight="1">
      <c r="A35" s="40" t="str">
        <f t="shared" si="1"/>
        <v/>
      </c>
      <c r="B35" s="40" t="str">
        <f t="shared" si="2"/>
        <v/>
      </c>
      <c r="C35" s="24"/>
      <c r="D35" s="23"/>
      <c r="E35" s="51"/>
      <c r="F35" s="51"/>
      <c r="G35" s="24"/>
      <c r="H35" s="40"/>
      <c r="I35" s="40" t="str">
        <f t="array" ref="I35">IF(G35="","",IFERROR(INDEX('Người sử dụng'!$H$5:$H$140,MATCH(G35,'Người sử dụng'!$C$5:$C$140,0)),"Chưa có trong DS"))</f>
        <v/>
      </c>
      <c r="J35" s="24"/>
      <c r="K35" s="24"/>
      <c r="L35" s="23"/>
      <c r="M35" s="24"/>
      <c r="N35" s="24"/>
      <c r="O35" s="24"/>
      <c r="P35" s="26"/>
      <c r="Q35" s="51"/>
      <c r="R35" s="46"/>
      <c r="S35" s="51"/>
      <c r="T35" s="46"/>
      <c r="U35" s="46"/>
      <c r="V35" s="46"/>
      <c r="W35" s="46"/>
      <c r="X35" s="46"/>
      <c r="Y35" s="46"/>
      <c r="Z35" s="46"/>
      <c r="AA35" s="46"/>
      <c r="AB35" s="46"/>
      <c r="AC35" s="46"/>
      <c r="AD35" s="46"/>
      <c r="AE35" s="46"/>
    </row>
    <row r="36" ht="15.75" customHeight="1">
      <c r="A36" s="40" t="str">
        <f t="shared" si="1"/>
        <v/>
      </c>
      <c r="B36" s="40" t="str">
        <f t="shared" si="2"/>
        <v/>
      </c>
      <c r="C36" s="24"/>
      <c r="D36" s="23"/>
      <c r="E36" s="51"/>
      <c r="F36" s="51"/>
      <c r="G36" s="24"/>
      <c r="H36" s="40"/>
      <c r="I36" s="40" t="str">
        <f t="array" ref="I36">IF(G36="","",IFERROR(INDEX('Người sử dụng'!$H$5:$H$140,MATCH(G36,'Người sử dụng'!$C$5:$C$140,0)),"Chưa có trong DS"))</f>
        <v/>
      </c>
      <c r="J36" s="24"/>
      <c r="K36" s="24"/>
      <c r="L36" s="23"/>
      <c r="M36" s="24"/>
      <c r="N36" s="24"/>
      <c r="O36" s="24"/>
      <c r="P36" s="26"/>
      <c r="Q36" s="51"/>
      <c r="R36" s="46"/>
      <c r="S36" s="51"/>
      <c r="T36" s="46"/>
      <c r="U36" s="46"/>
      <c r="V36" s="46"/>
      <c r="W36" s="46"/>
      <c r="X36" s="46"/>
      <c r="Y36" s="46"/>
      <c r="Z36" s="46"/>
      <c r="AA36" s="46"/>
      <c r="AB36" s="46"/>
      <c r="AC36" s="46"/>
      <c r="AD36" s="46"/>
      <c r="AE36" s="46"/>
    </row>
    <row r="37" ht="15.75" customHeight="1">
      <c r="A37" s="40" t="str">
        <f t="shared" si="1"/>
        <v/>
      </c>
      <c r="B37" s="40" t="str">
        <f t="shared" si="2"/>
        <v/>
      </c>
      <c r="C37" s="24"/>
      <c r="D37" s="23"/>
      <c r="E37" s="51"/>
      <c r="F37" s="51"/>
      <c r="G37" s="24"/>
      <c r="H37" s="40"/>
      <c r="I37" s="40" t="str">
        <f t="array" ref="I37">IF(G37="","",IFERROR(INDEX('Người sử dụng'!$H$5:$H$140,MATCH(G37,'Người sử dụng'!$C$5:$C$140,0)),"Chưa có trong DS"))</f>
        <v/>
      </c>
      <c r="J37" s="24"/>
      <c r="K37" s="24"/>
      <c r="L37" s="23"/>
      <c r="M37" s="24"/>
      <c r="N37" s="24"/>
      <c r="O37" s="24"/>
      <c r="P37" s="26"/>
      <c r="Q37" s="51"/>
      <c r="R37" s="46"/>
      <c r="S37" s="51"/>
      <c r="T37" s="46"/>
      <c r="U37" s="46"/>
      <c r="V37" s="46"/>
      <c r="W37" s="46"/>
      <c r="X37" s="46"/>
      <c r="Y37" s="46"/>
      <c r="Z37" s="46"/>
      <c r="AA37" s="46"/>
      <c r="AB37" s="46"/>
      <c r="AC37" s="46"/>
      <c r="AD37" s="46"/>
      <c r="AE37" s="46"/>
    </row>
    <row r="38" ht="15.75" customHeight="1">
      <c r="A38" s="40" t="str">
        <f t="shared" si="1"/>
        <v/>
      </c>
      <c r="B38" s="40" t="str">
        <f t="shared" si="2"/>
        <v/>
      </c>
      <c r="C38" s="24"/>
      <c r="D38" s="23"/>
      <c r="E38" s="51"/>
      <c r="F38" s="51"/>
      <c r="G38" s="24"/>
      <c r="H38" s="40"/>
      <c r="I38" s="40" t="str">
        <f t="array" ref="I38">IF(G38="","",IFERROR(INDEX('Người sử dụng'!$H$5:$H$140,MATCH(G38,'Người sử dụng'!$C$5:$C$140,0)),"Chưa có trong DS"))</f>
        <v/>
      </c>
      <c r="J38" s="24"/>
      <c r="K38" s="24"/>
      <c r="L38" s="23"/>
      <c r="M38" s="24"/>
      <c r="N38" s="24"/>
      <c r="O38" s="24"/>
      <c r="P38" s="26"/>
      <c r="Q38" s="51"/>
      <c r="R38" s="46"/>
      <c r="S38" s="51"/>
      <c r="T38" s="46"/>
      <c r="U38" s="46"/>
      <c r="V38" s="46"/>
      <c r="W38" s="46"/>
      <c r="X38" s="46"/>
      <c r="Y38" s="46"/>
      <c r="Z38" s="46"/>
      <c r="AA38" s="46"/>
      <c r="AB38" s="46"/>
      <c r="AC38" s="46"/>
      <c r="AD38" s="46"/>
      <c r="AE38" s="46"/>
    </row>
    <row r="39" ht="15.75" customHeight="1">
      <c r="A39" s="40" t="str">
        <f t="shared" si="1"/>
        <v/>
      </c>
      <c r="B39" s="40" t="str">
        <f t="shared" si="2"/>
        <v/>
      </c>
      <c r="C39" s="24"/>
      <c r="D39" s="23"/>
      <c r="E39" s="51"/>
      <c r="F39" s="51"/>
      <c r="G39" s="24"/>
      <c r="H39" s="40"/>
      <c r="I39" s="40" t="str">
        <f t="array" ref="I39">IF(G39="","",IFERROR(INDEX('Người sử dụng'!$H$5:$H$140,MATCH(G39,'Người sử dụng'!$C$5:$C$140,0)),"Chưa có trong DS"))</f>
        <v/>
      </c>
      <c r="J39" s="24"/>
      <c r="K39" s="24"/>
      <c r="L39" s="23"/>
      <c r="M39" s="24"/>
      <c r="N39" s="24"/>
      <c r="O39" s="24"/>
      <c r="P39" s="26"/>
      <c r="Q39" s="51"/>
      <c r="R39" s="46"/>
      <c r="S39" s="51"/>
      <c r="T39" s="46"/>
      <c r="U39" s="46"/>
      <c r="V39" s="46"/>
      <c r="W39" s="46"/>
      <c r="X39" s="46"/>
      <c r="Y39" s="46"/>
      <c r="Z39" s="46"/>
      <c r="AA39" s="46"/>
      <c r="AB39" s="46"/>
      <c r="AC39" s="46"/>
      <c r="AD39" s="46"/>
      <c r="AE39" s="46"/>
    </row>
    <row r="40" ht="15.75" customHeight="1">
      <c r="A40" s="40" t="str">
        <f t="shared" si="1"/>
        <v/>
      </c>
      <c r="B40" s="40" t="str">
        <f t="shared" si="2"/>
        <v/>
      </c>
      <c r="C40" s="24"/>
      <c r="D40" s="23"/>
      <c r="E40" s="51"/>
      <c r="F40" s="51"/>
      <c r="G40" s="24"/>
      <c r="H40" s="40"/>
      <c r="I40" s="40" t="str">
        <f t="array" ref="I40">IF(G40="","",IFERROR(INDEX('Người sử dụng'!$H$5:$H$140,MATCH(G40,'Người sử dụng'!$C$5:$C$140,0)),"Chưa có trong DS"))</f>
        <v/>
      </c>
      <c r="J40" s="24"/>
      <c r="K40" s="24"/>
      <c r="L40" s="23"/>
      <c r="M40" s="24"/>
      <c r="N40" s="24"/>
      <c r="O40" s="24"/>
      <c r="P40" s="26"/>
      <c r="Q40" s="51"/>
      <c r="R40" s="46"/>
      <c r="S40" s="51"/>
      <c r="T40" s="46"/>
      <c r="U40" s="46"/>
      <c r="V40" s="46"/>
      <c r="W40" s="46"/>
      <c r="X40" s="46"/>
      <c r="Y40" s="46"/>
      <c r="Z40" s="46"/>
      <c r="AA40" s="46"/>
      <c r="AB40" s="46"/>
      <c r="AC40" s="46"/>
      <c r="AD40" s="46"/>
      <c r="AE40" s="46"/>
    </row>
    <row r="41" ht="15.75" customHeight="1">
      <c r="A41" s="40" t="str">
        <f t="shared" si="1"/>
        <v/>
      </c>
      <c r="B41" s="40" t="str">
        <f t="shared" si="2"/>
        <v/>
      </c>
      <c r="C41" s="24"/>
      <c r="D41" s="23"/>
      <c r="E41" s="51"/>
      <c r="F41" s="51"/>
      <c r="G41" s="24"/>
      <c r="H41" s="40"/>
      <c r="I41" s="40" t="str">
        <f t="array" ref="I41">IF(G41="","",IFERROR(INDEX('Người sử dụng'!$H$5:$H$140,MATCH(G41,'Người sử dụng'!$C$5:$C$140,0)),"Chưa có trong DS"))</f>
        <v/>
      </c>
      <c r="J41" s="24"/>
      <c r="K41" s="24"/>
      <c r="L41" s="23"/>
      <c r="M41" s="24"/>
      <c r="N41" s="24"/>
      <c r="O41" s="24"/>
      <c r="P41" s="26"/>
      <c r="Q41" s="51"/>
      <c r="R41" s="46"/>
      <c r="S41" s="51"/>
      <c r="T41" s="46"/>
      <c r="U41" s="46"/>
      <c r="V41" s="46"/>
      <c r="W41" s="46"/>
      <c r="X41" s="46"/>
      <c r="Y41" s="46"/>
      <c r="Z41" s="46"/>
      <c r="AA41" s="46"/>
      <c r="AB41" s="46"/>
      <c r="AC41" s="46"/>
      <c r="AD41" s="46"/>
      <c r="AE41" s="46"/>
    </row>
    <row r="42" ht="15.75" customHeight="1">
      <c r="A42" s="40" t="str">
        <f t="shared" si="1"/>
        <v/>
      </c>
      <c r="B42" s="40" t="str">
        <f t="shared" si="2"/>
        <v/>
      </c>
      <c r="C42" s="24"/>
      <c r="D42" s="23"/>
      <c r="E42" s="51"/>
      <c r="F42" s="51"/>
      <c r="G42" s="24"/>
      <c r="H42" s="40"/>
      <c r="I42" s="40" t="str">
        <f t="array" ref="I42">IF(G42="","",IFERROR(INDEX('Người sử dụng'!$H$5:$H$140,MATCH(G42,'Người sử dụng'!$C$5:$C$140,0)),"Chưa có trong DS"))</f>
        <v/>
      </c>
      <c r="J42" s="24"/>
      <c r="K42" s="24"/>
      <c r="L42" s="23"/>
      <c r="M42" s="24"/>
      <c r="N42" s="24"/>
      <c r="O42" s="24"/>
      <c r="P42" s="26"/>
      <c r="Q42" s="51"/>
      <c r="R42" s="46"/>
      <c r="S42" s="51"/>
      <c r="T42" s="46"/>
      <c r="U42" s="46"/>
      <c r="V42" s="46"/>
      <c r="W42" s="46"/>
      <c r="X42" s="46"/>
      <c r="Y42" s="46"/>
      <c r="Z42" s="46"/>
      <c r="AA42" s="46"/>
      <c r="AB42" s="46"/>
      <c r="AC42" s="46"/>
      <c r="AD42" s="46"/>
      <c r="AE42" s="46"/>
    </row>
    <row r="43" ht="15.75" customHeight="1">
      <c r="A43" s="40" t="str">
        <f t="shared" si="1"/>
        <v/>
      </c>
      <c r="B43" s="40" t="str">
        <f t="shared" si="2"/>
        <v/>
      </c>
      <c r="C43" s="24"/>
      <c r="D43" s="23"/>
      <c r="E43" s="51"/>
      <c r="F43" s="51"/>
      <c r="G43" s="24"/>
      <c r="H43" s="40"/>
      <c r="I43" s="40" t="str">
        <f t="array" ref="I43">IF(G43="","",IFERROR(INDEX('Người sử dụng'!$H$5:$H$140,MATCH(G43,'Người sử dụng'!$C$5:$C$140,0)),"Chưa có trong DS"))</f>
        <v/>
      </c>
      <c r="J43" s="24"/>
      <c r="K43" s="24"/>
      <c r="L43" s="23"/>
      <c r="M43" s="24"/>
      <c r="N43" s="24"/>
      <c r="O43" s="24"/>
      <c r="P43" s="26"/>
      <c r="Q43" s="51"/>
      <c r="R43" s="46"/>
      <c r="S43" s="51"/>
      <c r="T43" s="46"/>
      <c r="U43" s="46"/>
      <c r="V43" s="46"/>
      <c r="W43" s="46"/>
      <c r="X43" s="46"/>
      <c r="Y43" s="46"/>
      <c r="Z43" s="46"/>
      <c r="AA43" s="46"/>
      <c r="AB43" s="46"/>
      <c r="AC43" s="46"/>
      <c r="AD43" s="46"/>
      <c r="AE43" s="46"/>
    </row>
    <row r="44" ht="15.75" customHeight="1">
      <c r="A44" s="40" t="str">
        <f t="shared" si="1"/>
        <v/>
      </c>
      <c r="B44" s="40" t="str">
        <f t="shared" si="2"/>
        <v/>
      </c>
      <c r="C44" s="24"/>
      <c r="D44" s="23"/>
      <c r="E44" s="51"/>
      <c r="F44" s="51"/>
      <c r="G44" s="24"/>
      <c r="H44" s="40"/>
      <c r="I44" s="40" t="str">
        <f t="array" ref="I44">IF(G44="","",IFERROR(INDEX('Người sử dụng'!$H$5:$H$140,MATCH(G44,'Người sử dụng'!$C$5:$C$140,0)),"Chưa có trong DS"))</f>
        <v/>
      </c>
      <c r="J44" s="24"/>
      <c r="K44" s="24"/>
      <c r="L44" s="23"/>
      <c r="M44" s="24"/>
      <c r="N44" s="24"/>
      <c r="O44" s="24"/>
      <c r="P44" s="26"/>
      <c r="Q44" s="51"/>
      <c r="R44" s="46"/>
      <c r="S44" s="51"/>
      <c r="T44" s="46"/>
      <c r="U44" s="46"/>
      <c r="V44" s="46"/>
      <c r="W44" s="46"/>
      <c r="X44" s="46"/>
      <c r="Y44" s="46"/>
      <c r="Z44" s="46"/>
      <c r="AA44" s="46"/>
      <c r="AB44" s="46"/>
      <c r="AC44" s="46"/>
      <c r="AD44" s="46"/>
      <c r="AE44" s="46"/>
    </row>
    <row r="45" ht="15.75" customHeight="1">
      <c r="A45" s="40" t="str">
        <f t="shared" si="1"/>
        <v/>
      </c>
      <c r="B45" s="40" t="str">
        <f t="shared" si="2"/>
        <v/>
      </c>
      <c r="C45" s="24"/>
      <c r="D45" s="23"/>
      <c r="E45" s="51"/>
      <c r="F45" s="51"/>
      <c r="G45" s="24"/>
      <c r="H45" s="40"/>
      <c r="I45" s="40" t="str">
        <f t="array" ref="I45">IF(G45="","",IFERROR(INDEX('Người sử dụng'!$H$5:$H$140,MATCH(G45,'Người sử dụng'!$C$5:$C$140,0)),"Chưa có trong DS"))</f>
        <v/>
      </c>
      <c r="J45" s="24"/>
      <c r="K45" s="24"/>
      <c r="L45" s="23"/>
      <c r="M45" s="24"/>
      <c r="N45" s="24"/>
      <c r="O45" s="24"/>
      <c r="P45" s="26"/>
      <c r="Q45" s="51"/>
      <c r="R45" s="46"/>
      <c r="S45" s="51"/>
      <c r="T45" s="46"/>
      <c r="U45" s="46"/>
      <c r="V45" s="46"/>
      <c r="W45" s="46"/>
      <c r="X45" s="46"/>
      <c r="Y45" s="46"/>
      <c r="Z45" s="46"/>
      <c r="AA45" s="46"/>
      <c r="AB45" s="46"/>
      <c r="AC45" s="46"/>
      <c r="AD45" s="46"/>
      <c r="AE45" s="46"/>
    </row>
    <row r="46" ht="15.75" customHeight="1">
      <c r="A46" s="40" t="str">
        <f t="shared" si="1"/>
        <v/>
      </c>
      <c r="B46" s="40" t="str">
        <f t="shared" si="2"/>
        <v/>
      </c>
      <c r="C46" s="24"/>
      <c r="D46" s="23"/>
      <c r="E46" s="51"/>
      <c r="F46" s="51"/>
      <c r="G46" s="24"/>
      <c r="H46" s="40"/>
      <c r="I46" s="40" t="str">
        <f t="array" ref="I46">IF(G46="","",IFERROR(INDEX('Người sử dụng'!$H$5:$H$140,MATCH(G46,'Người sử dụng'!$C$5:$C$140,0)),"Chưa có trong DS"))</f>
        <v/>
      </c>
      <c r="J46" s="24"/>
      <c r="K46" s="24"/>
      <c r="L46" s="23"/>
      <c r="M46" s="24"/>
      <c r="N46" s="24"/>
      <c r="O46" s="24"/>
      <c r="P46" s="26"/>
      <c r="Q46" s="51"/>
      <c r="R46" s="46"/>
      <c r="S46" s="51"/>
      <c r="T46" s="46"/>
      <c r="U46" s="46"/>
      <c r="V46" s="46"/>
      <c r="W46" s="46"/>
      <c r="X46" s="46"/>
      <c r="Y46" s="46"/>
      <c r="Z46" s="46"/>
      <c r="AA46" s="46"/>
      <c r="AB46" s="46"/>
      <c r="AC46" s="46"/>
      <c r="AD46" s="46"/>
      <c r="AE46" s="46"/>
    </row>
    <row r="47" ht="15.75" customHeight="1">
      <c r="A47" s="40" t="str">
        <f t="shared" si="1"/>
        <v/>
      </c>
      <c r="B47" s="40" t="str">
        <f t="shared" si="2"/>
        <v/>
      </c>
      <c r="C47" s="24"/>
      <c r="D47" s="23"/>
      <c r="E47" s="51"/>
      <c r="F47" s="51"/>
      <c r="G47" s="24"/>
      <c r="H47" s="40"/>
      <c r="I47" s="40" t="str">
        <f t="array" ref="I47">IF(G47="","",IFERROR(INDEX('Người sử dụng'!$H$5:$H$140,MATCH(G47,'Người sử dụng'!$C$5:$C$140,0)),"Chưa có trong DS"))</f>
        <v/>
      </c>
      <c r="J47" s="24"/>
      <c r="K47" s="24"/>
      <c r="L47" s="23"/>
      <c r="M47" s="24"/>
      <c r="N47" s="24"/>
      <c r="O47" s="24"/>
      <c r="P47" s="26"/>
      <c r="Q47" s="51"/>
      <c r="R47" s="46"/>
      <c r="S47" s="51"/>
      <c r="T47" s="46"/>
      <c r="U47" s="46"/>
      <c r="V47" s="46"/>
      <c r="W47" s="46"/>
      <c r="X47" s="46"/>
      <c r="Y47" s="46"/>
      <c r="Z47" s="46"/>
      <c r="AA47" s="46"/>
      <c r="AB47" s="46"/>
      <c r="AC47" s="46"/>
      <c r="AD47" s="46"/>
      <c r="AE47" s="46"/>
    </row>
    <row r="48" ht="15.75" customHeight="1">
      <c r="A48" s="40" t="str">
        <f t="shared" si="1"/>
        <v/>
      </c>
      <c r="B48" s="40" t="str">
        <f t="shared" si="2"/>
        <v/>
      </c>
      <c r="C48" s="24"/>
      <c r="D48" s="23"/>
      <c r="E48" s="51"/>
      <c r="F48" s="51"/>
      <c r="G48" s="24"/>
      <c r="H48" s="40"/>
      <c r="I48" s="40" t="str">
        <f t="array" ref="I48">IF(G48="","",IFERROR(INDEX('Người sử dụng'!$H$5:$H$140,MATCH(G48,'Người sử dụng'!$C$5:$C$140,0)),"Chưa có trong DS"))</f>
        <v/>
      </c>
      <c r="J48" s="24"/>
      <c r="K48" s="24"/>
      <c r="L48" s="23"/>
      <c r="M48" s="24"/>
      <c r="N48" s="24"/>
      <c r="O48" s="24"/>
      <c r="P48" s="26"/>
      <c r="Q48" s="51"/>
      <c r="R48" s="46"/>
      <c r="S48" s="51"/>
      <c r="T48" s="46"/>
      <c r="U48" s="46"/>
      <c r="V48" s="46"/>
      <c r="W48" s="46"/>
      <c r="X48" s="46"/>
      <c r="Y48" s="46"/>
      <c r="Z48" s="46"/>
      <c r="AA48" s="46"/>
      <c r="AB48" s="46"/>
      <c r="AC48" s="46"/>
      <c r="AD48" s="46"/>
      <c r="AE48" s="46"/>
    </row>
    <row r="49" ht="15.75" customHeight="1">
      <c r="A49" s="40" t="str">
        <f t="shared" si="1"/>
        <v/>
      </c>
      <c r="B49" s="40" t="str">
        <f t="shared" si="2"/>
        <v/>
      </c>
      <c r="C49" s="24"/>
      <c r="D49" s="23"/>
      <c r="E49" s="51"/>
      <c r="F49" s="51"/>
      <c r="G49" s="24"/>
      <c r="H49" s="40"/>
      <c r="I49" s="40" t="str">
        <f t="array" ref="I49">IF(G49="","",IFERROR(INDEX('Người sử dụng'!$H$5:$H$140,MATCH(G49,'Người sử dụng'!$C$5:$C$140,0)),"Chưa có trong DS"))</f>
        <v/>
      </c>
      <c r="J49" s="24"/>
      <c r="K49" s="24"/>
      <c r="L49" s="23"/>
      <c r="M49" s="24"/>
      <c r="N49" s="24"/>
      <c r="O49" s="24"/>
      <c r="P49" s="26"/>
      <c r="Q49" s="51"/>
      <c r="R49" s="46"/>
      <c r="S49" s="51"/>
      <c r="T49" s="46"/>
      <c r="U49" s="46"/>
      <c r="V49" s="46"/>
      <c r="W49" s="46"/>
      <c r="X49" s="46"/>
      <c r="Y49" s="46"/>
      <c r="Z49" s="46"/>
      <c r="AA49" s="46"/>
      <c r="AB49" s="46"/>
      <c r="AC49" s="46"/>
      <c r="AD49" s="46"/>
      <c r="AE49" s="46"/>
    </row>
    <row r="50" ht="15.75" customHeight="1">
      <c r="A50" s="40" t="str">
        <f t="shared" si="1"/>
        <v/>
      </c>
      <c r="B50" s="40" t="str">
        <f t="shared" si="2"/>
        <v/>
      </c>
      <c r="C50" s="24"/>
      <c r="D50" s="23"/>
      <c r="E50" s="51"/>
      <c r="F50" s="51"/>
      <c r="G50" s="24"/>
      <c r="H50" s="40"/>
      <c r="I50" s="40" t="str">
        <f t="array" ref="I50">IF(G50="","",IFERROR(INDEX('Người sử dụng'!$H$5:$H$140,MATCH(G50,'Người sử dụng'!$C$5:$C$140,0)),"Chưa có trong DS"))</f>
        <v/>
      </c>
      <c r="J50" s="24"/>
      <c r="K50" s="24"/>
      <c r="L50" s="23"/>
      <c r="M50" s="24"/>
      <c r="N50" s="24"/>
      <c r="O50" s="24"/>
      <c r="P50" s="26"/>
      <c r="Q50" s="51"/>
      <c r="R50" s="46"/>
      <c r="S50" s="51"/>
      <c r="T50" s="46"/>
      <c r="U50" s="46"/>
      <c r="V50" s="46"/>
      <c r="W50" s="46"/>
      <c r="X50" s="46"/>
      <c r="Y50" s="46"/>
      <c r="Z50" s="46"/>
      <c r="AA50" s="46"/>
      <c r="AB50" s="46"/>
      <c r="AC50" s="46"/>
      <c r="AD50" s="46"/>
      <c r="AE50" s="46"/>
    </row>
    <row r="51" ht="15.75" customHeight="1">
      <c r="A51" s="40" t="str">
        <f t="shared" si="1"/>
        <v/>
      </c>
      <c r="B51" s="40" t="str">
        <f t="shared" si="2"/>
        <v/>
      </c>
      <c r="C51" s="24"/>
      <c r="D51" s="23"/>
      <c r="E51" s="51"/>
      <c r="F51" s="51"/>
      <c r="G51" s="24"/>
      <c r="H51" s="40"/>
      <c r="I51" s="40" t="str">
        <f t="array" ref="I51">IF(G51="","",IFERROR(INDEX('Người sử dụng'!$H$5:$H$140,MATCH(G51,'Người sử dụng'!$C$5:$C$140,0)),"Chưa có trong DS"))</f>
        <v/>
      </c>
      <c r="J51" s="24"/>
      <c r="K51" s="24"/>
      <c r="L51" s="23"/>
      <c r="M51" s="24"/>
      <c r="N51" s="24"/>
      <c r="O51" s="24"/>
      <c r="P51" s="26"/>
      <c r="Q51" s="51"/>
      <c r="R51" s="46"/>
      <c r="S51" s="51"/>
      <c r="T51" s="46"/>
      <c r="U51" s="46"/>
      <c r="V51" s="46"/>
      <c r="W51" s="46"/>
      <c r="X51" s="46"/>
      <c r="Y51" s="46"/>
      <c r="Z51" s="46"/>
      <c r="AA51" s="46"/>
      <c r="AB51" s="46"/>
      <c r="AC51" s="46"/>
      <c r="AD51" s="46"/>
      <c r="AE51" s="46"/>
    </row>
    <row r="52" ht="15.75" customHeight="1">
      <c r="A52" s="40" t="str">
        <f t="shared" si="1"/>
        <v/>
      </c>
      <c r="B52" s="40" t="str">
        <f t="shared" si="2"/>
        <v/>
      </c>
      <c r="C52" s="24"/>
      <c r="D52" s="23"/>
      <c r="E52" s="51"/>
      <c r="F52" s="51"/>
      <c r="G52" s="24"/>
      <c r="H52" s="40"/>
      <c r="I52" s="40" t="str">
        <f t="array" ref="I52">IF(G52="","",IFERROR(INDEX('Người sử dụng'!$H$5:$H$140,MATCH(G52,'Người sử dụng'!$C$5:$C$140,0)),"Chưa có trong DS"))</f>
        <v/>
      </c>
      <c r="J52" s="24"/>
      <c r="K52" s="24"/>
      <c r="L52" s="23"/>
      <c r="M52" s="24"/>
      <c r="N52" s="24"/>
      <c r="O52" s="24"/>
      <c r="P52" s="26"/>
      <c r="Q52" s="51"/>
      <c r="R52" s="46"/>
      <c r="S52" s="51"/>
      <c r="T52" s="46"/>
      <c r="U52" s="46"/>
      <c r="V52" s="46"/>
      <c r="W52" s="46"/>
      <c r="X52" s="46"/>
      <c r="Y52" s="46"/>
      <c r="Z52" s="46"/>
      <c r="AA52" s="46"/>
      <c r="AB52" s="46"/>
      <c r="AC52" s="46"/>
      <c r="AD52" s="46"/>
      <c r="AE52" s="46"/>
    </row>
    <row r="53" ht="15.75" customHeight="1">
      <c r="A53" s="40" t="str">
        <f t="shared" si="1"/>
        <v/>
      </c>
      <c r="B53" s="40" t="str">
        <f t="shared" si="2"/>
        <v/>
      </c>
      <c r="C53" s="24"/>
      <c r="D53" s="23"/>
      <c r="E53" s="51"/>
      <c r="F53" s="51"/>
      <c r="G53" s="24"/>
      <c r="H53" s="40"/>
      <c r="I53" s="40" t="str">
        <f t="array" ref="I53">IF(G53="","",IFERROR(INDEX('Người sử dụng'!$H$5:$H$140,MATCH(G53,'Người sử dụng'!$C$5:$C$140,0)),"Chưa có trong DS"))</f>
        <v/>
      </c>
      <c r="J53" s="24"/>
      <c r="K53" s="24"/>
      <c r="L53" s="23"/>
      <c r="M53" s="24"/>
      <c r="N53" s="24"/>
      <c r="O53" s="24"/>
      <c r="P53" s="26"/>
      <c r="Q53" s="51"/>
      <c r="R53" s="46"/>
      <c r="S53" s="51"/>
      <c r="T53" s="46"/>
      <c r="U53" s="46"/>
      <c r="V53" s="46"/>
      <c r="W53" s="46"/>
      <c r="X53" s="46"/>
      <c r="Y53" s="46"/>
      <c r="Z53" s="46"/>
      <c r="AA53" s="46"/>
      <c r="AB53" s="46"/>
      <c r="AC53" s="46"/>
      <c r="AD53" s="46"/>
      <c r="AE53" s="46"/>
    </row>
    <row r="54" ht="15.75" customHeight="1">
      <c r="A54" s="40" t="str">
        <f t="shared" si="1"/>
        <v/>
      </c>
      <c r="B54" s="40" t="str">
        <f t="shared" si="2"/>
        <v/>
      </c>
      <c r="C54" s="24"/>
      <c r="D54" s="23"/>
      <c r="E54" s="51"/>
      <c r="F54" s="51"/>
      <c r="G54" s="24"/>
      <c r="H54" s="40"/>
      <c r="I54" s="40" t="str">
        <f t="array" ref="I54">IF(G54="","",IFERROR(INDEX('Người sử dụng'!$H$5:$H$140,MATCH(G54,'Người sử dụng'!$C$5:$C$140,0)),"Chưa có trong DS"))</f>
        <v/>
      </c>
      <c r="J54" s="24"/>
      <c r="K54" s="24"/>
      <c r="L54" s="23"/>
      <c r="M54" s="24"/>
      <c r="N54" s="24"/>
      <c r="O54" s="24"/>
      <c r="P54" s="26"/>
      <c r="Q54" s="51"/>
      <c r="R54" s="46"/>
      <c r="S54" s="51"/>
      <c r="T54" s="46"/>
      <c r="U54" s="46"/>
      <c r="V54" s="46"/>
      <c r="W54" s="46"/>
      <c r="X54" s="46"/>
      <c r="Y54" s="46"/>
      <c r="Z54" s="46"/>
      <c r="AA54" s="46"/>
      <c r="AB54" s="46"/>
      <c r="AC54" s="46"/>
      <c r="AD54" s="46"/>
      <c r="AE54" s="46"/>
    </row>
    <row r="55" ht="15.75" customHeight="1">
      <c r="A55" s="40" t="str">
        <f t="shared" si="1"/>
        <v/>
      </c>
      <c r="B55" s="40" t="str">
        <f t="shared" si="2"/>
        <v/>
      </c>
      <c r="C55" s="24"/>
      <c r="D55" s="23"/>
      <c r="E55" s="51"/>
      <c r="F55" s="51"/>
      <c r="G55" s="24"/>
      <c r="H55" s="40"/>
      <c r="I55" s="40" t="str">
        <f t="array" ref="I55">IF(G55="","",IFERROR(INDEX('Người sử dụng'!$H$5:$H$140,MATCH(G55,'Người sử dụng'!$C$5:$C$140,0)),"Chưa có trong DS"))</f>
        <v/>
      </c>
      <c r="J55" s="24"/>
      <c r="K55" s="24"/>
      <c r="L55" s="23"/>
      <c r="M55" s="24"/>
      <c r="N55" s="24"/>
      <c r="O55" s="24"/>
      <c r="P55" s="26"/>
      <c r="Q55" s="51"/>
      <c r="R55" s="46"/>
      <c r="S55" s="51"/>
      <c r="T55" s="46"/>
      <c r="U55" s="46"/>
      <c r="V55" s="46"/>
      <c r="W55" s="46"/>
      <c r="X55" s="46"/>
      <c r="Y55" s="46"/>
      <c r="Z55" s="46"/>
      <c r="AA55" s="46"/>
      <c r="AB55" s="46"/>
      <c r="AC55" s="46"/>
      <c r="AD55" s="46"/>
      <c r="AE55" s="46"/>
    </row>
    <row r="56" ht="15.75" customHeight="1">
      <c r="A56" s="40" t="str">
        <f t="shared" si="1"/>
        <v/>
      </c>
      <c r="B56" s="40" t="str">
        <f t="shared" si="2"/>
        <v/>
      </c>
      <c r="C56" s="24"/>
      <c r="D56" s="23"/>
      <c r="E56" s="51"/>
      <c r="F56" s="51"/>
      <c r="G56" s="24"/>
      <c r="H56" s="40"/>
      <c r="I56" s="40" t="str">
        <f t="array" ref="I56">IF(G56="","",IFERROR(INDEX('Người sử dụng'!$H$5:$H$140,MATCH(G56,'Người sử dụng'!$C$5:$C$140,0)),"Chưa có trong DS"))</f>
        <v/>
      </c>
      <c r="J56" s="24"/>
      <c r="K56" s="24"/>
      <c r="L56" s="23"/>
      <c r="M56" s="24"/>
      <c r="N56" s="24"/>
      <c r="O56" s="24"/>
      <c r="P56" s="26"/>
      <c r="Q56" s="51"/>
      <c r="R56" s="46"/>
      <c r="S56" s="51"/>
      <c r="T56" s="46"/>
      <c r="U56" s="46"/>
      <c r="V56" s="46"/>
      <c r="W56" s="46"/>
      <c r="X56" s="46"/>
      <c r="Y56" s="46"/>
      <c r="Z56" s="46"/>
      <c r="AA56" s="46"/>
      <c r="AB56" s="46"/>
      <c r="AC56" s="46"/>
      <c r="AD56" s="46"/>
      <c r="AE56" s="46"/>
    </row>
    <row r="57" ht="15.75" customHeight="1">
      <c r="A57" s="40" t="str">
        <f t="shared" si="1"/>
        <v/>
      </c>
      <c r="B57" s="40" t="str">
        <f t="shared" si="2"/>
        <v/>
      </c>
      <c r="C57" s="24"/>
      <c r="D57" s="23"/>
      <c r="E57" s="51"/>
      <c r="F57" s="51"/>
      <c r="G57" s="24"/>
      <c r="H57" s="40"/>
      <c r="I57" s="40" t="str">
        <f t="array" ref="I57">IF(G57="","",IFERROR(INDEX('Người sử dụng'!$H$5:$H$140,MATCH(G57,'Người sử dụng'!$C$5:$C$140,0)),"Chưa có trong DS"))</f>
        <v/>
      </c>
      <c r="J57" s="24"/>
      <c r="K57" s="24"/>
      <c r="L57" s="23"/>
      <c r="M57" s="24"/>
      <c r="N57" s="24"/>
      <c r="O57" s="24"/>
      <c r="P57" s="26"/>
      <c r="Q57" s="51"/>
      <c r="R57" s="46"/>
      <c r="S57" s="51"/>
      <c r="T57" s="46"/>
      <c r="U57" s="46"/>
      <c r="V57" s="46"/>
      <c r="W57" s="46"/>
      <c r="X57" s="46"/>
      <c r="Y57" s="46"/>
      <c r="Z57" s="46"/>
      <c r="AA57" s="46"/>
      <c r="AB57" s="46"/>
      <c r="AC57" s="46"/>
      <c r="AD57" s="46"/>
      <c r="AE57" s="46"/>
    </row>
    <row r="58" ht="15.75" customHeight="1">
      <c r="A58" s="40" t="str">
        <f t="shared" si="1"/>
        <v/>
      </c>
      <c r="B58" s="40" t="str">
        <f t="shared" si="2"/>
        <v/>
      </c>
      <c r="C58" s="24"/>
      <c r="D58" s="23"/>
      <c r="E58" s="51"/>
      <c r="F58" s="51"/>
      <c r="G58" s="24"/>
      <c r="H58" s="40"/>
      <c r="I58" s="40" t="str">
        <f t="array" ref="I58">IF(G58="","",IFERROR(INDEX('Người sử dụng'!$H$5:$H$140,MATCH(G58,'Người sử dụng'!$C$5:$C$140,0)),"Chưa có trong DS"))</f>
        <v/>
      </c>
      <c r="J58" s="24"/>
      <c r="K58" s="24"/>
      <c r="L58" s="23"/>
      <c r="M58" s="24"/>
      <c r="N58" s="24"/>
      <c r="O58" s="24"/>
      <c r="P58" s="26"/>
      <c r="Q58" s="51"/>
      <c r="R58" s="46"/>
      <c r="S58" s="51"/>
      <c r="T58" s="46"/>
      <c r="U58" s="46"/>
      <c r="V58" s="46"/>
      <c r="W58" s="46"/>
      <c r="X58" s="46"/>
      <c r="Y58" s="46"/>
      <c r="Z58" s="46"/>
      <c r="AA58" s="46"/>
      <c r="AB58" s="46"/>
      <c r="AC58" s="46"/>
      <c r="AD58" s="46"/>
      <c r="AE58" s="46"/>
    </row>
    <row r="59" ht="15.75" customHeight="1">
      <c r="A59" s="40" t="str">
        <f t="shared" si="1"/>
        <v/>
      </c>
      <c r="B59" s="40" t="str">
        <f t="shared" si="2"/>
        <v/>
      </c>
      <c r="C59" s="24"/>
      <c r="D59" s="23"/>
      <c r="E59" s="51"/>
      <c r="F59" s="51"/>
      <c r="G59" s="24"/>
      <c r="H59" s="40"/>
      <c r="I59" s="40" t="str">
        <f t="array" ref="I59">IF(G59="","",IFERROR(INDEX('Người sử dụng'!$H$5:$H$140,MATCH(G59,'Người sử dụng'!$C$5:$C$140,0)),"Chưa có trong DS"))</f>
        <v/>
      </c>
      <c r="J59" s="24"/>
      <c r="K59" s="24"/>
      <c r="L59" s="23"/>
      <c r="M59" s="24"/>
      <c r="N59" s="24"/>
      <c r="O59" s="24"/>
      <c r="P59" s="26"/>
      <c r="Q59" s="51"/>
      <c r="R59" s="46"/>
      <c r="S59" s="51"/>
      <c r="T59" s="46"/>
      <c r="U59" s="46"/>
      <c r="V59" s="46"/>
      <c r="W59" s="46"/>
      <c r="X59" s="46"/>
      <c r="Y59" s="46"/>
      <c r="Z59" s="46"/>
      <c r="AA59" s="46"/>
      <c r="AB59" s="46"/>
      <c r="AC59" s="46"/>
      <c r="AD59" s="46"/>
      <c r="AE59" s="46"/>
    </row>
    <row r="60" ht="15.75" customHeight="1">
      <c r="A60" s="40" t="str">
        <f t="shared" si="1"/>
        <v/>
      </c>
      <c r="B60" s="40" t="str">
        <f t="shared" si="2"/>
        <v/>
      </c>
      <c r="C60" s="24"/>
      <c r="D60" s="23"/>
      <c r="E60" s="51"/>
      <c r="F60" s="51"/>
      <c r="G60" s="24"/>
      <c r="H60" s="40"/>
      <c r="I60" s="40" t="str">
        <f t="array" ref="I60">IF(G60="","",IFERROR(INDEX('Người sử dụng'!$H$5:$H$140,MATCH(G60,'Người sử dụng'!$C$5:$C$140,0)),"Chưa có trong DS"))</f>
        <v/>
      </c>
      <c r="J60" s="24"/>
      <c r="K60" s="24"/>
      <c r="L60" s="23"/>
      <c r="M60" s="24"/>
      <c r="N60" s="24"/>
      <c r="O60" s="24"/>
      <c r="P60" s="26"/>
      <c r="Q60" s="51"/>
      <c r="R60" s="46"/>
      <c r="S60" s="51"/>
      <c r="T60" s="46"/>
      <c r="U60" s="46"/>
      <c r="V60" s="46"/>
      <c r="W60" s="46"/>
      <c r="X60" s="46"/>
      <c r="Y60" s="46"/>
      <c r="Z60" s="46"/>
      <c r="AA60" s="46"/>
      <c r="AB60" s="46"/>
      <c r="AC60" s="46"/>
      <c r="AD60" s="46"/>
      <c r="AE60" s="46"/>
    </row>
    <row r="61" ht="15.75" customHeight="1">
      <c r="A61" s="40" t="str">
        <f t="shared" si="1"/>
        <v/>
      </c>
      <c r="B61" s="40" t="str">
        <f t="shared" si="2"/>
        <v/>
      </c>
      <c r="C61" s="24"/>
      <c r="D61" s="23"/>
      <c r="E61" s="51"/>
      <c r="F61" s="51"/>
      <c r="G61" s="24"/>
      <c r="H61" s="40"/>
      <c r="I61" s="40" t="str">
        <f t="array" ref="I61">IF(G61="","",IFERROR(INDEX('Người sử dụng'!$H$5:$H$140,MATCH(G61,'Người sử dụng'!$C$5:$C$140,0)),"Chưa có trong DS"))</f>
        <v/>
      </c>
      <c r="J61" s="24"/>
      <c r="K61" s="24"/>
      <c r="L61" s="23"/>
      <c r="M61" s="24"/>
      <c r="N61" s="24"/>
      <c r="O61" s="24"/>
      <c r="P61" s="26"/>
      <c r="Q61" s="51"/>
      <c r="R61" s="46"/>
      <c r="S61" s="51"/>
      <c r="T61" s="46"/>
      <c r="U61" s="46"/>
      <c r="V61" s="46"/>
      <c r="W61" s="46"/>
      <c r="X61" s="46"/>
      <c r="Y61" s="46"/>
      <c r="Z61" s="46"/>
      <c r="AA61" s="46"/>
      <c r="AB61" s="46"/>
      <c r="AC61" s="46"/>
      <c r="AD61" s="46"/>
      <c r="AE61" s="46"/>
    </row>
    <row r="62" ht="15.75" customHeight="1">
      <c r="A62" s="40" t="str">
        <f t="shared" si="1"/>
        <v/>
      </c>
      <c r="B62" s="40" t="str">
        <f t="shared" si="2"/>
        <v/>
      </c>
      <c r="C62" s="24"/>
      <c r="D62" s="23"/>
      <c r="E62" s="51"/>
      <c r="F62" s="51"/>
      <c r="G62" s="24"/>
      <c r="H62" s="40"/>
      <c r="I62" s="40" t="str">
        <f t="array" ref="I62">IF(G62="","",IFERROR(INDEX('Người sử dụng'!$H$5:$H$140,MATCH(G62,'Người sử dụng'!$C$5:$C$140,0)),"Chưa có trong DS"))</f>
        <v/>
      </c>
      <c r="J62" s="24"/>
      <c r="K62" s="24"/>
      <c r="L62" s="23"/>
      <c r="M62" s="24"/>
      <c r="N62" s="24"/>
      <c r="O62" s="24"/>
      <c r="P62" s="26"/>
      <c r="Q62" s="51"/>
      <c r="R62" s="46"/>
      <c r="S62" s="51"/>
      <c r="T62" s="46"/>
      <c r="U62" s="46"/>
      <c r="V62" s="46"/>
      <c r="W62" s="46"/>
      <c r="X62" s="46"/>
      <c r="Y62" s="46"/>
      <c r="Z62" s="46"/>
      <c r="AA62" s="46"/>
      <c r="AB62" s="46"/>
      <c r="AC62" s="46"/>
      <c r="AD62" s="46"/>
      <c r="AE62" s="46"/>
    </row>
    <row r="63" ht="15.75" customHeight="1">
      <c r="A63" s="40" t="str">
        <f t="shared" si="1"/>
        <v/>
      </c>
      <c r="B63" s="40" t="str">
        <f t="shared" si="2"/>
        <v/>
      </c>
      <c r="C63" s="24"/>
      <c r="D63" s="23"/>
      <c r="E63" s="51"/>
      <c r="F63" s="51"/>
      <c r="G63" s="24"/>
      <c r="H63" s="40"/>
      <c r="I63" s="40" t="str">
        <f t="array" ref="I63">IF(G63="","",IFERROR(INDEX('Người sử dụng'!$H$5:$H$140,MATCH(G63,'Người sử dụng'!$C$5:$C$140,0)),"Chưa có trong DS"))</f>
        <v/>
      </c>
      <c r="J63" s="24"/>
      <c r="K63" s="24"/>
      <c r="L63" s="23"/>
      <c r="M63" s="24"/>
      <c r="N63" s="24"/>
      <c r="O63" s="24"/>
      <c r="P63" s="26"/>
      <c r="Q63" s="51"/>
      <c r="R63" s="46"/>
      <c r="S63" s="51"/>
      <c r="T63" s="46"/>
      <c r="U63" s="46"/>
      <c r="V63" s="46"/>
      <c r="W63" s="46"/>
      <c r="X63" s="46"/>
      <c r="Y63" s="46"/>
      <c r="Z63" s="46"/>
      <c r="AA63" s="46"/>
      <c r="AB63" s="46"/>
      <c r="AC63" s="46"/>
      <c r="AD63" s="46"/>
      <c r="AE63" s="46"/>
    </row>
    <row r="64" ht="15.75" customHeight="1">
      <c r="A64" s="40" t="str">
        <f t="shared" si="1"/>
        <v/>
      </c>
      <c r="B64" s="40" t="str">
        <f t="shared" si="2"/>
        <v/>
      </c>
      <c r="C64" s="24"/>
      <c r="D64" s="23"/>
      <c r="E64" s="51"/>
      <c r="F64" s="51"/>
      <c r="G64" s="24"/>
      <c r="H64" s="40"/>
      <c r="I64" s="40" t="str">
        <f t="array" ref="I64">IF(G64="","",IFERROR(INDEX('Người sử dụng'!$H$5:$H$140,MATCH(G64,'Người sử dụng'!$C$5:$C$140,0)),"Chưa có trong DS"))</f>
        <v/>
      </c>
      <c r="J64" s="24"/>
      <c r="K64" s="24"/>
      <c r="L64" s="23"/>
      <c r="M64" s="24"/>
      <c r="N64" s="24"/>
      <c r="O64" s="24"/>
      <c r="P64" s="26"/>
      <c r="Q64" s="51"/>
      <c r="R64" s="46"/>
      <c r="S64" s="51"/>
      <c r="T64" s="46"/>
      <c r="U64" s="46"/>
      <c r="V64" s="46"/>
      <c r="W64" s="46"/>
      <c r="X64" s="46"/>
      <c r="Y64" s="46"/>
      <c r="Z64" s="46"/>
      <c r="AA64" s="46"/>
      <c r="AB64" s="46"/>
      <c r="AC64" s="46"/>
      <c r="AD64" s="46"/>
      <c r="AE64" s="46"/>
    </row>
    <row r="65" ht="15.75" customHeight="1">
      <c r="A65" s="40" t="str">
        <f t="shared" si="1"/>
        <v/>
      </c>
      <c r="B65" s="40" t="str">
        <f t="shared" si="2"/>
        <v/>
      </c>
      <c r="C65" s="24"/>
      <c r="D65" s="23"/>
      <c r="E65" s="51"/>
      <c r="F65" s="51"/>
      <c r="G65" s="24"/>
      <c r="H65" s="40"/>
      <c r="I65" s="40" t="str">
        <f t="array" ref="I65">IF(G65="","",IFERROR(INDEX('Người sử dụng'!$H$5:$H$140,MATCH(G65,'Người sử dụng'!$C$5:$C$140,0)),"Chưa có trong DS"))</f>
        <v/>
      </c>
      <c r="J65" s="24"/>
      <c r="K65" s="24"/>
      <c r="L65" s="23"/>
      <c r="M65" s="24"/>
      <c r="N65" s="24"/>
      <c r="O65" s="24"/>
      <c r="P65" s="26"/>
      <c r="Q65" s="51"/>
      <c r="R65" s="46"/>
      <c r="S65" s="51"/>
      <c r="T65" s="46"/>
      <c r="U65" s="46"/>
      <c r="V65" s="46"/>
      <c r="W65" s="46"/>
      <c r="X65" s="46"/>
      <c r="Y65" s="46"/>
      <c r="Z65" s="46"/>
      <c r="AA65" s="46"/>
      <c r="AB65" s="46"/>
      <c r="AC65" s="46"/>
      <c r="AD65" s="46"/>
      <c r="AE65" s="46"/>
    </row>
    <row r="66" ht="15.75" customHeight="1">
      <c r="A66" s="40" t="str">
        <f t="shared" si="1"/>
        <v/>
      </c>
      <c r="B66" s="40" t="str">
        <f t="shared" si="2"/>
        <v/>
      </c>
      <c r="C66" s="24"/>
      <c r="D66" s="23"/>
      <c r="E66" s="51"/>
      <c r="F66" s="51"/>
      <c r="G66" s="24"/>
      <c r="H66" s="40"/>
      <c r="I66" s="40" t="str">
        <f t="array" ref="I66">IF(G66="","",IFERROR(INDEX('Người sử dụng'!$H$5:$H$140,MATCH(G66,'Người sử dụng'!$C$5:$C$140,0)),"Chưa có trong DS"))</f>
        <v/>
      </c>
      <c r="J66" s="24"/>
      <c r="K66" s="24"/>
      <c r="L66" s="23"/>
      <c r="M66" s="24"/>
      <c r="N66" s="24"/>
      <c r="O66" s="24"/>
      <c r="P66" s="26"/>
      <c r="Q66" s="51"/>
      <c r="R66" s="46"/>
      <c r="S66" s="51"/>
      <c r="T66" s="46"/>
      <c r="U66" s="46"/>
      <c r="V66" s="46"/>
      <c r="W66" s="46"/>
      <c r="X66" s="46"/>
      <c r="Y66" s="46"/>
      <c r="Z66" s="46"/>
      <c r="AA66" s="46"/>
      <c r="AB66" s="46"/>
      <c r="AC66" s="46"/>
      <c r="AD66" s="46"/>
      <c r="AE66" s="46"/>
    </row>
    <row r="67" ht="15.75" customHeight="1">
      <c r="A67" s="40" t="str">
        <f t="shared" si="1"/>
        <v/>
      </c>
      <c r="B67" s="40" t="str">
        <f t="shared" si="2"/>
        <v/>
      </c>
      <c r="C67" s="24"/>
      <c r="D67" s="23"/>
      <c r="E67" s="51"/>
      <c r="F67" s="51"/>
      <c r="G67" s="24"/>
      <c r="H67" s="40"/>
      <c r="I67" s="40" t="str">
        <f t="array" ref="I67">IF(G67="","",IFERROR(INDEX('Người sử dụng'!$H$5:$H$140,MATCH(G67,'Người sử dụng'!$C$5:$C$140,0)),"Chưa có trong DS"))</f>
        <v/>
      </c>
      <c r="J67" s="24"/>
      <c r="K67" s="24"/>
      <c r="L67" s="23"/>
      <c r="M67" s="24"/>
      <c r="N67" s="24"/>
      <c r="O67" s="24"/>
      <c r="P67" s="26"/>
      <c r="Q67" s="51"/>
      <c r="R67" s="46"/>
      <c r="S67" s="51"/>
      <c r="T67" s="46"/>
      <c r="U67" s="46"/>
      <c r="V67" s="46"/>
      <c r="W67" s="46"/>
      <c r="X67" s="46"/>
      <c r="Y67" s="46"/>
      <c r="Z67" s="46"/>
      <c r="AA67" s="46"/>
      <c r="AB67" s="46"/>
      <c r="AC67" s="46"/>
      <c r="AD67" s="46"/>
      <c r="AE67" s="46"/>
    </row>
    <row r="68" ht="15.75" customHeight="1">
      <c r="A68" s="40" t="str">
        <f t="shared" si="1"/>
        <v/>
      </c>
      <c r="B68" s="40" t="str">
        <f t="shared" si="2"/>
        <v/>
      </c>
      <c r="C68" s="24"/>
      <c r="D68" s="23"/>
      <c r="E68" s="51"/>
      <c r="F68" s="51"/>
      <c r="G68" s="24"/>
      <c r="H68" s="40"/>
      <c r="I68" s="40" t="str">
        <f t="array" ref="I68">IF(G68="","",IFERROR(INDEX('Người sử dụng'!$H$5:$H$140,MATCH(G68,'Người sử dụng'!$C$5:$C$140,0)),"Chưa có trong DS"))</f>
        <v/>
      </c>
      <c r="J68" s="24"/>
      <c r="K68" s="24"/>
      <c r="L68" s="23"/>
      <c r="M68" s="24"/>
      <c r="N68" s="24"/>
      <c r="O68" s="24"/>
      <c r="P68" s="26"/>
      <c r="Q68" s="51"/>
      <c r="R68" s="46"/>
      <c r="S68" s="51"/>
      <c r="T68" s="46"/>
      <c r="U68" s="46"/>
      <c r="V68" s="46"/>
      <c r="W68" s="46"/>
      <c r="X68" s="46"/>
      <c r="Y68" s="46"/>
      <c r="Z68" s="46"/>
      <c r="AA68" s="46"/>
      <c r="AB68" s="46"/>
      <c r="AC68" s="46"/>
      <c r="AD68" s="46"/>
      <c r="AE68" s="46"/>
    </row>
    <row r="69" ht="15.75" customHeight="1">
      <c r="A69" s="40" t="str">
        <f t="shared" si="1"/>
        <v/>
      </c>
      <c r="B69" s="40" t="str">
        <f t="shared" si="2"/>
        <v/>
      </c>
      <c r="C69" s="24"/>
      <c r="D69" s="23"/>
      <c r="E69" s="51"/>
      <c r="F69" s="51"/>
      <c r="G69" s="24"/>
      <c r="H69" s="40"/>
      <c r="I69" s="40" t="str">
        <f t="array" ref="I69">IF(G69="","",IFERROR(INDEX('Người sử dụng'!$H$5:$H$140,MATCH(G69,'Người sử dụng'!$C$5:$C$140,0)),"Chưa có trong DS"))</f>
        <v/>
      </c>
      <c r="J69" s="24"/>
      <c r="K69" s="24"/>
      <c r="L69" s="23"/>
      <c r="M69" s="24"/>
      <c r="N69" s="24"/>
      <c r="O69" s="24"/>
      <c r="P69" s="26"/>
      <c r="Q69" s="51"/>
      <c r="R69" s="46"/>
      <c r="S69" s="51"/>
      <c r="T69" s="46"/>
      <c r="U69" s="46"/>
      <c r="V69" s="46"/>
      <c r="W69" s="46"/>
      <c r="X69" s="46"/>
      <c r="Y69" s="46"/>
      <c r="Z69" s="46"/>
      <c r="AA69" s="46"/>
      <c r="AB69" s="46"/>
      <c r="AC69" s="46"/>
      <c r="AD69" s="46"/>
      <c r="AE69" s="46"/>
    </row>
    <row r="70" ht="15.75" customHeight="1">
      <c r="A70" s="40" t="str">
        <f t="shared" si="1"/>
        <v/>
      </c>
      <c r="B70" s="40" t="str">
        <f t="shared" si="2"/>
        <v/>
      </c>
      <c r="C70" s="24"/>
      <c r="D70" s="23"/>
      <c r="E70" s="51"/>
      <c r="F70" s="51"/>
      <c r="G70" s="24"/>
      <c r="H70" s="40"/>
      <c r="I70" s="40" t="str">
        <f t="array" ref="I70">IF(G70="","",IFERROR(INDEX('Người sử dụng'!$H$5:$H$140,MATCH(G70,'Người sử dụng'!$C$5:$C$140,0)),"Chưa có trong DS"))</f>
        <v/>
      </c>
      <c r="J70" s="24"/>
      <c r="K70" s="24"/>
      <c r="L70" s="23"/>
      <c r="M70" s="24"/>
      <c r="N70" s="24"/>
      <c r="O70" s="24"/>
      <c r="P70" s="26"/>
      <c r="Q70" s="51"/>
      <c r="R70" s="46"/>
      <c r="S70" s="51"/>
      <c r="T70" s="46"/>
      <c r="U70" s="46"/>
      <c r="V70" s="46"/>
      <c r="W70" s="46"/>
      <c r="X70" s="46"/>
      <c r="Y70" s="46"/>
      <c r="Z70" s="46"/>
      <c r="AA70" s="46"/>
      <c r="AB70" s="46"/>
      <c r="AC70" s="46"/>
      <c r="AD70" s="46"/>
      <c r="AE70" s="46"/>
    </row>
    <row r="71" ht="15.75" customHeight="1">
      <c r="A71" s="40" t="str">
        <f t="shared" si="1"/>
        <v/>
      </c>
      <c r="B71" s="40" t="str">
        <f t="shared" si="2"/>
        <v/>
      </c>
      <c r="C71" s="24"/>
      <c r="D71" s="23"/>
      <c r="E71" s="51"/>
      <c r="F71" s="51"/>
      <c r="G71" s="24"/>
      <c r="H71" s="40"/>
      <c r="I71" s="40" t="str">
        <f t="array" ref="I71">IF(G71="","",IFERROR(INDEX('Người sử dụng'!$H$5:$H$140,MATCH(G71,'Người sử dụng'!$C$5:$C$140,0)),"Chưa có trong DS"))</f>
        <v/>
      </c>
      <c r="J71" s="24"/>
      <c r="K71" s="24"/>
      <c r="L71" s="23"/>
      <c r="M71" s="24"/>
      <c r="N71" s="24"/>
      <c r="O71" s="24"/>
      <c r="P71" s="26"/>
      <c r="Q71" s="51"/>
      <c r="R71" s="46"/>
      <c r="S71" s="51"/>
      <c r="T71" s="46"/>
      <c r="U71" s="46"/>
      <c r="V71" s="46"/>
      <c r="W71" s="46"/>
      <c r="X71" s="46"/>
      <c r="Y71" s="46"/>
      <c r="Z71" s="46"/>
      <c r="AA71" s="46"/>
      <c r="AB71" s="46"/>
      <c r="AC71" s="46"/>
      <c r="AD71" s="46"/>
      <c r="AE71" s="46"/>
    </row>
    <row r="72" ht="15.75" customHeight="1">
      <c r="A72" s="40" t="str">
        <f t="shared" si="1"/>
        <v/>
      </c>
      <c r="B72" s="40" t="str">
        <f t="shared" si="2"/>
        <v/>
      </c>
      <c r="C72" s="24"/>
      <c r="D72" s="23"/>
      <c r="E72" s="51"/>
      <c r="F72" s="51"/>
      <c r="G72" s="24"/>
      <c r="H72" s="40"/>
      <c r="I72" s="40" t="str">
        <f t="array" ref="I72">IF(G72="","",IFERROR(INDEX('Người sử dụng'!$H$5:$H$140,MATCH(G72,'Người sử dụng'!$C$5:$C$140,0)),"Chưa có trong DS"))</f>
        <v/>
      </c>
      <c r="J72" s="24"/>
      <c r="K72" s="24"/>
      <c r="L72" s="23"/>
      <c r="M72" s="24"/>
      <c r="N72" s="24"/>
      <c r="O72" s="24"/>
      <c r="P72" s="26"/>
      <c r="Q72" s="51"/>
      <c r="R72" s="46"/>
      <c r="S72" s="51"/>
      <c r="T72" s="46"/>
      <c r="U72" s="46"/>
      <c r="V72" s="46"/>
      <c r="W72" s="46"/>
      <c r="X72" s="46"/>
      <c r="Y72" s="46"/>
      <c r="Z72" s="46"/>
      <c r="AA72" s="46"/>
      <c r="AB72" s="46"/>
      <c r="AC72" s="46"/>
      <c r="AD72" s="46"/>
      <c r="AE72" s="46"/>
    </row>
    <row r="73" ht="15.75" customHeight="1">
      <c r="A73" s="40" t="str">
        <f t="shared" si="1"/>
        <v/>
      </c>
      <c r="B73" s="40" t="str">
        <f t="shared" si="2"/>
        <v/>
      </c>
      <c r="C73" s="24"/>
      <c r="D73" s="23"/>
      <c r="E73" s="51"/>
      <c r="F73" s="51"/>
      <c r="G73" s="24"/>
      <c r="H73" s="40"/>
      <c r="I73" s="40" t="str">
        <f t="array" ref="I73">IF(G73="","",IFERROR(INDEX('Người sử dụng'!$H$5:$H$140,MATCH(G73,'Người sử dụng'!$C$5:$C$140,0)),"Chưa có trong DS"))</f>
        <v/>
      </c>
      <c r="J73" s="24"/>
      <c r="K73" s="24"/>
      <c r="L73" s="23"/>
      <c r="M73" s="24"/>
      <c r="N73" s="24"/>
      <c r="O73" s="24"/>
      <c r="P73" s="26"/>
      <c r="Q73" s="51"/>
      <c r="R73" s="46"/>
      <c r="S73" s="51"/>
      <c r="T73" s="46"/>
      <c r="U73" s="46"/>
      <c r="V73" s="46"/>
      <c r="W73" s="46"/>
      <c r="X73" s="46"/>
      <c r="Y73" s="46"/>
      <c r="Z73" s="46"/>
      <c r="AA73" s="46"/>
      <c r="AB73" s="46"/>
      <c r="AC73" s="46"/>
      <c r="AD73" s="46"/>
      <c r="AE73" s="46"/>
    </row>
    <row r="74" ht="15.75" customHeight="1">
      <c r="A74" s="40" t="str">
        <f t="shared" si="1"/>
        <v/>
      </c>
      <c r="B74" s="40" t="str">
        <f t="shared" si="2"/>
        <v/>
      </c>
      <c r="C74" s="24"/>
      <c r="D74" s="23"/>
      <c r="E74" s="51"/>
      <c r="F74" s="51"/>
      <c r="G74" s="24"/>
      <c r="H74" s="40"/>
      <c r="I74" s="40" t="str">
        <f t="array" ref="I74">IF(G74="","",IFERROR(INDEX('Người sử dụng'!$H$5:$H$140,MATCH(G74,'Người sử dụng'!$C$5:$C$140,0)),"Chưa có trong DS"))</f>
        <v/>
      </c>
      <c r="J74" s="24"/>
      <c r="K74" s="24"/>
      <c r="L74" s="23"/>
      <c r="M74" s="24"/>
      <c r="N74" s="24"/>
      <c r="O74" s="24"/>
      <c r="P74" s="26"/>
      <c r="Q74" s="51"/>
      <c r="R74" s="46"/>
      <c r="S74" s="51"/>
      <c r="T74" s="46"/>
      <c r="U74" s="46"/>
      <c r="V74" s="46"/>
      <c r="W74" s="46"/>
      <c r="X74" s="46"/>
      <c r="Y74" s="46"/>
      <c r="Z74" s="46"/>
      <c r="AA74" s="46"/>
      <c r="AB74" s="46"/>
      <c r="AC74" s="46"/>
      <c r="AD74" s="46"/>
      <c r="AE74" s="46"/>
    </row>
    <row r="75" ht="15.75" customHeight="1">
      <c r="A75" s="40" t="str">
        <f t="shared" si="1"/>
        <v/>
      </c>
      <c r="B75" s="40" t="str">
        <f t="shared" si="2"/>
        <v/>
      </c>
      <c r="C75" s="24"/>
      <c r="D75" s="23"/>
      <c r="E75" s="51"/>
      <c r="F75" s="51"/>
      <c r="G75" s="24"/>
      <c r="H75" s="40"/>
      <c r="I75" s="40" t="str">
        <f t="array" ref="I75">IF(G75="","",IFERROR(INDEX('Người sử dụng'!$H$5:$H$140,MATCH(G75,'Người sử dụng'!$C$5:$C$140,0)),"Chưa có trong DS"))</f>
        <v/>
      </c>
      <c r="J75" s="24"/>
      <c r="K75" s="24"/>
      <c r="L75" s="23"/>
      <c r="M75" s="24"/>
      <c r="N75" s="24"/>
      <c r="O75" s="24"/>
      <c r="P75" s="26"/>
      <c r="Q75" s="51"/>
      <c r="R75" s="46"/>
      <c r="S75" s="51"/>
      <c r="T75" s="46"/>
      <c r="U75" s="46"/>
      <c r="V75" s="46"/>
      <c r="W75" s="46"/>
      <c r="X75" s="46"/>
      <c r="Y75" s="46"/>
      <c r="Z75" s="46"/>
      <c r="AA75" s="46"/>
      <c r="AB75" s="46"/>
      <c r="AC75" s="46"/>
      <c r="AD75" s="46"/>
      <c r="AE75" s="46"/>
    </row>
    <row r="76" ht="15.75" customHeight="1">
      <c r="A76" s="40" t="str">
        <f t="shared" si="1"/>
        <v/>
      </c>
      <c r="B76" s="40" t="str">
        <f t="shared" si="2"/>
        <v/>
      </c>
      <c r="C76" s="24"/>
      <c r="D76" s="23"/>
      <c r="E76" s="51"/>
      <c r="F76" s="51"/>
      <c r="G76" s="24"/>
      <c r="H76" s="40"/>
      <c r="I76" s="40" t="str">
        <f t="array" ref="I76">IF(G76="","",IFERROR(INDEX('Người sử dụng'!$H$5:$H$140,MATCH(G76,'Người sử dụng'!$C$5:$C$140,0)),"Chưa có trong DS"))</f>
        <v/>
      </c>
      <c r="J76" s="24"/>
      <c r="K76" s="24"/>
      <c r="L76" s="23"/>
      <c r="M76" s="24"/>
      <c r="N76" s="24"/>
      <c r="O76" s="24"/>
      <c r="P76" s="26"/>
      <c r="Q76" s="51"/>
      <c r="R76" s="46"/>
      <c r="S76" s="51"/>
      <c r="T76" s="46"/>
      <c r="U76" s="46"/>
      <c r="V76" s="46"/>
      <c r="W76" s="46"/>
      <c r="X76" s="46"/>
      <c r="Y76" s="46"/>
      <c r="Z76" s="46"/>
      <c r="AA76" s="46"/>
      <c r="AB76" s="46"/>
      <c r="AC76" s="46"/>
      <c r="AD76" s="46"/>
      <c r="AE76" s="46"/>
    </row>
    <row r="77" ht="15.75" customHeight="1">
      <c r="A77" s="40" t="str">
        <f t="shared" si="1"/>
        <v/>
      </c>
      <c r="B77" s="40" t="str">
        <f t="shared" si="2"/>
        <v/>
      </c>
      <c r="C77" s="24"/>
      <c r="D77" s="23"/>
      <c r="E77" s="51"/>
      <c r="F77" s="51"/>
      <c r="G77" s="24"/>
      <c r="H77" s="40"/>
      <c r="I77" s="40" t="str">
        <f t="array" ref="I77">IF(G77="","",IFERROR(INDEX('Người sử dụng'!$H$5:$H$140,MATCH(G77,'Người sử dụng'!$C$5:$C$140,0)),"Chưa có trong DS"))</f>
        <v/>
      </c>
      <c r="J77" s="24"/>
      <c r="K77" s="24"/>
      <c r="L77" s="23"/>
      <c r="M77" s="24"/>
      <c r="N77" s="24"/>
      <c r="O77" s="24"/>
      <c r="P77" s="26"/>
      <c r="Q77" s="51"/>
      <c r="R77" s="46"/>
      <c r="S77" s="51"/>
      <c r="T77" s="46"/>
      <c r="U77" s="46"/>
      <c r="V77" s="46"/>
      <c r="W77" s="46"/>
      <c r="X77" s="46"/>
      <c r="Y77" s="46"/>
      <c r="Z77" s="46"/>
      <c r="AA77" s="46"/>
      <c r="AB77" s="46"/>
      <c r="AC77" s="46"/>
      <c r="AD77" s="46"/>
      <c r="AE77" s="46"/>
    </row>
    <row r="78" ht="15.75" customHeight="1">
      <c r="A78" s="40" t="str">
        <f t="shared" si="1"/>
        <v/>
      </c>
      <c r="B78" s="40" t="str">
        <f t="shared" si="2"/>
        <v/>
      </c>
      <c r="C78" s="24"/>
      <c r="D78" s="23"/>
      <c r="E78" s="51"/>
      <c r="F78" s="51"/>
      <c r="G78" s="24"/>
      <c r="H78" s="40"/>
      <c r="I78" s="40" t="str">
        <f t="array" ref="I78">IF(G78="","",IFERROR(INDEX('Người sử dụng'!$H$5:$H$140,MATCH(G78,'Người sử dụng'!$C$5:$C$140,0)),"Chưa có trong DS"))</f>
        <v/>
      </c>
      <c r="J78" s="24"/>
      <c r="K78" s="24"/>
      <c r="L78" s="23"/>
      <c r="M78" s="24"/>
      <c r="N78" s="24"/>
      <c r="O78" s="24"/>
      <c r="P78" s="26"/>
      <c r="Q78" s="51"/>
      <c r="R78" s="46"/>
      <c r="S78" s="51"/>
      <c r="T78" s="46"/>
      <c r="U78" s="46"/>
      <c r="V78" s="46"/>
      <c r="W78" s="46"/>
      <c r="X78" s="46"/>
      <c r="Y78" s="46"/>
      <c r="Z78" s="46"/>
      <c r="AA78" s="46"/>
      <c r="AB78" s="46"/>
      <c r="AC78" s="46"/>
      <c r="AD78" s="46"/>
      <c r="AE78" s="46"/>
    </row>
    <row r="79" ht="15.75" customHeight="1">
      <c r="A79" s="40" t="str">
        <f t="shared" si="1"/>
        <v/>
      </c>
      <c r="B79" s="40" t="str">
        <f t="shared" si="2"/>
        <v/>
      </c>
      <c r="C79" s="24"/>
      <c r="D79" s="23"/>
      <c r="E79" s="51"/>
      <c r="F79" s="51"/>
      <c r="G79" s="24"/>
      <c r="H79" s="40"/>
      <c r="I79" s="40" t="str">
        <f t="array" ref="I79">IF(G79="","",IFERROR(INDEX('Người sử dụng'!$H$5:$H$140,MATCH(G79,'Người sử dụng'!$C$5:$C$140,0)),"Chưa có trong DS"))</f>
        <v/>
      </c>
      <c r="J79" s="24"/>
      <c r="K79" s="24"/>
      <c r="L79" s="23"/>
      <c r="M79" s="24"/>
      <c r="N79" s="24"/>
      <c r="O79" s="24"/>
      <c r="P79" s="26"/>
      <c r="Q79" s="51"/>
      <c r="R79" s="46"/>
      <c r="S79" s="51"/>
      <c r="T79" s="46"/>
      <c r="U79" s="46"/>
      <c r="V79" s="46"/>
      <c r="W79" s="46"/>
      <c r="X79" s="46"/>
      <c r="Y79" s="46"/>
      <c r="Z79" s="46"/>
      <c r="AA79" s="46"/>
      <c r="AB79" s="46"/>
      <c r="AC79" s="46"/>
      <c r="AD79" s="46"/>
      <c r="AE79" s="46"/>
    </row>
    <row r="80" ht="15.75" customHeight="1">
      <c r="A80" s="40" t="str">
        <f t="shared" si="1"/>
        <v/>
      </c>
      <c r="B80" s="40" t="str">
        <f t="shared" si="2"/>
        <v/>
      </c>
      <c r="C80" s="24"/>
      <c r="D80" s="23"/>
      <c r="E80" s="51"/>
      <c r="F80" s="51"/>
      <c r="G80" s="24"/>
      <c r="H80" s="40"/>
      <c r="I80" s="40" t="str">
        <f t="array" ref="I80">IF(G80="","",IFERROR(INDEX('Người sử dụng'!$H$5:$H$140,MATCH(G80,'Người sử dụng'!$C$5:$C$140,0)),"Chưa có trong DS"))</f>
        <v/>
      </c>
      <c r="J80" s="24"/>
      <c r="K80" s="24"/>
      <c r="L80" s="23"/>
      <c r="M80" s="24"/>
      <c r="N80" s="24"/>
      <c r="O80" s="24"/>
      <c r="P80" s="26"/>
      <c r="Q80" s="51"/>
      <c r="R80" s="46"/>
      <c r="S80" s="51"/>
      <c r="T80" s="46"/>
      <c r="U80" s="46"/>
      <c r="V80" s="46"/>
      <c r="W80" s="46"/>
      <c r="X80" s="46"/>
      <c r="Y80" s="46"/>
      <c r="Z80" s="46"/>
      <c r="AA80" s="46"/>
      <c r="AB80" s="46"/>
      <c r="AC80" s="46"/>
      <c r="AD80" s="46"/>
      <c r="AE80" s="46"/>
    </row>
    <row r="81" ht="15.75" customHeight="1">
      <c r="A81" s="40" t="str">
        <f t="shared" si="1"/>
        <v/>
      </c>
      <c r="B81" s="40" t="str">
        <f t="shared" si="2"/>
        <v/>
      </c>
      <c r="C81" s="24"/>
      <c r="D81" s="23"/>
      <c r="E81" s="51"/>
      <c r="F81" s="51"/>
      <c r="G81" s="24"/>
      <c r="H81" s="40"/>
      <c r="I81" s="40" t="str">
        <f t="array" ref="I81">IF(G81="","",IFERROR(INDEX('Người sử dụng'!$H$5:$H$140,MATCH(G81,'Người sử dụng'!$C$5:$C$140,0)),"Chưa có trong DS"))</f>
        <v/>
      </c>
      <c r="J81" s="24"/>
      <c r="K81" s="24"/>
      <c r="L81" s="23"/>
      <c r="M81" s="24"/>
      <c r="N81" s="24"/>
      <c r="O81" s="24"/>
      <c r="P81" s="26"/>
      <c r="Q81" s="51"/>
      <c r="R81" s="46"/>
      <c r="S81" s="51"/>
      <c r="T81" s="46"/>
      <c r="U81" s="46"/>
      <c r="V81" s="46"/>
      <c r="W81" s="46"/>
      <c r="X81" s="46"/>
      <c r="Y81" s="46"/>
      <c r="Z81" s="46"/>
      <c r="AA81" s="46"/>
      <c r="AB81" s="46"/>
      <c r="AC81" s="46"/>
      <c r="AD81" s="46"/>
      <c r="AE81" s="46"/>
    </row>
    <row r="82" ht="15.75" customHeight="1">
      <c r="A82" s="40" t="str">
        <f t="shared" si="1"/>
        <v/>
      </c>
      <c r="B82" s="40" t="str">
        <f t="shared" si="2"/>
        <v/>
      </c>
      <c r="C82" s="24"/>
      <c r="D82" s="23"/>
      <c r="E82" s="51"/>
      <c r="F82" s="51"/>
      <c r="G82" s="24"/>
      <c r="H82" s="40"/>
      <c r="I82" s="40" t="str">
        <f t="array" ref="I82">IF(G82="","",IFERROR(INDEX('Người sử dụng'!$H$5:$H$140,MATCH(G82,'Người sử dụng'!$C$5:$C$140,0)),"Chưa có trong DS"))</f>
        <v/>
      </c>
      <c r="J82" s="24"/>
      <c r="K82" s="24"/>
      <c r="L82" s="23"/>
      <c r="M82" s="24"/>
      <c r="N82" s="24"/>
      <c r="O82" s="24"/>
      <c r="P82" s="26"/>
      <c r="Q82" s="51"/>
      <c r="R82" s="46"/>
      <c r="S82" s="51"/>
      <c r="T82" s="46"/>
      <c r="U82" s="46"/>
      <c r="V82" s="46"/>
      <c r="W82" s="46"/>
      <c r="X82" s="46"/>
      <c r="Y82" s="46"/>
      <c r="Z82" s="46"/>
      <c r="AA82" s="46"/>
      <c r="AB82" s="46"/>
      <c r="AC82" s="46"/>
      <c r="AD82" s="46"/>
      <c r="AE82" s="46"/>
    </row>
    <row r="83" ht="15.75" customHeight="1">
      <c r="A83" s="40" t="str">
        <f t="shared" si="1"/>
        <v/>
      </c>
      <c r="B83" s="40" t="str">
        <f t="shared" si="2"/>
        <v/>
      </c>
      <c r="C83" s="24"/>
      <c r="D83" s="23"/>
      <c r="E83" s="51"/>
      <c r="F83" s="51"/>
      <c r="G83" s="24"/>
      <c r="H83" s="40"/>
      <c r="I83" s="40" t="str">
        <f t="array" ref="I83">IF(G83="","",IFERROR(INDEX('Người sử dụng'!$H$5:$H$140,MATCH(G83,'Người sử dụng'!$C$5:$C$140,0)),"Chưa có trong DS"))</f>
        <v/>
      </c>
      <c r="J83" s="24"/>
      <c r="K83" s="24"/>
      <c r="L83" s="23"/>
      <c r="M83" s="24"/>
      <c r="N83" s="24"/>
      <c r="O83" s="24"/>
      <c r="P83" s="26"/>
      <c r="Q83" s="51"/>
      <c r="R83" s="46"/>
      <c r="S83" s="51"/>
      <c r="T83" s="46"/>
      <c r="U83" s="46"/>
      <c r="V83" s="46"/>
      <c r="W83" s="46"/>
      <c r="X83" s="46"/>
      <c r="Y83" s="46"/>
      <c r="Z83" s="46"/>
      <c r="AA83" s="46"/>
      <c r="AB83" s="46"/>
      <c r="AC83" s="46"/>
      <c r="AD83" s="46"/>
      <c r="AE83" s="46"/>
    </row>
    <row r="84" ht="15.75" customHeight="1">
      <c r="A84" s="40" t="str">
        <f t="shared" si="1"/>
        <v/>
      </c>
      <c r="B84" s="40" t="str">
        <f t="shared" si="2"/>
        <v/>
      </c>
      <c r="C84" s="24"/>
      <c r="D84" s="23"/>
      <c r="E84" s="51"/>
      <c r="F84" s="51"/>
      <c r="G84" s="24"/>
      <c r="H84" s="40"/>
      <c r="I84" s="40" t="str">
        <f t="array" ref="I84">IF(G84="","",IFERROR(INDEX('Người sử dụng'!$H$5:$H$140,MATCH(G84,'Người sử dụng'!$C$5:$C$140,0)),"Chưa có trong DS"))</f>
        <v/>
      </c>
      <c r="J84" s="24"/>
      <c r="K84" s="24"/>
      <c r="L84" s="23"/>
      <c r="M84" s="24"/>
      <c r="N84" s="24"/>
      <c r="O84" s="24"/>
      <c r="P84" s="26"/>
      <c r="Q84" s="51"/>
      <c r="R84" s="46"/>
      <c r="S84" s="51"/>
      <c r="T84" s="46"/>
      <c r="U84" s="46"/>
      <c r="V84" s="46"/>
      <c r="W84" s="46"/>
      <c r="X84" s="46"/>
      <c r="Y84" s="46"/>
      <c r="Z84" s="46"/>
      <c r="AA84" s="46"/>
      <c r="AB84" s="46"/>
      <c r="AC84" s="46"/>
      <c r="AD84" s="46"/>
      <c r="AE84" s="46"/>
    </row>
    <row r="85" ht="15.75" customHeight="1">
      <c r="A85" s="40" t="str">
        <f t="shared" si="1"/>
        <v/>
      </c>
      <c r="B85" s="40" t="str">
        <f t="shared" si="2"/>
        <v/>
      </c>
      <c r="C85" s="24"/>
      <c r="D85" s="23"/>
      <c r="E85" s="51"/>
      <c r="F85" s="51"/>
      <c r="G85" s="24"/>
      <c r="H85" s="40"/>
      <c r="I85" s="40" t="str">
        <f t="array" ref="I85">IF(G85="","",IFERROR(INDEX('Người sử dụng'!$H$5:$H$140,MATCH(G85,'Người sử dụng'!$C$5:$C$140,0)),"Chưa có trong DS"))</f>
        <v/>
      </c>
      <c r="J85" s="24"/>
      <c r="K85" s="24"/>
      <c r="L85" s="23"/>
      <c r="M85" s="24"/>
      <c r="N85" s="24"/>
      <c r="O85" s="24"/>
      <c r="P85" s="26"/>
      <c r="Q85" s="51"/>
      <c r="R85" s="46"/>
      <c r="S85" s="51"/>
      <c r="T85" s="46"/>
      <c r="U85" s="46"/>
      <c r="V85" s="46"/>
      <c r="W85" s="46"/>
      <c r="X85" s="46"/>
      <c r="Y85" s="46"/>
      <c r="Z85" s="46"/>
      <c r="AA85" s="46"/>
      <c r="AB85" s="46"/>
      <c r="AC85" s="46"/>
      <c r="AD85" s="46"/>
      <c r="AE85" s="46"/>
    </row>
    <row r="86" ht="15.75" customHeight="1">
      <c r="A86" s="40" t="str">
        <f t="shared" si="1"/>
        <v/>
      </c>
      <c r="B86" s="40" t="str">
        <f t="shared" si="2"/>
        <v/>
      </c>
      <c r="C86" s="24"/>
      <c r="D86" s="23"/>
      <c r="E86" s="51"/>
      <c r="F86" s="51"/>
      <c r="G86" s="24"/>
      <c r="H86" s="40"/>
      <c r="I86" s="40" t="str">
        <f t="array" ref="I86">IF(G86="","",IFERROR(INDEX('Người sử dụng'!$H$5:$H$140,MATCH(G86,'Người sử dụng'!$C$5:$C$140,0)),"Chưa có trong DS"))</f>
        <v/>
      </c>
      <c r="J86" s="24"/>
      <c r="K86" s="24"/>
      <c r="L86" s="23"/>
      <c r="M86" s="24"/>
      <c r="N86" s="24"/>
      <c r="O86" s="24"/>
      <c r="P86" s="26"/>
      <c r="Q86" s="51"/>
      <c r="R86" s="46"/>
      <c r="S86" s="51"/>
      <c r="T86" s="46"/>
      <c r="U86" s="46"/>
      <c r="V86" s="46"/>
      <c r="W86" s="46"/>
      <c r="X86" s="46"/>
      <c r="Y86" s="46"/>
      <c r="Z86" s="46"/>
      <c r="AA86" s="46"/>
      <c r="AB86" s="46"/>
      <c r="AC86" s="46"/>
      <c r="AD86" s="46"/>
      <c r="AE86" s="46"/>
    </row>
    <row r="87" ht="15.75" customHeight="1">
      <c r="A87" s="40" t="str">
        <f t="shared" si="1"/>
        <v/>
      </c>
      <c r="B87" s="40" t="str">
        <f t="shared" si="2"/>
        <v/>
      </c>
      <c r="C87" s="24"/>
      <c r="D87" s="23"/>
      <c r="E87" s="51"/>
      <c r="F87" s="51"/>
      <c r="G87" s="24"/>
      <c r="H87" s="40"/>
      <c r="I87" s="40" t="str">
        <f t="array" ref="I87">IF(G87="","",IFERROR(INDEX('Người sử dụng'!$H$5:$H$140,MATCH(G87,'Người sử dụng'!$C$5:$C$140,0)),"Chưa có trong DS"))</f>
        <v/>
      </c>
      <c r="J87" s="24"/>
      <c r="K87" s="24"/>
      <c r="L87" s="23"/>
      <c r="M87" s="24"/>
      <c r="N87" s="24"/>
      <c r="O87" s="24"/>
      <c r="P87" s="26"/>
      <c r="Q87" s="51"/>
      <c r="R87" s="46"/>
      <c r="S87" s="51"/>
      <c r="T87" s="46"/>
      <c r="U87" s="46"/>
      <c r="V87" s="46"/>
      <c r="W87" s="46"/>
      <c r="X87" s="46"/>
      <c r="Y87" s="46"/>
      <c r="Z87" s="46"/>
      <c r="AA87" s="46"/>
      <c r="AB87" s="46"/>
      <c r="AC87" s="46"/>
      <c r="AD87" s="46"/>
      <c r="AE87" s="46"/>
    </row>
    <row r="88" ht="15.75" customHeight="1">
      <c r="A88" s="40" t="str">
        <f t="shared" si="1"/>
        <v/>
      </c>
      <c r="B88" s="40" t="str">
        <f t="shared" si="2"/>
        <v/>
      </c>
      <c r="C88" s="24"/>
      <c r="D88" s="23"/>
      <c r="E88" s="51"/>
      <c r="F88" s="51"/>
      <c r="G88" s="24"/>
      <c r="H88" s="40"/>
      <c r="I88" s="40" t="str">
        <f t="array" ref="I88">IF(G88="","",IFERROR(INDEX('Người sử dụng'!$H$5:$H$140,MATCH(G88,'Người sử dụng'!$C$5:$C$140,0)),"Chưa có trong DS"))</f>
        <v/>
      </c>
      <c r="J88" s="24"/>
      <c r="K88" s="24"/>
      <c r="L88" s="23"/>
      <c r="M88" s="24"/>
      <c r="N88" s="24"/>
      <c r="O88" s="24"/>
      <c r="P88" s="26"/>
      <c r="Q88" s="51"/>
      <c r="R88" s="46"/>
      <c r="S88" s="51"/>
      <c r="T88" s="46"/>
      <c r="U88" s="46"/>
      <c r="V88" s="46"/>
      <c r="W88" s="46"/>
      <c r="X88" s="46"/>
      <c r="Y88" s="46"/>
      <c r="Z88" s="46"/>
      <c r="AA88" s="46"/>
      <c r="AB88" s="46"/>
      <c r="AC88" s="46"/>
      <c r="AD88" s="46"/>
      <c r="AE88" s="46"/>
    </row>
    <row r="89" ht="15.75" customHeight="1">
      <c r="A89" s="40" t="str">
        <f t="shared" si="1"/>
        <v/>
      </c>
      <c r="B89" s="40" t="str">
        <f t="shared" si="2"/>
        <v/>
      </c>
      <c r="C89" s="24"/>
      <c r="D89" s="23"/>
      <c r="E89" s="51"/>
      <c r="F89" s="51"/>
      <c r="G89" s="24"/>
      <c r="H89" s="40"/>
      <c r="I89" s="40" t="str">
        <f t="array" ref="I89">IF(G89="","",IFERROR(INDEX('Người sử dụng'!$H$5:$H$140,MATCH(G89,'Người sử dụng'!$C$5:$C$140,0)),"Chưa có trong DS"))</f>
        <v/>
      </c>
      <c r="J89" s="24"/>
      <c r="K89" s="24"/>
      <c r="L89" s="23"/>
      <c r="M89" s="24"/>
      <c r="N89" s="24"/>
      <c r="O89" s="24"/>
      <c r="P89" s="26"/>
      <c r="Q89" s="51"/>
      <c r="R89" s="46"/>
      <c r="S89" s="51"/>
      <c r="T89" s="46"/>
      <c r="U89" s="46"/>
      <c r="V89" s="46"/>
      <c r="W89" s="46"/>
      <c r="X89" s="46"/>
      <c r="Y89" s="46"/>
      <c r="Z89" s="46"/>
      <c r="AA89" s="46"/>
      <c r="AB89" s="46"/>
      <c r="AC89" s="46"/>
      <c r="AD89" s="46"/>
      <c r="AE89" s="46"/>
    </row>
    <row r="90" ht="15.75" customHeight="1">
      <c r="A90" s="40" t="str">
        <f t="shared" si="1"/>
        <v/>
      </c>
      <c r="B90" s="40" t="str">
        <f t="shared" si="2"/>
        <v/>
      </c>
      <c r="C90" s="24"/>
      <c r="D90" s="23"/>
      <c r="E90" s="51"/>
      <c r="F90" s="51"/>
      <c r="G90" s="24"/>
      <c r="H90" s="40"/>
      <c r="I90" s="40" t="str">
        <f t="array" ref="I90">IF(G90="","",IFERROR(INDEX('Người sử dụng'!$H$5:$H$140,MATCH(G90,'Người sử dụng'!$C$5:$C$140,0)),"Chưa có trong DS"))</f>
        <v/>
      </c>
      <c r="J90" s="24"/>
      <c r="K90" s="24"/>
      <c r="L90" s="23"/>
      <c r="M90" s="24"/>
      <c r="N90" s="24"/>
      <c r="O90" s="24"/>
      <c r="P90" s="26"/>
      <c r="Q90" s="51"/>
      <c r="R90" s="46"/>
      <c r="S90" s="51"/>
      <c r="T90" s="46"/>
      <c r="U90" s="46"/>
      <c r="V90" s="46"/>
      <c r="W90" s="46"/>
      <c r="X90" s="46"/>
      <c r="Y90" s="46"/>
      <c r="Z90" s="46"/>
      <c r="AA90" s="46"/>
      <c r="AB90" s="46"/>
      <c r="AC90" s="46"/>
      <c r="AD90" s="46"/>
      <c r="AE90" s="46"/>
    </row>
    <row r="91" ht="15.75" customHeight="1">
      <c r="A91" s="40" t="str">
        <f t="shared" si="1"/>
        <v/>
      </c>
      <c r="B91" s="40" t="str">
        <f t="shared" si="2"/>
        <v/>
      </c>
      <c r="C91" s="24"/>
      <c r="D91" s="23"/>
      <c r="E91" s="51"/>
      <c r="F91" s="51"/>
      <c r="G91" s="24"/>
      <c r="H91" s="40"/>
      <c r="I91" s="40" t="str">
        <f t="array" ref="I91">IF(G91="","",IFERROR(INDEX('Người sử dụng'!$H$5:$H$140,MATCH(G91,'Người sử dụng'!$C$5:$C$140,0)),"Chưa có trong DS"))</f>
        <v/>
      </c>
      <c r="J91" s="24"/>
      <c r="K91" s="24"/>
      <c r="L91" s="23"/>
      <c r="M91" s="24"/>
      <c r="N91" s="24"/>
      <c r="O91" s="24"/>
      <c r="P91" s="26"/>
      <c r="Q91" s="51"/>
      <c r="R91" s="46"/>
      <c r="S91" s="51"/>
      <c r="T91" s="46"/>
      <c r="U91" s="46"/>
      <c r="V91" s="46"/>
      <c r="W91" s="46"/>
      <c r="X91" s="46"/>
      <c r="Y91" s="46"/>
      <c r="Z91" s="46"/>
      <c r="AA91" s="46"/>
      <c r="AB91" s="46"/>
      <c r="AC91" s="46"/>
      <c r="AD91" s="46"/>
      <c r="AE91" s="46"/>
    </row>
    <row r="92" ht="15.75" customHeight="1">
      <c r="A92" s="40" t="str">
        <f t="shared" si="1"/>
        <v/>
      </c>
      <c r="B92" s="40" t="str">
        <f t="shared" si="2"/>
        <v/>
      </c>
      <c r="C92" s="24"/>
      <c r="D92" s="23"/>
      <c r="E92" s="51"/>
      <c r="F92" s="51"/>
      <c r="G92" s="24"/>
      <c r="H92" s="40"/>
      <c r="I92" s="40" t="str">
        <f t="array" ref="I92">IF(G92="","",IFERROR(INDEX('Người sử dụng'!$H$5:$H$140,MATCH(G92,'Người sử dụng'!$C$5:$C$140,0)),"Chưa có trong DS"))</f>
        <v/>
      </c>
      <c r="J92" s="24"/>
      <c r="K92" s="24"/>
      <c r="L92" s="23"/>
      <c r="M92" s="24"/>
      <c r="N92" s="24"/>
      <c r="O92" s="24"/>
      <c r="P92" s="26"/>
      <c r="Q92" s="51"/>
      <c r="R92" s="46"/>
      <c r="S92" s="51"/>
      <c r="T92" s="46"/>
      <c r="U92" s="46"/>
      <c r="V92" s="46"/>
      <c r="W92" s="46"/>
      <c r="X92" s="46"/>
      <c r="Y92" s="46"/>
      <c r="Z92" s="46"/>
      <c r="AA92" s="46"/>
      <c r="AB92" s="46"/>
      <c r="AC92" s="46"/>
      <c r="AD92" s="46"/>
      <c r="AE92" s="46"/>
    </row>
    <row r="93" ht="15.75" customHeight="1">
      <c r="A93" s="40" t="str">
        <f t="shared" si="1"/>
        <v/>
      </c>
      <c r="B93" s="40" t="str">
        <f t="shared" si="2"/>
        <v/>
      </c>
      <c r="C93" s="24"/>
      <c r="D93" s="23"/>
      <c r="E93" s="51"/>
      <c r="F93" s="51"/>
      <c r="G93" s="24"/>
      <c r="H93" s="40"/>
      <c r="I93" s="40" t="str">
        <f t="array" ref="I93">IF(G93="","",IFERROR(INDEX('Người sử dụng'!$H$5:$H$140,MATCH(G93,'Người sử dụng'!$C$5:$C$140,0)),"Chưa có trong DS"))</f>
        <v/>
      </c>
      <c r="J93" s="24"/>
      <c r="K93" s="24"/>
      <c r="L93" s="23"/>
      <c r="M93" s="24"/>
      <c r="N93" s="24"/>
      <c r="O93" s="24"/>
      <c r="P93" s="26"/>
      <c r="Q93" s="51"/>
      <c r="R93" s="46"/>
      <c r="S93" s="51"/>
      <c r="T93" s="46"/>
      <c r="U93" s="46"/>
      <c r="V93" s="46"/>
      <c r="W93" s="46"/>
      <c r="X93" s="46"/>
      <c r="Y93" s="46"/>
      <c r="Z93" s="46"/>
      <c r="AA93" s="46"/>
      <c r="AB93" s="46"/>
      <c r="AC93" s="46"/>
      <c r="AD93" s="46"/>
      <c r="AE93" s="46"/>
    </row>
    <row r="94" ht="15.75" customHeight="1">
      <c r="A94" s="40" t="str">
        <f t="shared" si="1"/>
        <v/>
      </c>
      <c r="B94" s="40" t="str">
        <f t="shared" si="2"/>
        <v/>
      </c>
      <c r="C94" s="24"/>
      <c r="D94" s="23"/>
      <c r="E94" s="51"/>
      <c r="F94" s="51"/>
      <c r="G94" s="24"/>
      <c r="H94" s="40"/>
      <c r="I94" s="40" t="str">
        <f t="array" ref="I94">IF(G94="","",IFERROR(INDEX('Người sử dụng'!$H$5:$H$140,MATCH(G94,'Người sử dụng'!$C$5:$C$140,0)),"Chưa có trong DS"))</f>
        <v/>
      </c>
      <c r="J94" s="24"/>
      <c r="K94" s="24"/>
      <c r="L94" s="23"/>
      <c r="M94" s="24"/>
      <c r="N94" s="24"/>
      <c r="O94" s="24"/>
      <c r="P94" s="26"/>
      <c r="Q94" s="51"/>
      <c r="R94" s="46"/>
      <c r="S94" s="51"/>
      <c r="T94" s="46"/>
      <c r="U94" s="46"/>
      <c r="V94" s="46"/>
      <c r="W94" s="46"/>
      <c r="X94" s="46"/>
      <c r="Y94" s="46"/>
      <c r="Z94" s="46"/>
      <c r="AA94" s="46"/>
      <c r="AB94" s="46"/>
      <c r="AC94" s="46"/>
      <c r="AD94" s="46"/>
      <c r="AE94" s="46"/>
    </row>
    <row r="95" ht="15.75" customHeight="1">
      <c r="A95" s="40" t="str">
        <f t="shared" si="1"/>
        <v/>
      </c>
      <c r="B95" s="40" t="str">
        <f t="shared" si="2"/>
        <v/>
      </c>
      <c r="C95" s="24"/>
      <c r="D95" s="23"/>
      <c r="E95" s="51"/>
      <c r="F95" s="51"/>
      <c r="G95" s="24"/>
      <c r="H95" s="40"/>
      <c r="I95" s="40" t="str">
        <f t="array" ref="I95">IF(G95="","",IFERROR(INDEX('Người sử dụng'!$H$5:$H$140,MATCH(G95,'Người sử dụng'!$C$5:$C$140,0)),"Chưa có trong DS"))</f>
        <v/>
      </c>
      <c r="J95" s="24"/>
      <c r="K95" s="24"/>
      <c r="L95" s="23"/>
      <c r="M95" s="24"/>
      <c r="N95" s="24"/>
      <c r="O95" s="24"/>
      <c r="P95" s="26"/>
      <c r="Q95" s="51"/>
      <c r="R95" s="46"/>
      <c r="S95" s="51"/>
      <c r="T95" s="46"/>
      <c r="U95" s="46"/>
      <c r="V95" s="46"/>
      <c r="W95" s="46"/>
      <c r="X95" s="46"/>
      <c r="Y95" s="46"/>
      <c r="Z95" s="46"/>
      <c r="AA95" s="46"/>
      <c r="AB95" s="46"/>
      <c r="AC95" s="46"/>
      <c r="AD95" s="46"/>
      <c r="AE95" s="46"/>
    </row>
    <row r="96" ht="15.75" customHeight="1">
      <c r="A96" s="40" t="str">
        <f t="shared" si="1"/>
        <v/>
      </c>
      <c r="B96" s="40" t="str">
        <f t="shared" si="2"/>
        <v/>
      </c>
      <c r="C96" s="24"/>
      <c r="D96" s="23"/>
      <c r="E96" s="51"/>
      <c r="F96" s="51"/>
      <c r="G96" s="24"/>
      <c r="H96" s="40"/>
      <c r="I96" s="40" t="str">
        <f t="array" ref="I96">IF(G96="","",IFERROR(INDEX('Người sử dụng'!$H$5:$H$140,MATCH(G96,'Người sử dụng'!$C$5:$C$140,0)),"Chưa có trong DS"))</f>
        <v/>
      </c>
      <c r="J96" s="24"/>
      <c r="K96" s="24"/>
      <c r="L96" s="23"/>
      <c r="M96" s="24"/>
      <c r="N96" s="24"/>
      <c r="O96" s="24"/>
      <c r="P96" s="26"/>
      <c r="Q96" s="51"/>
      <c r="R96" s="46"/>
      <c r="S96" s="51"/>
      <c r="T96" s="46"/>
      <c r="U96" s="46"/>
      <c r="V96" s="46"/>
      <c r="W96" s="46"/>
      <c r="X96" s="46"/>
      <c r="Y96" s="46"/>
      <c r="Z96" s="46"/>
      <c r="AA96" s="46"/>
      <c r="AB96" s="46"/>
      <c r="AC96" s="46"/>
      <c r="AD96" s="46"/>
      <c r="AE96" s="46"/>
    </row>
    <row r="97" ht="15.75" customHeight="1">
      <c r="A97" s="40" t="str">
        <f t="shared" si="1"/>
        <v/>
      </c>
      <c r="B97" s="40" t="str">
        <f t="shared" si="2"/>
        <v/>
      </c>
      <c r="C97" s="24"/>
      <c r="D97" s="23"/>
      <c r="E97" s="51"/>
      <c r="F97" s="51"/>
      <c r="G97" s="24"/>
      <c r="H97" s="40"/>
      <c r="I97" s="40" t="str">
        <f t="array" ref="I97">IF(G97="","",IFERROR(INDEX('Người sử dụng'!$H$5:$H$140,MATCH(G97,'Người sử dụng'!$C$5:$C$140,0)),"Chưa có trong DS"))</f>
        <v/>
      </c>
      <c r="J97" s="24"/>
      <c r="K97" s="24"/>
      <c r="L97" s="23"/>
      <c r="M97" s="24"/>
      <c r="N97" s="24"/>
      <c r="O97" s="24"/>
      <c r="P97" s="26"/>
      <c r="Q97" s="51"/>
      <c r="R97" s="46"/>
      <c r="S97" s="51"/>
      <c r="T97" s="46"/>
      <c r="U97" s="46"/>
      <c r="V97" s="46"/>
      <c r="W97" s="46"/>
      <c r="X97" s="46"/>
      <c r="Y97" s="46"/>
      <c r="Z97" s="46"/>
      <c r="AA97" s="46"/>
      <c r="AB97" s="46"/>
      <c r="AC97" s="46"/>
      <c r="AD97" s="46"/>
      <c r="AE97" s="46"/>
    </row>
    <row r="98" ht="15.75" customHeight="1">
      <c r="A98" s="40" t="str">
        <f t="shared" si="1"/>
        <v/>
      </c>
      <c r="B98" s="40" t="str">
        <f t="shared" si="2"/>
        <v/>
      </c>
      <c r="C98" s="24"/>
      <c r="D98" s="23"/>
      <c r="E98" s="51"/>
      <c r="F98" s="51"/>
      <c r="G98" s="24"/>
      <c r="H98" s="40"/>
      <c r="I98" s="40" t="str">
        <f t="array" ref="I98">IF(G98="","",IFERROR(INDEX('Người sử dụng'!$H$5:$H$140,MATCH(G98,'Người sử dụng'!$C$5:$C$140,0)),"Chưa có trong DS"))</f>
        <v/>
      </c>
      <c r="J98" s="24"/>
      <c r="K98" s="24"/>
      <c r="L98" s="23"/>
      <c r="M98" s="24"/>
      <c r="N98" s="24"/>
      <c r="O98" s="24"/>
      <c r="P98" s="26"/>
      <c r="Q98" s="51"/>
      <c r="R98" s="46"/>
      <c r="S98" s="51"/>
      <c r="T98" s="46"/>
      <c r="U98" s="46"/>
      <c r="V98" s="46"/>
      <c r="W98" s="46"/>
      <c r="X98" s="46"/>
      <c r="Y98" s="46"/>
      <c r="Z98" s="46"/>
      <c r="AA98" s="46"/>
      <c r="AB98" s="46"/>
      <c r="AC98" s="46"/>
      <c r="AD98" s="46"/>
      <c r="AE98" s="46"/>
    </row>
    <row r="99" ht="15.75" customHeight="1">
      <c r="A99" s="40" t="str">
        <f t="shared" si="1"/>
        <v/>
      </c>
      <c r="B99" s="40" t="str">
        <f t="shared" si="2"/>
        <v/>
      </c>
      <c r="C99" s="24"/>
      <c r="D99" s="23"/>
      <c r="E99" s="51"/>
      <c r="F99" s="51"/>
      <c r="G99" s="24"/>
      <c r="H99" s="40"/>
      <c r="I99" s="40" t="str">
        <f t="array" ref="I99">IF(G99="","",IFERROR(INDEX('Người sử dụng'!$H$5:$H$140,MATCH(G99,'Người sử dụng'!$C$5:$C$140,0)),"Chưa có trong DS"))</f>
        <v/>
      </c>
      <c r="J99" s="24"/>
      <c r="K99" s="24"/>
      <c r="L99" s="23"/>
      <c r="M99" s="24"/>
      <c r="N99" s="24"/>
      <c r="O99" s="24"/>
      <c r="P99" s="26"/>
      <c r="Q99" s="51"/>
      <c r="R99" s="46"/>
      <c r="S99" s="51"/>
      <c r="T99" s="46"/>
      <c r="U99" s="46"/>
      <c r="V99" s="46"/>
      <c r="W99" s="46"/>
      <c r="X99" s="46"/>
      <c r="Y99" s="46"/>
      <c r="Z99" s="46"/>
      <c r="AA99" s="46"/>
      <c r="AB99" s="46"/>
      <c r="AC99" s="46"/>
      <c r="AD99" s="46"/>
      <c r="AE99" s="46"/>
    </row>
    <row r="100" ht="15.75" customHeight="1">
      <c r="A100" s="40" t="str">
        <f t="shared" si="1"/>
        <v/>
      </c>
      <c r="B100" s="40" t="str">
        <f t="shared" si="2"/>
        <v/>
      </c>
      <c r="C100" s="24"/>
      <c r="D100" s="23"/>
      <c r="E100" s="51"/>
      <c r="F100" s="51"/>
      <c r="G100" s="24"/>
      <c r="H100" s="40"/>
      <c r="I100" s="40" t="str">
        <f t="array" ref="I100">IF(G100="","",IFERROR(INDEX('Người sử dụng'!$H$5:$H$140,MATCH(G100,'Người sử dụng'!$C$5:$C$140,0)),"Chưa có trong DS"))</f>
        <v/>
      </c>
      <c r="J100" s="24"/>
      <c r="K100" s="24"/>
      <c r="L100" s="23"/>
      <c r="M100" s="24"/>
      <c r="N100" s="24"/>
      <c r="O100" s="24"/>
      <c r="P100" s="26"/>
      <c r="Q100" s="51"/>
      <c r="R100" s="46"/>
      <c r="S100" s="51"/>
      <c r="T100" s="46"/>
      <c r="U100" s="46"/>
      <c r="V100" s="46"/>
      <c r="W100" s="46"/>
      <c r="X100" s="46"/>
      <c r="Y100" s="46"/>
      <c r="Z100" s="46"/>
      <c r="AA100" s="46"/>
      <c r="AB100" s="46"/>
      <c r="AC100" s="46"/>
      <c r="AD100" s="46"/>
      <c r="AE100" s="46"/>
    </row>
    <row r="101" ht="15.75" customHeight="1">
      <c r="A101" s="40" t="str">
        <f t="shared" si="1"/>
        <v/>
      </c>
      <c r="B101" s="40" t="str">
        <f t="shared" si="2"/>
        <v/>
      </c>
      <c r="C101" s="24"/>
      <c r="D101" s="23"/>
      <c r="E101" s="51"/>
      <c r="F101" s="51"/>
      <c r="G101" s="24"/>
      <c r="H101" s="40"/>
      <c r="I101" s="40" t="str">
        <f t="array" ref="I101">IF(G101="","",IFERROR(INDEX('Người sử dụng'!$H$5:$H$140,MATCH(G101,'Người sử dụng'!$C$5:$C$140,0)),"Chưa có trong DS"))</f>
        <v/>
      </c>
      <c r="J101" s="24"/>
      <c r="K101" s="24"/>
      <c r="L101" s="23"/>
      <c r="M101" s="24"/>
      <c r="N101" s="24"/>
      <c r="O101" s="24"/>
      <c r="P101" s="26"/>
      <c r="Q101" s="51"/>
      <c r="R101" s="46"/>
      <c r="S101" s="51"/>
      <c r="T101" s="46"/>
      <c r="U101" s="46"/>
      <c r="V101" s="46"/>
      <c r="W101" s="46"/>
      <c r="X101" s="46"/>
      <c r="Y101" s="46"/>
      <c r="Z101" s="46"/>
      <c r="AA101" s="46"/>
      <c r="AB101" s="46"/>
      <c r="AC101" s="46"/>
      <c r="AD101" s="46"/>
      <c r="AE101" s="46"/>
    </row>
    <row r="102" ht="15.75" customHeight="1">
      <c r="A102" s="40" t="str">
        <f t="shared" si="1"/>
        <v/>
      </c>
      <c r="B102" s="40" t="str">
        <f t="shared" si="2"/>
        <v/>
      </c>
      <c r="C102" s="24"/>
      <c r="D102" s="23"/>
      <c r="E102" s="51"/>
      <c r="F102" s="51"/>
      <c r="G102" s="24"/>
      <c r="H102" s="40"/>
      <c r="I102" s="40" t="str">
        <f t="array" ref="I102">IF(G102="","",IFERROR(INDEX('Người sử dụng'!$H$5:$H$140,MATCH(G102,'Người sử dụng'!$C$5:$C$140,0)),"Chưa có trong DS"))</f>
        <v/>
      </c>
      <c r="J102" s="24"/>
      <c r="K102" s="24"/>
      <c r="L102" s="23"/>
      <c r="M102" s="24"/>
      <c r="N102" s="24"/>
      <c r="O102" s="24"/>
      <c r="P102" s="26"/>
      <c r="Q102" s="51"/>
      <c r="R102" s="46"/>
      <c r="S102" s="51"/>
      <c r="T102" s="46"/>
      <c r="U102" s="46"/>
      <c r="V102" s="46"/>
      <c r="W102" s="46"/>
      <c r="X102" s="46"/>
      <c r="Y102" s="46"/>
      <c r="Z102" s="46"/>
      <c r="AA102" s="46"/>
      <c r="AB102" s="46"/>
      <c r="AC102" s="46"/>
      <c r="AD102" s="46"/>
      <c r="AE102" s="46"/>
    </row>
    <row r="103" ht="15.75" customHeight="1">
      <c r="A103" s="40" t="str">
        <f t="shared" si="1"/>
        <v/>
      </c>
      <c r="B103" s="40" t="str">
        <f t="shared" si="2"/>
        <v/>
      </c>
      <c r="C103" s="24"/>
      <c r="D103" s="23"/>
      <c r="E103" s="51"/>
      <c r="F103" s="51"/>
      <c r="G103" s="24"/>
      <c r="H103" s="40"/>
      <c r="I103" s="40" t="str">
        <f t="array" ref="I103">IF(G103="","",IFERROR(INDEX('Người sử dụng'!$H$5:$H$140,MATCH(G103,'Người sử dụng'!$C$5:$C$140,0)),"Chưa có trong DS"))</f>
        <v/>
      </c>
      <c r="J103" s="24"/>
      <c r="K103" s="24"/>
      <c r="L103" s="23"/>
      <c r="M103" s="24"/>
      <c r="N103" s="24"/>
      <c r="O103" s="24"/>
      <c r="P103" s="26"/>
      <c r="Q103" s="51"/>
      <c r="R103" s="46"/>
      <c r="S103" s="51"/>
      <c r="T103" s="46"/>
      <c r="U103" s="46"/>
      <c r="V103" s="46"/>
      <c r="W103" s="46"/>
      <c r="X103" s="46"/>
      <c r="Y103" s="46"/>
      <c r="Z103" s="46"/>
      <c r="AA103" s="46"/>
      <c r="AB103" s="46"/>
      <c r="AC103" s="46"/>
      <c r="AD103" s="46"/>
      <c r="AE103" s="46"/>
    </row>
    <row r="104" ht="15.75" customHeight="1">
      <c r="A104" s="40" t="str">
        <f t="shared" si="1"/>
        <v/>
      </c>
      <c r="B104" s="40" t="str">
        <f t="shared" si="2"/>
        <v/>
      </c>
      <c r="C104" s="24"/>
      <c r="D104" s="23"/>
      <c r="E104" s="51"/>
      <c r="F104" s="51"/>
      <c r="G104" s="24"/>
      <c r="H104" s="40"/>
      <c r="I104" s="40" t="str">
        <f t="array" ref="I104">IF(G104="","",IFERROR(INDEX('Người sử dụng'!$H$5:$H$140,MATCH(G104,'Người sử dụng'!$C$5:$C$140,0)),"Chưa có trong DS"))</f>
        <v/>
      </c>
      <c r="J104" s="24"/>
      <c r="K104" s="24"/>
      <c r="L104" s="23"/>
      <c r="M104" s="24"/>
      <c r="N104" s="24"/>
      <c r="O104" s="24"/>
      <c r="P104" s="26"/>
      <c r="Q104" s="51"/>
      <c r="R104" s="46"/>
      <c r="S104" s="51"/>
      <c r="T104" s="46"/>
      <c r="U104" s="46"/>
      <c r="V104" s="46"/>
      <c r="W104" s="46"/>
      <c r="X104" s="46"/>
      <c r="Y104" s="46"/>
      <c r="Z104" s="46"/>
      <c r="AA104" s="46"/>
      <c r="AB104" s="46"/>
      <c r="AC104" s="46"/>
      <c r="AD104" s="46"/>
      <c r="AE104" s="46"/>
    </row>
    <row r="105" ht="15.75" customHeight="1">
      <c r="A105" s="40" t="str">
        <f t="shared" si="1"/>
        <v/>
      </c>
      <c r="B105" s="40" t="str">
        <f t="shared" si="2"/>
        <v/>
      </c>
      <c r="C105" s="24"/>
      <c r="D105" s="23"/>
      <c r="E105" s="51"/>
      <c r="F105" s="51"/>
      <c r="G105" s="24"/>
      <c r="H105" s="40"/>
      <c r="I105" s="40" t="str">
        <f t="array" ref="I105">IF(G105="","",IFERROR(INDEX('Người sử dụng'!$H$5:$H$140,MATCH(G105,'Người sử dụng'!$C$5:$C$140,0)),"Chưa có trong DS"))</f>
        <v/>
      </c>
      <c r="J105" s="24"/>
      <c r="K105" s="24"/>
      <c r="L105" s="23"/>
      <c r="M105" s="24"/>
      <c r="N105" s="24"/>
      <c r="O105" s="24"/>
      <c r="P105" s="26"/>
      <c r="Q105" s="51"/>
      <c r="R105" s="46"/>
      <c r="S105" s="51"/>
      <c r="T105" s="46"/>
      <c r="U105" s="46"/>
      <c r="V105" s="46"/>
      <c r="W105" s="46"/>
      <c r="X105" s="46"/>
      <c r="Y105" s="46"/>
      <c r="Z105" s="46"/>
      <c r="AA105" s="46"/>
      <c r="AB105" s="46"/>
      <c r="AC105" s="46"/>
      <c r="AD105" s="46"/>
      <c r="AE105" s="46"/>
    </row>
    <row r="106" ht="15.75" customHeight="1">
      <c r="A106" s="40" t="str">
        <f t="shared" si="1"/>
        <v/>
      </c>
      <c r="B106" s="40" t="str">
        <f t="shared" si="2"/>
        <v/>
      </c>
      <c r="C106" s="24"/>
      <c r="D106" s="23"/>
      <c r="E106" s="51"/>
      <c r="F106" s="51"/>
      <c r="G106" s="24"/>
      <c r="H106" s="40"/>
      <c r="I106" s="40" t="str">
        <f t="array" ref="I106">IF(G106="","",IFERROR(INDEX('Người sử dụng'!$H$5:$H$140,MATCH(G106,'Người sử dụng'!$C$5:$C$140,0)),"Chưa có trong DS"))</f>
        <v/>
      </c>
      <c r="J106" s="24"/>
      <c r="K106" s="24"/>
      <c r="L106" s="23"/>
      <c r="M106" s="24"/>
      <c r="N106" s="24"/>
      <c r="O106" s="24"/>
      <c r="P106" s="26"/>
      <c r="Q106" s="51"/>
      <c r="R106" s="46"/>
      <c r="S106" s="51"/>
      <c r="T106" s="46"/>
      <c r="U106" s="46"/>
      <c r="V106" s="46"/>
      <c r="W106" s="46"/>
      <c r="X106" s="46"/>
      <c r="Y106" s="46"/>
      <c r="Z106" s="46"/>
      <c r="AA106" s="46"/>
      <c r="AB106" s="46"/>
      <c r="AC106" s="46"/>
      <c r="AD106" s="46"/>
      <c r="AE106" s="46"/>
    </row>
    <row r="107" ht="15.75" customHeight="1">
      <c r="A107" s="40" t="str">
        <f t="shared" si="1"/>
        <v/>
      </c>
      <c r="B107" s="40" t="str">
        <f t="shared" si="2"/>
        <v/>
      </c>
      <c r="C107" s="24"/>
      <c r="D107" s="23"/>
      <c r="E107" s="51"/>
      <c r="F107" s="51"/>
      <c r="G107" s="24"/>
      <c r="H107" s="40"/>
      <c r="I107" s="40" t="str">
        <f t="array" ref="I107">IF(G107="","",IFERROR(INDEX('Người sử dụng'!$H$5:$H$140,MATCH(G107,'Người sử dụng'!$C$5:$C$140,0)),"Chưa có trong DS"))</f>
        <v/>
      </c>
      <c r="J107" s="24"/>
      <c r="K107" s="24"/>
      <c r="L107" s="23"/>
      <c r="M107" s="24"/>
      <c r="N107" s="24"/>
      <c r="O107" s="24"/>
      <c r="P107" s="26"/>
      <c r="Q107" s="51"/>
      <c r="R107" s="46"/>
      <c r="S107" s="51"/>
      <c r="T107" s="46"/>
      <c r="U107" s="46"/>
      <c r="V107" s="46"/>
      <c r="W107" s="46"/>
      <c r="X107" s="46"/>
      <c r="Y107" s="46"/>
      <c r="Z107" s="46"/>
      <c r="AA107" s="46"/>
      <c r="AB107" s="46"/>
      <c r="AC107" s="46"/>
      <c r="AD107" s="46"/>
      <c r="AE107" s="46"/>
    </row>
    <row r="108" ht="15.75" customHeight="1">
      <c r="A108" s="40" t="str">
        <f t="shared" si="1"/>
        <v/>
      </c>
      <c r="B108" s="40" t="str">
        <f t="shared" si="2"/>
        <v/>
      </c>
      <c r="C108" s="24"/>
      <c r="D108" s="23"/>
      <c r="E108" s="51"/>
      <c r="F108" s="51"/>
      <c r="G108" s="24"/>
      <c r="H108" s="40"/>
      <c r="I108" s="40" t="str">
        <f t="array" ref="I108">IF(G108="","",IFERROR(INDEX('Người sử dụng'!$H$5:$H$140,MATCH(G108,'Người sử dụng'!$C$5:$C$140,0)),"Chưa có trong DS"))</f>
        <v/>
      </c>
      <c r="J108" s="24"/>
      <c r="K108" s="24"/>
      <c r="L108" s="23"/>
      <c r="M108" s="24"/>
      <c r="N108" s="24"/>
      <c r="O108" s="24"/>
      <c r="P108" s="26"/>
      <c r="Q108" s="51"/>
      <c r="R108" s="46"/>
      <c r="S108" s="51"/>
      <c r="T108" s="46"/>
      <c r="U108" s="46"/>
      <c r="V108" s="46"/>
      <c r="W108" s="46"/>
      <c r="X108" s="46"/>
      <c r="Y108" s="46"/>
      <c r="Z108" s="46"/>
      <c r="AA108" s="46"/>
      <c r="AB108" s="46"/>
      <c r="AC108" s="46"/>
      <c r="AD108" s="46"/>
      <c r="AE108" s="46"/>
    </row>
    <row r="109" ht="15.75" customHeight="1">
      <c r="A109" s="40" t="str">
        <f t="shared" si="1"/>
        <v/>
      </c>
      <c r="B109" s="40" t="str">
        <f t="shared" si="2"/>
        <v/>
      </c>
      <c r="C109" s="24"/>
      <c r="D109" s="23"/>
      <c r="E109" s="51"/>
      <c r="F109" s="51"/>
      <c r="G109" s="24"/>
      <c r="H109" s="40"/>
      <c r="I109" s="40" t="str">
        <f t="array" ref="I109">IF(G109="","",IFERROR(INDEX('Người sử dụng'!$H$5:$H$140,MATCH(G109,'Người sử dụng'!$C$5:$C$140,0)),"Chưa có trong DS"))</f>
        <v/>
      </c>
      <c r="J109" s="24"/>
      <c r="K109" s="24"/>
      <c r="L109" s="23"/>
      <c r="M109" s="24"/>
      <c r="N109" s="24"/>
      <c r="O109" s="24"/>
      <c r="P109" s="26"/>
      <c r="Q109" s="51"/>
      <c r="R109" s="46"/>
      <c r="S109" s="51"/>
      <c r="T109" s="46"/>
      <c r="U109" s="46"/>
      <c r="V109" s="46"/>
      <c r="W109" s="46"/>
      <c r="X109" s="46"/>
      <c r="Y109" s="46"/>
      <c r="Z109" s="46"/>
      <c r="AA109" s="46"/>
      <c r="AB109" s="46"/>
      <c r="AC109" s="46"/>
      <c r="AD109" s="46"/>
      <c r="AE109" s="46"/>
    </row>
    <row r="110" ht="15.75" customHeight="1">
      <c r="A110" s="40" t="str">
        <f t="shared" si="1"/>
        <v/>
      </c>
      <c r="B110" s="40" t="str">
        <f t="shared" si="2"/>
        <v/>
      </c>
      <c r="C110" s="24"/>
      <c r="D110" s="23"/>
      <c r="E110" s="51"/>
      <c r="F110" s="51"/>
      <c r="G110" s="24"/>
      <c r="H110" s="40"/>
      <c r="I110" s="40" t="str">
        <f t="array" ref="I110">IF(G110="","",IFERROR(INDEX('Người sử dụng'!$H$5:$H$140,MATCH(G110,'Người sử dụng'!$C$5:$C$140,0)),"Chưa có trong DS"))</f>
        <v/>
      </c>
      <c r="J110" s="24"/>
      <c r="K110" s="24"/>
      <c r="L110" s="23"/>
      <c r="M110" s="24"/>
      <c r="N110" s="24"/>
      <c r="O110" s="24"/>
      <c r="P110" s="26"/>
      <c r="Q110" s="51"/>
      <c r="R110" s="46"/>
      <c r="S110" s="51"/>
      <c r="T110" s="46"/>
      <c r="U110" s="46"/>
      <c r="V110" s="46"/>
      <c r="W110" s="46"/>
      <c r="X110" s="46"/>
      <c r="Y110" s="46"/>
      <c r="Z110" s="46"/>
      <c r="AA110" s="46"/>
      <c r="AB110" s="46"/>
      <c r="AC110" s="46"/>
      <c r="AD110" s="46"/>
      <c r="AE110" s="46"/>
    </row>
    <row r="111" ht="15.75" customHeight="1">
      <c r="A111" s="40" t="str">
        <f t="shared" si="1"/>
        <v/>
      </c>
      <c r="B111" s="40" t="str">
        <f t="shared" si="2"/>
        <v/>
      </c>
      <c r="C111" s="24"/>
      <c r="D111" s="23"/>
      <c r="E111" s="51"/>
      <c r="F111" s="51"/>
      <c r="G111" s="24"/>
      <c r="H111" s="40"/>
      <c r="I111" s="40" t="str">
        <f t="array" ref="I111">IF(G111="","",IFERROR(INDEX('Người sử dụng'!$H$5:$H$140,MATCH(G111,'Người sử dụng'!$C$5:$C$140,0)),"Chưa có trong DS"))</f>
        <v/>
      </c>
      <c r="J111" s="24"/>
      <c r="K111" s="24"/>
      <c r="L111" s="23"/>
      <c r="M111" s="24"/>
      <c r="N111" s="24"/>
      <c r="O111" s="24"/>
      <c r="P111" s="26"/>
      <c r="Q111" s="51"/>
      <c r="R111" s="46"/>
      <c r="S111" s="51"/>
      <c r="T111" s="46"/>
      <c r="U111" s="46"/>
      <c r="V111" s="46"/>
      <c r="W111" s="46"/>
      <c r="X111" s="46"/>
      <c r="Y111" s="46"/>
      <c r="Z111" s="46"/>
      <c r="AA111" s="46"/>
      <c r="AB111" s="46"/>
      <c r="AC111" s="46"/>
      <c r="AD111" s="46"/>
      <c r="AE111" s="46"/>
    </row>
    <row r="112" ht="15.75" customHeight="1">
      <c r="A112" s="40" t="str">
        <f t="shared" si="1"/>
        <v/>
      </c>
      <c r="B112" s="40" t="str">
        <f t="shared" si="2"/>
        <v/>
      </c>
      <c r="C112" s="24"/>
      <c r="D112" s="23"/>
      <c r="E112" s="51"/>
      <c r="F112" s="51"/>
      <c r="G112" s="24"/>
      <c r="H112" s="40"/>
      <c r="I112" s="40" t="str">
        <f t="array" ref="I112">IF(G112="","",IFERROR(INDEX('Người sử dụng'!$H$5:$H$140,MATCH(G112,'Người sử dụng'!$C$5:$C$140,0)),"Chưa có trong DS"))</f>
        <v/>
      </c>
      <c r="J112" s="24"/>
      <c r="K112" s="24"/>
      <c r="L112" s="23"/>
      <c r="M112" s="24"/>
      <c r="N112" s="24"/>
      <c r="O112" s="24"/>
      <c r="P112" s="26"/>
      <c r="Q112" s="51"/>
      <c r="R112" s="46"/>
      <c r="S112" s="51"/>
      <c r="T112" s="46"/>
      <c r="U112" s="46"/>
      <c r="V112" s="46"/>
      <c r="W112" s="46"/>
      <c r="X112" s="46"/>
      <c r="Y112" s="46"/>
      <c r="Z112" s="46"/>
      <c r="AA112" s="46"/>
      <c r="AB112" s="46"/>
      <c r="AC112" s="46"/>
      <c r="AD112" s="46"/>
      <c r="AE112" s="46"/>
    </row>
    <row r="113" ht="15.75" customHeight="1">
      <c r="A113" s="40" t="str">
        <f t="shared" si="1"/>
        <v/>
      </c>
      <c r="B113" s="40" t="str">
        <f t="shared" si="2"/>
        <v/>
      </c>
      <c r="C113" s="24"/>
      <c r="D113" s="23"/>
      <c r="E113" s="51"/>
      <c r="F113" s="51"/>
      <c r="G113" s="24"/>
      <c r="H113" s="40"/>
      <c r="I113" s="40" t="str">
        <f t="array" ref="I113">IF(G113="","",IFERROR(INDEX('Người sử dụng'!$H$5:$H$140,MATCH(G113,'Người sử dụng'!$C$5:$C$140,0)),"Chưa có trong DS"))</f>
        <v/>
      </c>
      <c r="J113" s="24"/>
      <c r="K113" s="24"/>
      <c r="L113" s="23"/>
      <c r="M113" s="24"/>
      <c r="N113" s="24"/>
      <c r="O113" s="24"/>
      <c r="P113" s="26"/>
      <c r="Q113" s="51"/>
      <c r="R113" s="46"/>
      <c r="S113" s="51"/>
      <c r="T113" s="46"/>
      <c r="U113" s="46"/>
      <c r="V113" s="46"/>
      <c r="W113" s="46"/>
      <c r="X113" s="46"/>
      <c r="Y113" s="46"/>
      <c r="Z113" s="46"/>
      <c r="AA113" s="46"/>
      <c r="AB113" s="46"/>
      <c r="AC113" s="46"/>
      <c r="AD113" s="46"/>
      <c r="AE113" s="46"/>
    </row>
    <row r="114" ht="15.75" customHeight="1">
      <c r="A114" s="40" t="str">
        <f t="shared" si="1"/>
        <v/>
      </c>
      <c r="B114" s="40" t="str">
        <f t="shared" si="2"/>
        <v/>
      </c>
      <c r="C114" s="24"/>
      <c r="D114" s="23"/>
      <c r="E114" s="51"/>
      <c r="F114" s="51"/>
      <c r="G114" s="24"/>
      <c r="H114" s="40"/>
      <c r="I114" s="40" t="str">
        <f t="array" ref="I114">IF(G114="","",IFERROR(INDEX('Người sử dụng'!$H$5:$H$140,MATCH(G114,'Người sử dụng'!$C$5:$C$140,0)),"Chưa có trong DS"))</f>
        <v/>
      </c>
      <c r="J114" s="24"/>
      <c r="K114" s="24"/>
      <c r="L114" s="23"/>
      <c r="M114" s="24"/>
      <c r="N114" s="24"/>
      <c r="O114" s="24"/>
      <c r="P114" s="26"/>
      <c r="Q114" s="51"/>
      <c r="R114" s="46"/>
      <c r="S114" s="51"/>
      <c r="T114" s="46"/>
      <c r="U114" s="46"/>
      <c r="V114" s="46"/>
      <c r="W114" s="46"/>
      <c r="X114" s="46"/>
      <c r="Y114" s="46"/>
      <c r="Z114" s="46"/>
      <c r="AA114" s="46"/>
      <c r="AB114" s="46"/>
      <c r="AC114" s="46"/>
      <c r="AD114" s="46"/>
      <c r="AE114" s="46"/>
    </row>
    <row r="115" ht="15.75" customHeight="1">
      <c r="A115" s="40" t="str">
        <f t="shared" si="1"/>
        <v/>
      </c>
      <c r="B115" s="40" t="str">
        <f t="shared" si="2"/>
        <v/>
      </c>
      <c r="C115" s="24"/>
      <c r="D115" s="23"/>
      <c r="E115" s="51"/>
      <c r="F115" s="51"/>
      <c r="G115" s="24"/>
      <c r="H115" s="40"/>
      <c r="I115" s="40" t="str">
        <f t="array" ref="I115">IF(G115="","",IFERROR(INDEX('Người sử dụng'!$H$5:$H$140,MATCH(G115,'Người sử dụng'!$C$5:$C$140,0)),"Chưa có trong DS"))</f>
        <v/>
      </c>
      <c r="J115" s="24"/>
      <c r="K115" s="24"/>
      <c r="L115" s="23"/>
      <c r="M115" s="24"/>
      <c r="N115" s="24"/>
      <c r="O115" s="24"/>
      <c r="P115" s="26"/>
      <c r="Q115" s="51"/>
      <c r="R115" s="46"/>
      <c r="S115" s="51"/>
      <c r="T115" s="46"/>
      <c r="U115" s="46"/>
      <c r="V115" s="46"/>
      <c r="W115" s="46"/>
      <c r="X115" s="46"/>
      <c r="Y115" s="46"/>
      <c r="Z115" s="46"/>
      <c r="AA115" s="46"/>
      <c r="AB115" s="46"/>
      <c r="AC115" s="46"/>
      <c r="AD115" s="46"/>
      <c r="AE115" s="46"/>
    </row>
    <row r="116" ht="15.75" customHeight="1">
      <c r="A116" s="40" t="str">
        <f t="shared" si="1"/>
        <v/>
      </c>
      <c r="B116" s="40" t="str">
        <f t="shared" si="2"/>
        <v/>
      </c>
      <c r="C116" s="24"/>
      <c r="D116" s="23"/>
      <c r="E116" s="51"/>
      <c r="F116" s="51"/>
      <c r="G116" s="24"/>
      <c r="H116" s="40"/>
      <c r="I116" s="40" t="str">
        <f t="array" ref="I116">IF(G116="","",IFERROR(INDEX('Người sử dụng'!$H$5:$H$140,MATCH(G116,'Người sử dụng'!$C$5:$C$140,0)),"Chưa có trong DS"))</f>
        <v/>
      </c>
      <c r="J116" s="24"/>
      <c r="K116" s="24"/>
      <c r="L116" s="23"/>
      <c r="M116" s="24"/>
      <c r="N116" s="24"/>
      <c r="O116" s="24"/>
      <c r="P116" s="26"/>
      <c r="Q116" s="51"/>
      <c r="R116" s="46"/>
      <c r="S116" s="51"/>
      <c r="T116" s="46"/>
      <c r="U116" s="46"/>
      <c r="V116" s="46"/>
      <c r="W116" s="46"/>
      <c r="X116" s="46"/>
      <c r="Y116" s="46"/>
      <c r="Z116" s="46"/>
      <c r="AA116" s="46"/>
      <c r="AB116" s="46"/>
      <c r="AC116" s="46"/>
      <c r="AD116" s="46"/>
      <c r="AE116" s="46"/>
    </row>
    <row r="117" ht="15.75" customHeight="1">
      <c r="A117" s="40" t="str">
        <f t="shared" si="1"/>
        <v/>
      </c>
      <c r="B117" s="40" t="str">
        <f t="shared" si="2"/>
        <v/>
      </c>
      <c r="C117" s="24"/>
      <c r="D117" s="23"/>
      <c r="E117" s="51"/>
      <c r="F117" s="51"/>
      <c r="G117" s="24"/>
      <c r="H117" s="40"/>
      <c r="I117" s="40" t="str">
        <f t="array" ref="I117">IF(G117="","",IFERROR(INDEX('Người sử dụng'!$H$5:$H$140,MATCH(G117,'Người sử dụng'!$C$5:$C$140,0)),"Chưa có trong DS"))</f>
        <v/>
      </c>
      <c r="J117" s="24"/>
      <c r="K117" s="24"/>
      <c r="L117" s="23"/>
      <c r="M117" s="24"/>
      <c r="N117" s="24"/>
      <c r="O117" s="24"/>
      <c r="P117" s="26"/>
      <c r="Q117" s="51"/>
      <c r="R117" s="46"/>
      <c r="S117" s="51"/>
      <c r="T117" s="46"/>
      <c r="U117" s="46"/>
      <c r="V117" s="46"/>
      <c r="W117" s="46"/>
      <c r="X117" s="46"/>
      <c r="Y117" s="46"/>
      <c r="Z117" s="46"/>
      <c r="AA117" s="46"/>
      <c r="AB117" s="46"/>
      <c r="AC117" s="46"/>
      <c r="AD117" s="46"/>
      <c r="AE117" s="46"/>
    </row>
    <row r="118" ht="15.75" customHeight="1">
      <c r="A118" s="40" t="str">
        <f t="shared" si="1"/>
        <v/>
      </c>
      <c r="B118" s="40" t="str">
        <f t="shared" si="2"/>
        <v/>
      </c>
      <c r="C118" s="24"/>
      <c r="D118" s="23"/>
      <c r="E118" s="51"/>
      <c r="F118" s="51"/>
      <c r="G118" s="24"/>
      <c r="H118" s="40"/>
      <c r="I118" s="40" t="str">
        <f t="array" ref="I118">IF(G118="","",IFERROR(INDEX('Người sử dụng'!$H$5:$H$140,MATCH(G118,'Người sử dụng'!$C$5:$C$140,0)),"Chưa có trong DS"))</f>
        <v/>
      </c>
      <c r="J118" s="24"/>
      <c r="K118" s="24"/>
      <c r="L118" s="23"/>
      <c r="M118" s="24"/>
      <c r="N118" s="24"/>
      <c r="O118" s="24"/>
      <c r="P118" s="26"/>
      <c r="Q118" s="51"/>
      <c r="R118" s="46"/>
      <c r="S118" s="51"/>
      <c r="T118" s="46"/>
      <c r="U118" s="46"/>
      <c r="V118" s="46"/>
      <c r="W118" s="46"/>
      <c r="X118" s="46"/>
      <c r="Y118" s="46"/>
      <c r="Z118" s="46"/>
      <c r="AA118" s="46"/>
      <c r="AB118" s="46"/>
      <c r="AC118" s="46"/>
      <c r="AD118" s="46"/>
      <c r="AE118" s="46"/>
    </row>
    <row r="119" ht="15.75" customHeight="1">
      <c r="A119" s="40" t="str">
        <f t="shared" si="1"/>
        <v/>
      </c>
      <c r="B119" s="40" t="str">
        <f t="shared" si="2"/>
        <v/>
      </c>
      <c r="C119" s="24"/>
      <c r="D119" s="23"/>
      <c r="E119" s="51"/>
      <c r="F119" s="51"/>
      <c r="G119" s="24"/>
      <c r="H119" s="40"/>
      <c r="I119" s="40" t="str">
        <f t="array" ref="I119">IF(G119="","",IFERROR(INDEX('Người sử dụng'!$H$5:$H$140,MATCH(G119,'Người sử dụng'!$C$5:$C$140,0)),"Chưa có trong DS"))</f>
        <v/>
      </c>
      <c r="J119" s="24"/>
      <c r="K119" s="24"/>
      <c r="L119" s="23"/>
      <c r="M119" s="24"/>
      <c r="N119" s="24"/>
      <c r="O119" s="24"/>
      <c r="P119" s="26"/>
      <c r="Q119" s="51"/>
      <c r="R119" s="46"/>
      <c r="S119" s="51"/>
      <c r="T119" s="46"/>
      <c r="U119" s="46"/>
      <c r="V119" s="46"/>
      <c r="W119" s="46"/>
      <c r="X119" s="46"/>
      <c r="Y119" s="46"/>
      <c r="Z119" s="46"/>
      <c r="AA119" s="46"/>
      <c r="AB119" s="46"/>
      <c r="AC119" s="46"/>
      <c r="AD119" s="46"/>
      <c r="AE119" s="46"/>
    </row>
    <row r="120" ht="15.75" customHeight="1">
      <c r="A120" s="40" t="str">
        <f t="shared" si="1"/>
        <v/>
      </c>
      <c r="B120" s="40" t="str">
        <f t="shared" si="2"/>
        <v/>
      </c>
      <c r="C120" s="24"/>
      <c r="D120" s="23"/>
      <c r="E120" s="51"/>
      <c r="F120" s="51"/>
      <c r="G120" s="24"/>
      <c r="H120" s="40"/>
      <c r="I120" s="40" t="str">
        <f t="array" ref="I120">IF(G120="","",IFERROR(INDEX('Người sử dụng'!$H$5:$H$140,MATCH(G120,'Người sử dụng'!$C$5:$C$140,0)),"Chưa có trong DS"))</f>
        <v/>
      </c>
      <c r="J120" s="24"/>
      <c r="K120" s="24"/>
      <c r="L120" s="23"/>
      <c r="M120" s="24"/>
      <c r="N120" s="24"/>
      <c r="O120" s="24"/>
      <c r="P120" s="26"/>
      <c r="Q120" s="51"/>
      <c r="R120" s="46"/>
      <c r="S120" s="51"/>
      <c r="T120" s="46"/>
      <c r="U120" s="46"/>
      <c r="V120" s="46"/>
      <c r="W120" s="46"/>
      <c r="X120" s="46"/>
      <c r="Y120" s="46"/>
      <c r="Z120" s="46"/>
      <c r="AA120" s="46"/>
      <c r="AB120" s="46"/>
      <c r="AC120" s="46"/>
      <c r="AD120" s="46"/>
      <c r="AE120" s="46"/>
    </row>
    <row r="121" ht="15.75" customHeight="1">
      <c r="A121" s="40" t="str">
        <f t="shared" si="1"/>
        <v/>
      </c>
      <c r="B121" s="40" t="str">
        <f t="shared" si="2"/>
        <v/>
      </c>
      <c r="C121" s="24"/>
      <c r="D121" s="23"/>
      <c r="E121" s="51"/>
      <c r="F121" s="51"/>
      <c r="G121" s="24"/>
      <c r="H121" s="40"/>
      <c r="I121" s="40" t="str">
        <f t="array" ref="I121">IF(G121="","",IFERROR(INDEX('Người sử dụng'!$H$5:$H$140,MATCH(G121,'Người sử dụng'!$C$5:$C$140,0)),"Chưa có trong DS"))</f>
        <v/>
      </c>
      <c r="J121" s="24"/>
      <c r="K121" s="24"/>
      <c r="L121" s="23"/>
      <c r="M121" s="24"/>
      <c r="N121" s="24"/>
      <c r="O121" s="24"/>
      <c r="P121" s="26"/>
      <c r="Q121" s="51"/>
      <c r="R121" s="46"/>
      <c r="S121" s="51"/>
      <c r="T121" s="46"/>
      <c r="U121" s="46"/>
      <c r="V121" s="46"/>
      <c r="W121" s="46"/>
      <c r="X121" s="46"/>
      <c r="Y121" s="46"/>
      <c r="Z121" s="46"/>
      <c r="AA121" s="46"/>
      <c r="AB121" s="46"/>
      <c r="AC121" s="46"/>
      <c r="AD121" s="46"/>
      <c r="AE121" s="46"/>
    </row>
    <row r="122" ht="15.75" customHeight="1">
      <c r="A122" s="40" t="str">
        <f t="shared" si="1"/>
        <v/>
      </c>
      <c r="B122" s="40" t="str">
        <f t="shared" si="2"/>
        <v/>
      </c>
      <c r="C122" s="24"/>
      <c r="D122" s="23"/>
      <c r="E122" s="51"/>
      <c r="F122" s="51"/>
      <c r="G122" s="24"/>
      <c r="H122" s="40"/>
      <c r="I122" s="40" t="str">
        <f t="array" ref="I122">IF(G122="","",IFERROR(INDEX('Người sử dụng'!$H$5:$H$140,MATCH(G122,'Người sử dụng'!$C$5:$C$140,0)),"Chưa có trong DS"))</f>
        <v/>
      </c>
      <c r="J122" s="24"/>
      <c r="K122" s="24"/>
      <c r="L122" s="23"/>
      <c r="M122" s="24"/>
      <c r="N122" s="24"/>
      <c r="O122" s="24"/>
      <c r="P122" s="26"/>
      <c r="Q122" s="51"/>
      <c r="R122" s="46"/>
      <c r="S122" s="51"/>
      <c r="T122" s="46"/>
      <c r="U122" s="46"/>
      <c r="V122" s="46"/>
      <c r="W122" s="46"/>
      <c r="X122" s="46"/>
      <c r="Y122" s="46"/>
      <c r="Z122" s="46"/>
      <c r="AA122" s="46"/>
      <c r="AB122" s="46"/>
      <c r="AC122" s="46"/>
      <c r="AD122" s="46"/>
      <c r="AE122" s="46"/>
    </row>
    <row r="123" ht="15.75" customHeight="1">
      <c r="A123" s="40" t="str">
        <f t="shared" si="1"/>
        <v/>
      </c>
      <c r="B123" s="40" t="str">
        <f t="shared" si="2"/>
        <v/>
      </c>
      <c r="C123" s="24"/>
      <c r="D123" s="23"/>
      <c r="E123" s="51"/>
      <c r="F123" s="51"/>
      <c r="G123" s="24"/>
      <c r="H123" s="40"/>
      <c r="I123" s="40" t="str">
        <f t="array" ref="I123">IF(G123="","",IFERROR(INDEX('Người sử dụng'!$H$5:$H$140,MATCH(G123,'Người sử dụng'!$C$5:$C$140,0)),"Chưa có trong DS"))</f>
        <v/>
      </c>
      <c r="J123" s="24"/>
      <c r="K123" s="24"/>
      <c r="L123" s="23"/>
      <c r="M123" s="24"/>
      <c r="N123" s="24"/>
      <c r="O123" s="24"/>
      <c r="P123" s="26"/>
      <c r="Q123" s="51"/>
      <c r="R123" s="46"/>
      <c r="S123" s="51"/>
      <c r="T123" s="46"/>
      <c r="U123" s="46"/>
      <c r="V123" s="46"/>
      <c r="W123" s="46"/>
      <c r="X123" s="46"/>
      <c r="Y123" s="46"/>
      <c r="Z123" s="46"/>
      <c r="AA123" s="46"/>
      <c r="AB123" s="46"/>
      <c r="AC123" s="46"/>
      <c r="AD123" s="46"/>
      <c r="AE123" s="46"/>
    </row>
    <row r="124" ht="15.75" customHeight="1">
      <c r="A124" s="40" t="str">
        <f t="shared" si="1"/>
        <v/>
      </c>
      <c r="B124" s="40" t="str">
        <f t="shared" si="2"/>
        <v/>
      </c>
      <c r="C124" s="24"/>
      <c r="D124" s="23"/>
      <c r="E124" s="51"/>
      <c r="F124" s="51"/>
      <c r="G124" s="24"/>
      <c r="H124" s="40"/>
      <c r="I124" s="40" t="str">
        <f t="array" ref="I124">IF(G124="","",IFERROR(INDEX('Người sử dụng'!$H$5:$H$140,MATCH(G124,'Người sử dụng'!$C$5:$C$140,0)),"Chưa có trong DS"))</f>
        <v/>
      </c>
      <c r="J124" s="24"/>
      <c r="K124" s="24"/>
      <c r="L124" s="23"/>
      <c r="M124" s="24"/>
      <c r="N124" s="24"/>
      <c r="O124" s="24"/>
      <c r="P124" s="26"/>
      <c r="Q124" s="51"/>
      <c r="R124" s="46"/>
      <c r="S124" s="51"/>
      <c r="T124" s="46"/>
      <c r="U124" s="46"/>
      <c r="V124" s="46"/>
      <c r="W124" s="46"/>
      <c r="X124" s="46"/>
      <c r="Y124" s="46"/>
      <c r="Z124" s="46"/>
      <c r="AA124" s="46"/>
      <c r="AB124" s="46"/>
      <c r="AC124" s="46"/>
      <c r="AD124" s="46"/>
      <c r="AE124" s="46"/>
    </row>
    <row r="125" ht="15.75" customHeight="1">
      <c r="A125" s="40" t="str">
        <f t="shared" si="1"/>
        <v/>
      </c>
      <c r="B125" s="40" t="str">
        <f t="shared" si="2"/>
        <v/>
      </c>
      <c r="C125" s="24"/>
      <c r="D125" s="23"/>
      <c r="E125" s="51"/>
      <c r="F125" s="51"/>
      <c r="G125" s="24"/>
      <c r="H125" s="40"/>
      <c r="I125" s="40" t="str">
        <f t="array" ref="I125">IF(G125="","",IFERROR(INDEX('Người sử dụng'!$H$5:$H$140,MATCH(G125,'Người sử dụng'!$C$5:$C$140,0)),"Chưa có trong DS"))</f>
        <v/>
      </c>
      <c r="J125" s="24"/>
      <c r="K125" s="24"/>
      <c r="L125" s="23"/>
      <c r="M125" s="24"/>
      <c r="N125" s="24"/>
      <c r="O125" s="24"/>
      <c r="P125" s="26"/>
      <c r="Q125" s="51"/>
      <c r="R125" s="46"/>
      <c r="S125" s="51"/>
      <c r="T125" s="46"/>
      <c r="U125" s="46"/>
      <c r="V125" s="46"/>
      <c r="W125" s="46"/>
      <c r="X125" s="46"/>
      <c r="Y125" s="46"/>
      <c r="Z125" s="46"/>
      <c r="AA125" s="46"/>
      <c r="AB125" s="46"/>
      <c r="AC125" s="46"/>
      <c r="AD125" s="46"/>
      <c r="AE125" s="46"/>
    </row>
    <row r="126" ht="15.75" customHeight="1">
      <c r="A126" s="40" t="str">
        <f t="shared" si="1"/>
        <v/>
      </c>
      <c r="B126" s="40" t="str">
        <f t="shared" si="2"/>
        <v/>
      </c>
      <c r="C126" s="24"/>
      <c r="D126" s="23"/>
      <c r="E126" s="51"/>
      <c r="F126" s="51"/>
      <c r="G126" s="24"/>
      <c r="H126" s="40"/>
      <c r="I126" s="40" t="str">
        <f t="array" ref="I126">IF(G126="","",IFERROR(INDEX('Người sử dụng'!$H$5:$H$140,MATCH(G126,'Người sử dụng'!$C$5:$C$140,0)),"Chưa có trong DS"))</f>
        <v/>
      </c>
      <c r="J126" s="24"/>
      <c r="K126" s="24"/>
      <c r="L126" s="23"/>
      <c r="M126" s="24"/>
      <c r="N126" s="24"/>
      <c r="O126" s="24"/>
      <c r="P126" s="26"/>
      <c r="Q126" s="51"/>
      <c r="R126" s="46"/>
      <c r="S126" s="51"/>
      <c r="T126" s="46"/>
      <c r="U126" s="46"/>
      <c r="V126" s="46"/>
      <c r="W126" s="46"/>
      <c r="X126" s="46"/>
      <c r="Y126" s="46"/>
      <c r="Z126" s="46"/>
      <c r="AA126" s="46"/>
      <c r="AB126" s="46"/>
      <c r="AC126" s="46"/>
      <c r="AD126" s="46"/>
      <c r="AE126" s="46"/>
    </row>
    <row r="127" ht="15.75" customHeight="1">
      <c r="A127" s="40" t="str">
        <f t="shared" si="1"/>
        <v/>
      </c>
      <c r="B127" s="40" t="str">
        <f t="shared" si="2"/>
        <v/>
      </c>
      <c r="C127" s="24"/>
      <c r="D127" s="23"/>
      <c r="E127" s="51"/>
      <c r="F127" s="51"/>
      <c r="G127" s="24"/>
      <c r="H127" s="40"/>
      <c r="I127" s="40" t="str">
        <f t="array" ref="I127">IF(G127="","",IFERROR(INDEX('Người sử dụng'!$H$5:$H$140,MATCH(G127,'Người sử dụng'!$C$5:$C$140,0)),"Chưa có trong DS"))</f>
        <v/>
      </c>
      <c r="J127" s="24"/>
      <c r="K127" s="24"/>
      <c r="L127" s="23"/>
      <c r="M127" s="24"/>
      <c r="N127" s="24"/>
      <c r="O127" s="24"/>
      <c r="P127" s="26"/>
      <c r="Q127" s="51"/>
      <c r="R127" s="46"/>
      <c r="S127" s="51"/>
      <c r="T127" s="46"/>
      <c r="U127" s="46"/>
      <c r="V127" s="46"/>
      <c r="W127" s="46"/>
      <c r="X127" s="46"/>
      <c r="Y127" s="46"/>
      <c r="Z127" s="46"/>
      <c r="AA127" s="46"/>
      <c r="AB127" s="46"/>
      <c r="AC127" s="46"/>
      <c r="AD127" s="46"/>
      <c r="AE127" s="46"/>
    </row>
    <row r="128" ht="15.75" customHeight="1">
      <c r="A128" s="40" t="str">
        <f t="shared" si="1"/>
        <v/>
      </c>
      <c r="B128" s="40" t="str">
        <f t="shared" si="2"/>
        <v/>
      </c>
      <c r="C128" s="24"/>
      <c r="D128" s="23"/>
      <c r="E128" s="51"/>
      <c r="F128" s="51"/>
      <c r="G128" s="24"/>
      <c r="H128" s="40"/>
      <c r="I128" s="40" t="str">
        <f t="array" ref="I128">IF(G128="","",IFERROR(INDEX('Người sử dụng'!$H$5:$H$140,MATCH(G128,'Người sử dụng'!$C$5:$C$140,0)),"Chưa có trong DS"))</f>
        <v/>
      </c>
      <c r="J128" s="24"/>
      <c r="K128" s="24"/>
      <c r="L128" s="23"/>
      <c r="M128" s="24"/>
      <c r="N128" s="24"/>
      <c r="O128" s="24"/>
      <c r="P128" s="26"/>
      <c r="Q128" s="51"/>
      <c r="R128" s="46"/>
      <c r="S128" s="51"/>
      <c r="T128" s="46"/>
      <c r="U128" s="46"/>
      <c r="V128" s="46"/>
      <c r="W128" s="46"/>
      <c r="X128" s="46"/>
      <c r="Y128" s="46"/>
      <c r="Z128" s="46"/>
      <c r="AA128" s="46"/>
      <c r="AB128" s="46"/>
      <c r="AC128" s="46"/>
      <c r="AD128" s="46"/>
      <c r="AE128" s="46"/>
    </row>
    <row r="129" ht="15.75" customHeight="1">
      <c r="A129" s="40" t="str">
        <f t="shared" si="1"/>
        <v/>
      </c>
      <c r="B129" s="40" t="str">
        <f t="shared" si="2"/>
        <v/>
      </c>
      <c r="C129" s="24"/>
      <c r="D129" s="23"/>
      <c r="E129" s="51"/>
      <c r="F129" s="51"/>
      <c r="G129" s="24"/>
      <c r="H129" s="40"/>
      <c r="I129" s="40" t="str">
        <f t="array" ref="I129">IF(G129="","",IFERROR(INDEX('Người sử dụng'!$H$5:$H$140,MATCH(G129,'Người sử dụng'!$C$5:$C$140,0)),"Chưa có trong DS"))</f>
        <v/>
      </c>
      <c r="J129" s="24"/>
      <c r="K129" s="24"/>
      <c r="L129" s="23"/>
      <c r="M129" s="24"/>
      <c r="N129" s="24"/>
      <c r="O129" s="24"/>
      <c r="P129" s="26"/>
      <c r="Q129" s="51"/>
      <c r="R129" s="46"/>
      <c r="S129" s="51"/>
      <c r="T129" s="46"/>
      <c r="U129" s="46"/>
      <c r="V129" s="46"/>
      <c r="W129" s="46"/>
      <c r="X129" s="46"/>
      <c r="Y129" s="46"/>
      <c r="Z129" s="46"/>
      <c r="AA129" s="46"/>
      <c r="AB129" s="46"/>
      <c r="AC129" s="46"/>
      <c r="AD129" s="46"/>
      <c r="AE129" s="46"/>
    </row>
    <row r="130" ht="15.75" customHeight="1">
      <c r="A130" s="40" t="str">
        <f t="shared" si="1"/>
        <v/>
      </c>
      <c r="B130" s="40" t="str">
        <f t="shared" si="2"/>
        <v/>
      </c>
      <c r="C130" s="24"/>
      <c r="D130" s="23"/>
      <c r="E130" s="51"/>
      <c r="F130" s="51"/>
      <c r="G130" s="24"/>
      <c r="H130" s="40"/>
      <c r="I130" s="40" t="str">
        <f t="array" ref="I130">IF(G130="","",IFERROR(INDEX('Người sử dụng'!$H$5:$H$140,MATCH(G130,'Người sử dụng'!$C$5:$C$140,0)),"Chưa có trong DS"))</f>
        <v/>
      </c>
      <c r="J130" s="24"/>
      <c r="K130" s="24"/>
      <c r="L130" s="23"/>
      <c r="M130" s="24"/>
      <c r="N130" s="24"/>
      <c r="O130" s="24"/>
      <c r="P130" s="26"/>
      <c r="Q130" s="51"/>
      <c r="R130" s="46"/>
      <c r="S130" s="51"/>
      <c r="T130" s="46"/>
      <c r="U130" s="46"/>
      <c r="V130" s="46"/>
      <c r="W130" s="46"/>
      <c r="X130" s="46"/>
      <c r="Y130" s="46"/>
      <c r="Z130" s="46"/>
      <c r="AA130" s="46"/>
      <c r="AB130" s="46"/>
      <c r="AC130" s="46"/>
      <c r="AD130" s="46"/>
      <c r="AE130" s="46"/>
    </row>
    <row r="131" ht="15.75" customHeight="1">
      <c r="A131" s="40" t="str">
        <f t="shared" si="1"/>
        <v/>
      </c>
      <c r="B131" s="40" t="str">
        <f t="shared" si="2"/>
        <v/>
      </c>
      <c r="C131" s="24"/>
      <c r="D131" s="23"/>
      <c r="E131" s="51"/>
      <c r="F131" s="51"/>
      <c r="G131" s="24"/>
      <c r="H131" s="40"/>
      <c r="I131" s="40" t="str">
        <f t="array" ref="I131">IF(G131="","",IFERROR(INDEX('Người sử dụng'!$H$5:$H$140,MATCH(G131,'Người sử dụng'!$C$5:$C$140,0)),"Chưa có trong DS"))</f>
        <v/>
      </c>
      <c r="J131" s="24"/>
      <c r="K131" s="24"/>
      <c r="L131" s="23"/>
      <c r="M131" s="24"/>
      <c r="N131" s="24"/>
      <c r="O131" s="24"/>
      <c r="P131" s="26"/>
      <c r="Q131" s="51"/>
      <c r="R131" s="46"/>
      <c r="S131" s="51"/>
      <c r="T131" s="46"/>
      <c r="U131" s="46"/>
      <c r="V131" s="46"/>
      <c r="W131" s="46"/>
      <c r="X131" s="46"/>
      <c r="Y131" s="46"/>
      <c r="Z131" s="46"/>
      <c r="AA131" s="46"/>
      <c r="AB131" s="46"/>
      <c r="AC131" s="46"/>
      <c r="AD131" s="46"/>
      <c r="AE131" s="46"/>
    </row>
    <row r="132" ht="15.75" customHeight="1">
      <c r="A132" s="40" t="str">
        <f t="shared" si="1"/>
        <v/>
      </c>
      <c r="B132" s="40" t="str">
        <f t="shared" si="2"/>
        <v/>
      </c>
      <c r="C132" s="24"/>
      <c r="D132" s="23"/>
      <c r="E132" s="51"/>
      <c r="F132" s="51"/>
      <c r="G132" s="24"/>
      <c r="H132" s="40"/>
      <c r="I132" s="40" t="str">
        <f t="array" ref="I132">IF(G132="","",IFERROR(INDEX('Người sử dụng'!$H$5:$H$140,MATCH(G132,'Người sử dụng'!$C$5:$C$140,0)),"Chưa có trong DS"))</f>
        <v/>
      </c>
      <c r="J132" s="24"/>
      <c r="K132" s="24"/>
      <c r="L132" s="23"/>
      <c r="M132" s="24"/>
      <c r="N132" s="24"/>
      <c r="O132" s="24"/>
      <c r="P132" s="26"/>
      <c r="Q132" s="51"/>
      <c r="R132" s="46"/>
      <c r="S132" s="51"/>
      <c r="T132" s="46"/>
      <c r="U132" s="46"/>
      <c r="V132" s="46"/>
      <c r="W132" s="46"/>
      <c r="X132" s="46"/>
      <c r="Y132" s="46"/>
      <c r="Z132" s="46"/>
      <c r="AA132" s="46"/>
      <c r="AB132" s="46"/>
      <c r="AC132" s="46"/>
      <c r="AD132" s="46"/>
      <c r="AE132" s="46"/>
    </row>
    <row r="133" ht="15.75" customHeight="1">
      <c r="A133" s="40" t="str">
        <f t="shared" si="1"/>
        <v/>
      </c>
      <c r="B133" s="40" t="str">
        <f t="shared" si="2"/>
        <v/>
      </c>
      <c r="C133" s="24"/>
      <c r="D133" s="23"/>
      <c r="E133" s="51"/>
      <c r="F133" s="51"/>
      <c r="G133" s="24"/>
      <c r="H133" s="40"/>
      <c r="I133" s="40" t="str">
        <f t="array" ref="I133">IF(G133="","",IFERROR(INDEX('Người sử dụng'!$H$5:$H$140,MATCH(G133,'Người sử dụng'!$C$5:$C$140,0)),"Chưa có trong DS"))</f>
        <v/>
      </c>
      <c r="J133" s="24"/>
      <c r="K133" s="24"/>
      <c r="L133" s="23"/>
      <c r="M133" s="24"/>
      <c r="N133" s="24"/>
      <c r="O133" s="24"/>
      <c r="P133" s="26"/>
      <c r="Q133" s="51"/>
      <c r="R133" s="46"/>
      <c r="S133" s="51"/>
      <c r="T133" s="46"/>
      <c r="U133" s="46"/>
      <c r="V133" s="46"/>
      <c r="W133" s="46"/>
      <c r="X133" s="46"/>
      <c r="Y133" s="46"/>
      <c r="Z133" s="46"/>
      <c r="AA133" s="46"/>
      <c r="AB133" s="46"/>
      <c r="AC133" s="46"/>
      <c r="AD133" s="46"/>
      <c r="AE133" s="46"/>
    </row>
    <row r="134" ht="15.75" customHeight="1">
      <c r="A134" s="40" t="str">
        <f t="shared" si="1"/>
        <v/>
      </c>
      <c r="B134" s="40" t="str">
        <f t="shared" si="2"/>
        <v/>
      </c>
      <c r="C134" s="24"/>
      <c r="D134" s="23"/>
      <c r="E134" s="51"/>
      <c r="F134" s="51"/>
      <c r="G134" s="24"/>
      <c r="H134" s="40"/>
      <c r="I134" s="40" t="str">
        <f t="array" ref="I134">IF(G134="","",IFERROR(INDEX('Người sử dụng'!$H$5:$H$140,MATCH(G134,'Người sử dụng'!$C$5:$C$140,0)),"Chưa có trong DS"))</f>
        <v/>
      </c>
      <c r="J134" s="24"/>
      <c r="K134" s="24"/>
      <c r="L134" s="23"/>
      <c r="M134" s="24"/>
      <c r="N134" s="24"/>
      <c r="O134" s="24"/>
      <c r="P134" s="26"/>
      <c r="Q134" s="51"/>
      <c r="R134" s="46"/>
      <c r="S134" s="51"/>
      <c r="T134" s="46"/>
      <c r="U134" s="46"/>
      <c r="V134" s="46"/>
      <c r="W134" s="46"/>
      <c r="X134" s="46"/>
      <c r="Y134" s="46"/>
      <c r="Z134" s="46"/>
      <c r="AA134" s="46"/>
      <c r="AB134" s="46"/>
      <c r="AC134" s="46"/>
      <c r="AD134" s="46"/>
      <c r="AE134" s="46"/>
    </row>
    <row r="135" ht="15.75" customHeight="1">
      <c r="A135" s="40" t="str">
        <f t="shared" si="1"/>
        <v/>
      </c>
      <c r="B135" s="40" t="str">
        <f t="shared" si="2"/>
        <v/>
      </c>
      <c r="C135" s="24"/>
      <c r="D135" s="23"/>
      <c r="E135" s="51"/>
      <c r="F135" s="51"/>
      <c r="G135" s="24"/>
      <c r="H135" s="40"/>
      <c r="I135" s="40" t="str">
        <f t="array" ref="I135">IF(G135="","",IFERROR(INDEX('Người sử dụng'!$H$5:$H$140,MATCH(G135,'Người sử dụng'!$C$5:$C$140,0)),"Chưa có trong DS"))</f>
        <v/>
      </c>
      <c r="J135" s="24"/>
      <c r="K135" s="24"/>
      <c r="L135" s="23"/>
      <c r="M135" s="24"/>
      <c r="N135" s="24"/>
      <c r="O135" s="24"/>
      <c r="P135" s="26"/>
      <c r="Q135" s="51"/>
      <c r="R135" s="46"/>
      <c r="S135" s="51"/>
      <c r="T135" s="46"/>
      <c r="U135" s="46"/>
      <c r="V135" s="46"/>
      <c r="W135" s="46"/>
      <c r="X135" s="46"/>
      <c r="Y135" s="46"/>
      <c r="Z135" s="46"/>
      <c r="AA135" s="46"/>
      <c r="AB135" s="46"/>
      <c r="AC135" s="46"/>
      <c r="AD135" s="46"/>
      <c r="AE135" s="46"/>
    </row>
    <row r="136" ht="15.75" customHeight="1">
      <c r="A136" s="40" t="str">
        <f t="shared" si="1"/>
        <v/>
      </c>
      <c r="B136" s="40" t="str">
        <f t="shared" si="2"/>
        <v/>
      </c>
      <c r="C136" s="24"/>
      <c r="D136" s="23"/>
      <c r="E136" s="51"/>
      <c r="F136" s="51"/>
      <c r="G136" s="24"/>
      <c r="H136" s="40"/>
      <c r="I136" s="40" t="str">
        <f t="array" ref="I136">IF(G136="","",IFERROR(INDEX('Người sử dụng'!$H$5:$H$140,MATCH(G136,'Người sử dụng'!$C$5:$C$140,0)),"Chưa có trong DS"))</f>
        <v/>
      </c>
      <c r="J136" s="24"/>
      <c r="K136" s="24"/>
      <c r="L136" s="23"/>
      <c r="M136" s="24"/>
      <c r="N136" s="24"/>
      <c r="O136" s="24"/>
      <c r="P136" s="26"/>
      <c r="Q136" s="51"/>
      <c r="R136" s="46"/>
      <c r="S136" s="51"/>
      <c r="T136" s="46"/>
      <c r="U136" s="46"/>
      <c r="V136" s="46"/>
      <c r="W136" s="46"/>
      <c r="X136" s="46"/>
      <c r="Y136" s="46"/>
      <c r="Z136" s="46"/>
      <c r="AA136" s="46"/>
      <c r="AB136" s="46"/>
      <c r="AC136" s="46"/>
      <c r="AD136" s="46"/>
      <c r="AE136" s="46"/>
    </row>
    <row r="137" ht="15.75" customHeight="1">
      <c r="A137" s="40" t="str">
        <f t="shared" si="1"/>
        <v/>
      </c>
      <c r="B137" s="40" t="str">
        <f t="shared" si="2"/>
        <v/>
      </c>
      <c r="C137" s="24"/>
      <c r="D137" s="23"/>
      <c r="E137" s="51"/>
      <c r="F137" s="51"/>
      <c r="G137" s="24"/>
      <c r="H137" s="40"/>
      <c r="I137" s="40" t="str">
        <f t="array" ref="I137">IF(G137="","",IFERROR(INDEX('Người sử dụng'!$H$5:$H$140,MATCH(G137,'Người sử dụng'!$C$5:$C$140,0)),"Chưa có trong DS"))</f>
        <v/>
      </c>
      <c r="J137" s="24"/>
      <c r="K137" s="24"/>
      <c r="L137" s="23"/>
      <c r="M137" s="24"/>
      <c r="N137" s="24"/>
      <c r="O137" s="24"/>
      <c r="P137" s="26"/>
      <c r="Q137" s="51"/>
      <c r="R137" s="46"/>
      <c r="S137" s="51"/>
      <c r="T137" s="46"/>
      <c r="U137" s="46"/>
      <c r="V137" s="46"/>
      <c r="W137" s="46"/>
      <c r="X137" s="46"/>
      <c r="Y137" s="46"/>
      <c r="Z137" s="46"/>
      <c r="AA137" s="46"/>
      <c r="AB137" s="46"/>
      <c r="AC137" s="46"/>
      <c r="AD137" s="46"/>
      <c r="AE137" s="46"/>
    </row>
    <row r="138" ht="15.75" customHeight="1">
      <c r="A138" s="40" t="str">
        <f t="shared" si="1"/>
        <v/>
      </c>
      <c r="B138" s="40" t="str">
        <f t="shared" si="2"/>
        <v/>
      </c>
      <c r="C138" s="24"/>
      <c r="D138" s="23"/>
      <c r="E138" s="51"/>
      <c r="F138" s="51"/>
      <c r="G138" s="24"/>
      <c r="H138" s="40"/>
      <c r="I138" s="40" t="str">
        <f t="array" ref="I138">IF(G138="","",IFERROR(INDEX('Người sử dụng'!$H$5:$H$140,MATCH(G138,'Người sử dụng'!$C$5:$C$140,0)),"Chưa có trong DS"))</f>
        <v/>
      </c>
      <c r="J138" s="24"/>
      <c r="K138" s="24"/>
      <c r="L138" s="23"/>
      <c r="M138" s="24"/>
      <c r="N138" s="24"/>
      <c r="O138" s="24"/>
      <c r="P138" s="26"/>
      <c r="Q138" s="51"/>
      <c r="R138" s="46"/>
      <c r="S138" s="51"/>
      <c r="T138" s="46"/>
      <c r="U138" s="46"/>
      <c r="V138" s="46"/>
      <c r="W138" s="46"/>
      <c r="X138" s="46"/>
      <c r="Y138" s="46"/>
      <c r="Z138" s="46"/>
      <c r="AA138" s="46"/>
      <c r="AB138" s="46"/>
      <c r="AC138" s="46"/>
      <c r="AD138" s="46"/>
      <c r="AE138" s="46"/>
    </row>
    <row r="139" ht="15.75" customHeight="1">
      <c r="A139" s="40" t="str">
        <f t="shared" si="1"/>
        <v/>
      </c>
      <c r="B139" s="40" t="str">
        <f t="shared" si="2"/>
        <v/>
      </c>
      <c r="C139" s="24"/>
      <c r="D139" s="23"/>
      <c r="E139" s="51"/>
      <c r="F139" s="51"/>
      <c r="G139" s="24"/>
      <c r="H139" s="40"/>
      <c r="I139" s="40" t="str">
        <f t="array" ref="I139">IF(G139="","",IFERROR(INDEX('Người sử dụng'!$H$5:$H$140,MATCH(G139,'Người sử dụng'!$C$5:$C$140,0)),"Chưa có trong DS"))</f>
        <v/>
      </c>
      <c r="J139" s="24"/>
      <c r="K139" s="24"/>
      <c r="L139" s="23"/>
      <c r="M139" s="24"/>
      <c r="N139" s="24"/>
      <c r="O139" s="24"/>
      <c r="P139" s="26"/>
      <c r="Q139" s="51"/>
      <c r="R139" s="46"/>
      <c r="S139" s="51"/>
      <c r="T139" s="46"/>
      <c r="U139" s="46"/>
      <c r="V139" s="46"/>
      <c r="W139" s="46"/>
      <c r="X139" s="46"/>
      <c r="Y139" s="46"/>
      <c r="Z139" s="46"/>
      <c r="AA139" s="46"/>
      <c r="AB139" s="46"/>
      <c r="AC139" s="46"/>
      <c r="AD139" s="46"/>
      <c r="AE139" s="46"/>
    </row>
    <row r="140" ht="15.75" customHeight="1">
      <c r="A140" s="40" t="str">
        <f t="shared" si="1"/>
        <v/>
      </c>
      <c r="B140" s="40" t="str">
        <f t="shared" si="2"/>
        <v/>
      </c>
      <c r="C140" s="24"/>
      <c r="D140" s="23"/>
      <c r="E140" s="51"/>
      <c r="F140" s="51"/>
      <c r="G140" s="24"/>
      <c r="H140" s="40"/>
      <c r="I140" s="40" t="str">
        <f t="array" ref="I140">IF(G140="","",IFERROR(INDEX('Người sử dụng'!$H$5:$H$140,MATCH(G140,'Người sử dụng'!$C$5:$C$140,0)),"Chưa có trong DS"))</f>
        <v/>
      </c>
      <c r="J140" s="24"/>
      <c r="K140" s="24"/>
      <c r="L140" s="23"/>
      <c r="M140" s="24"/>
      <c r="N140" s="24"/>
      <c r="O140" s="24"/>
      <c r="P140" s="26"/>
      <c r="Q140" s="51"/>
      <c r="R140" s="46"/>
      <c r="S140" s="51"/>
      <c r="T140" s="46"/>
      <c r="U140" s="46"/>
      <c r="V140" s="46"/>
      <c r="W140" s="46"/>
      <c r="X140" s="46"/>
      <c r="Y140" s="46"/>
      <c r="Z140" s="46"/>
      <c r="AA140" s="46"/>
      <c r="AB140" s="46"/>
      <c r="AC140" s="46"/>
      <c r="AD140" s="46"/>
      <c r="AE140" s="46"/>
    </row>
    <row r="141" ht="15.75" customHeight="1">
      <c r="A141" s="40" t="str">
        <f t="shared" si="1"/>
        <v/>
      </c>
      <c r="B141" s="40" t="str">
        <f t="shared" si="2"/>
        <v/>
      </c>
      <c r="C141" s="24"/>
      <c r="D141" s="23"/>
      <c r="E141" s="51"/>
      <c r="F141" s="51"/>
      <c r="G141" s="24"/>
      <c r="H141" s="40"/>
      <c r="I141" s="40" t="str">
        <f t="array" ref="I141">IF(G141="","",IFERROR(INDEX('Người sử dụng'!$H$5:$H$140,MATCH(G141,'Người sử dụng'!$C$5:$C$140,0)),"Chưa có trong DS"))</f>
        <v/>
      </c>
      <c r="J141" s="24"/>
      <c r="K141" s="24"/>
      <c r="L141" s="23"/>
      <c r="M141" s="24"/>
      <c r="N141" s="24"/>
      <c r="O141" s="24"/>
      <c r="P141" s="26"/>
      <c r="Q141" s="51"/>
      <c r="R141" s="46"/>
      <c r="S141" s="51"/>
      <c r="T141" s="46"/>
      <c r="U141" s="46"/>
      <c r="V141" s="46"/>
      <c r="W141" s="46"/>
      <c r="X141" s="46"/>
      <c r="Y141" s="46"/>
      <c r="Z141" s="46"/>
      <c r="AA141" s="46"/>
      <c r="AB141" s="46"/>
      <c r="AC141" s="46"/>
      <c r="AD141" s="46"/>
      <c r="AE141" s="46"/>
    </row>
    <row r="142" ht="15.75" customHeight="1">
      <c r="A142" s="40" t="str">
        <f t="shared" si="1"/>
        <v/>
      </c>
      <c r="B142" s="40" t="str">
        <f t="shared" si="2"/>
        <v/>
      </c>
      <c r="C142" s="24"/>
      <c r="D142" s="23"/>
      <c r="E142" s="51"/>
      <c r="F142" s="51"/>
      <c r="G142" s="24"/>
      <c r="H142" s="40"/>
      <c r="I142" s="40" t="str">
        <f t="array" ref="I142">IF(G142="","",IFERROR(INDEX('Người sử dụng'!$H$5:$H$140,MATCH(G142,'Người sử dụng'!$C$5:$C$140,0)),"Chưa có trong DS"))</f>
        <v/>
      </c>
      <c r="J142" s="24"/>
      <c r="K142" s="24"/>
      <c r="L142" s="23"/>
      <c r="M142" s="24"/>
      <c r="N142" s="24"/>
      <c r="O142" s="24"/>
      <c r="P142" s="26"/>
      <c r="Q142" s="51"/>
      <c r="R142" s="46"/>
      <c r="S142" s="51"/>
      <c r="T142" s="46"/>
      <c r="U142" s="46"/>
      <c r="V142" s="46"/>
      <c r="W142" s="46"/>
      <c r="X142" s="46"/>
      <c r="Y142" s="46"/>
      <c r="Z142" s="46"/>
      <c r="AA142" s="46"/>
      <c r="AB142" s="46"/>
      <c r="AC142" s="46"/>
      <c r="AD142" s="46"/>
      <c r="AE142" s="46"/>
    </row>
    <row r="143" ht="15.75" customHeight="1">
      <c r="A143" s="40" t="str">
        <f t="shared" si="1"/>
        <v/>
      </c>
      <c r="B143" s="40" t="str">
        <f t="shared" si="2"/>
        <v/>
      </c>
      <c r="C143" s="24"/>
      <c r="D143" s="23"/>
      <c r="E143" s="51"/>
      <c r="F143" s="51"/>
      <c r="G143" s="24"/>
      <c r="H143" s="40"/>
      <c r="I143" s="40" t="str">
        <f t="array" ref="I143">IF(G143="","",IFERROR(INDEX('Người sử dụng'!$H$5:$H$140,MATCH(G143,'Người sử dụng'!$C$5:$C$140,0)),"Chưa có trong DS"))</f>
        <v/>
      </c>
      <c r="J143" s="24"/>
      <c r="K143" s="24"/>
      <c r="L143" s="23"/>
      <c r="M143" s="24"/>
      <c r="N143" s="24"/>
      <c r="O143" s="24"/>
      <c r="P143" s="26"/>
      <c r="Q143" s="51"/>
      <c r="R143" s="46"/>
      <c r="S143" s="51"/>
      <c r="T143" s="46"/>
      <c r="U143" s="46"/>
      <c r="V143" s="46"/>
      <c r="W143" s="46"/>
      <c r="X143" s="46"/>
      <c r="Y143" s="46"/>
      <c r="Z143" s="46"/>
      <c r="AA143" s="46"/>
      <c r="AB143" s="46"/>
      <c r="AC143" s="46"/>
      <c r="AD143" s="46"/>
      <c r="AE143" s="46"/>
    </row>
    <row r="144" ht="15.75" customHeight="1">
      <c r="A144" s="40" t="str">
        <f t="shared" si="1"/>
        <v/>
      </c>
      <c r="B144" s="40" t="str">
        <f t="shared" si="2"/>
        <v/>
      </c>
      <c r="C144" s="24"/>
      <c r="D144" s="23"/>
      <c r="E144" s="51"/>
      <c r="F144" s="51"/>
      <c r="G144" s="24"/>
      <c r="H144" s="40"/>
      <c r="I144" s="40" t="str">
        <f t="array" ref="I144">IF(G144="","",IFERROR(INDEX('Người sử dụng'!$H$5:$H$140,MATCH(G144,'Người sử dụng'!$C$5:$C$140,0)),"Chưa có trong DS"))</f>
        <v/>
      </c>
      <c r="J144" s="24"/>
      <c r="K144" s="24"/>
      <c r="L144" s="23"/>
      <c r="M144" s="24"/>
      <c r="N144" s="24"/>
      <c r="O144" s="24"/>
      <c r="P144" s="26"/>
      <c r="Q144" s="51"/>
      <c r="R144" s="46"/>
      <c r="S144" s="51"/>
      <c r="T144" s="46"/>
      <c r="U144" s="46"/>
      <c r="V144" s="46"/>
      <c r="W144" s="46"/>
      <c r="X144" s="46"/>
      <c r="Y144" s="46"/>
      <c r="Z144" s="46"/>
      <c r="AA144" s="46"/>
      <c r="AB144" s="46"/>
      <c r="AC144" s="46"/>
      <c r="AD144" s="46"/>
      <c r="AE144" s="46"/>
    </row>
    <row r="145" ht="15.75" customHeight="1">
      <c r="A145" s="40" t="str">
        <f t="shared" si="1"/>
        <v/>
      </c>
      <c r="B145" s="40" t="str">
        <f t="shared" si="2"/>
        <v/>
      </c>
      <c r="C145" s="24"/>
      <c r="D145" s="23"/>
      <c r="E145" s="51"/>
      <c r="F145" s="51"/>
      <c r="G145" s="24"/>
      <c r="H145" s="40"/>
      <c r="I145" s="40" t="str">
        <f t="array" ref="I145">IF(G145="","",IFERROR(INDEX('Người sử dụng'!$H$5:$H$140,MATCH(G145,'Người sử dụng'!$C$5:$C$140,0)),"Chưa có trong DS"))</f>
        <v/>
      </c>
      <c r="J145" s="24"/>
      <c r="K145" s="24"/>
      <c r="L145" s="23"/>
      <c r="M145" s="24"/>
      <c r="N145" s="24"/>
      <c r="O145" s="24"/>
      <c r="P145" s="26"/>
      <c r="Q145" s="51"/>
      <c r="R145" s="46"/>
      <c r="S145" s="51"/>
      <c r="T145" s="46"/>
      <c r="U145" s="46"/>
      <c r="V145" s="46"/>
      <c r="W145" s="46"/>
      <c r="X145" s="46"/>
      <c r="Y145" s="46"/>
      <c r="Z145" s="46"/>
      <c r="AA145" s="46"/>
      <c r="AB145" s="46"/>
      <c r="AC145" s="46"/>
      <c r="AD145" s="46"/>
      <c r="AE145" s="46"/>
    </row>
    <row r="146" ht="15.75" customHeight="1">
      <c r="A146" s="40" t="str">
        <f t="shared" si="1"/>
        <v/>
      </c>
      <c r="B146" s="40" t="str">
        <f t="shared" si="2"/>
        <v/>
      </c>
      <c r="C146" s="24"/>
      <c r="D146" s="23"/>
      <c r="E146" s="51"/>
      <c r="F146" s="51"/>
      <c r="G146" s="24"/>
      <c r="H146" s="40"/>
      <c r="I146" s="40" t="str">
        <f t="array" ref="I146">IF(G146="","",IFERROR(INDEX('Người sử dụng'!$H$5:$H$140,MATCH(G146,'Người sử dụng'!$C$5:$C$140,0)),"Chưa có trong DS"))</f>
        <v/>
      </c>
      <c r="J146" s="24"/>
      <c r="K146" s="24"/>
      <c r="L146" s="23"/>
      <c r="M146" s="24"/>
      <c r="N146" s="24"/>
      <c r="O146" s="24"/>
      <c r="P146" s="26"/>
      <c r="Q146" s="51"/>
      <c r="R146" s="46"/>
      <c r="S146" s="51"/>
      <c r="T146" s="46"/>
      <c r="U146" s="46"/>
      <c r="V146" s="46"/>
      <c r="W146" s="46"/>
      <c r="X146" s="46"/>
      <c r="Y146" s="46"/>
      <c r="Z146" s="46"/>
      <c r="AA146" s="46"/>
      <c r="AB146" s="46"/>
      <c r="AC146" s="46"/>
      <c r="AD146" s="46"/>
      <c r="AE146" s="46"/>
    </row>
    <row r="147" ht="15.75" customHeight="1">
      <c r="A147" s="40" t="str">
        <f t="shared" si="1"/>
        <v/>
      </c>
      <c r="B147" s="40" t="str">
        <f t="shared" si="2"/>
        <v/>
      </c>
      <c r="C147" s="24"/>
      <c r="D147" s="23"/>
      <c r="E147" s="51"/>
      <c r="F147" s="51"/>
      <c r="G147" s="24"/>
      <c r="H147" s="40"/>
      <c r="I147" s="40" t="str">
        <f t="array" ref="I147">IF(G147="","",IFERROR(INDEX('Người sử dụng'!$H$5:$H$140,MATCH(G147,'Người sử dụng'!$C$5:$C$140,0)),"Chưa có trong DS"))</f>
        <v/>
      </c>
      <c r="J147" s="24"/>
      <c r="K147" s="24"/>
      <c r="L147" s="23"/>
      <c r="M147" s="24"/>
      <c r="N147" s="24"/>
      <c r="O147" s="24"/>
      <c r="P147" s="26"/>
      <c r="Q147" s="51"/>
      <c r="R147" s="46"/>
      <c r="S147" s="51"/>
      <c r="T147" s="46"/>
      <c r="U147" s="46"/>
      <c r="V147" s="46"/>
      <c r="W147" s="46"/>
      <c r="X147" s="46"/>
      <c r="Y147" s="46"/>
      <c r="Z147" s="46"/>
      <c r="AA147" s="46"/>
      <c r="AB147" s="46"/>
      <c r="AC147" s="46"/>
      <c r="AD147" s="46"/>
      <c r="AE147" s="46"/>
    </row>
    <row r="148" ht="15.75" customHeight="1">
      <c r="A148" s="40" t="str">
        <f t="shared" si="1"/>
        <v/>
      </c>
      <c r="B148" s="40" t="str">
        <f t="shared" si="2"/>
        <v/>
      </c>
      <c r="C148" s="24"/>
      <c r="D148" s="23"/>
      <c r="E148" s="51"/>
      <c r="F148" s="51"/>
      <c r="G148" s="24"/>
      <c r="H148" s="40"/>
      <c r="I148" s="40" t="str">
        <f t="array" ref="I148">IF(G148="","",IFERROR(INDEX('Người sử dụng'!$H$5:$H$140,MATCH(G148,'Người sử dụng'!$C$5:$C$140,0)),"Chưa có trong DS"))</f>
        <v/>
      </c>
      <c r="J148" s="24"/>
      <c r="K148" s="24"/>
      <c r="L148" s="23"/>
      <c r="M148" s="24"/>
      <c r="N148" s="24"/>
      <c r="O148" s="24"/>
      <c r="P148" s="26"/>
      <c r="Q148" s="51"/>
      <c r="R148" s="46"/>
      <c r="S148" s="51"/>
      <c r="T148" s="46"/>
      <c r="U148" s="46"/>
      <c r="V148" s="46"/>
      <c r="W148" s="46"/>
      <c r="X148" s="46"/>
      <c r="Y148" s="46"/>
      <c r="Z148" s="46"/>
      <c r="AA148" s="46"/>
      <c r="AB148" s="46"/>
      <c r="AC148" s="46"/>
      <c r="AD148" s="46"/>
      <c r="AE148" s="46"/>
    </row>
    <row r="149" ht="15.75" customHeight="1">
      <c r="A149" s="40" t="str">
        <f t="shared" si="1"/>
        <v/>
      </c>
      <c r="B149" s="40" t="str">
        <f t="shared" si="2"/>
        <v/>
      </c>
      <c r="C149" s="24"/>
      <c r="D149" s="23"/>
      <c r="E149" s="51"/>
      <c r="F149" s="51"/>
      <c r="G149" s="24"/>
      <c r="H149" s="40"/>
      <c r="I149" s="40" t="str">
        <f t="array" ref="I149">IF(G149="","",IFERROR(INDEX('Người sử dụng'!$H$5:$H$140,MATCH(G149,'Người sử dụng'!$C$5:$C$140,0)),"Chưa có trong DS"))</f>
        <v/>
      </c>
      <c r="J149" s="24"/>
      <c r="K149" s="24"/>
      <c r="L149" s="23"/>
      <c r="M149" s="24"/>
      <c r="N149" s="24"/>
      <c r="O149" s="24"/>
      <c r="P149" s="26"/>
      <c r="Q149" s="51"/>
      <c r="R149" s="46"/>
      <c r="S149" s="51"/>
      <c r="T149" s="46"/>
      <c r="U149" s="46"/>
      <c r="V149" s="46"/>
      <c r="W149" s="46"/>
      <c r="X149" s="46"/>
      <c r="Y149" s="46"/>
      <c r="Z149" s="46"/>
      <c r="AA149" s="46"/>
      <c r="AB149" s="46"/>
      <c r="AC149" s="46"/>
      <c r="AD149" s="46"/>
      <c r="AE149" s="46"/>
    </row>
    <row r="150" ht="15.75" customHeight="1">
      <c r="A150" s="40" t="str">
        <f t="shared" si="1"/>
        <v/>
      </c>
      <c r="B150" s="40" t="str">
        <f t="shared" si="2"/>
        <v/>
      </c>
      <c r="C150" s="24"/>
      <c r="D150" s="23"/>
      <c r="E150" s="51"/>
      <c r="F150" s="51"/>
      <c r="G150" s="24"/>
      <c r="H150" s="40"/>
      <c r="I150" s="40" t="str">
        <f t="array" ref="I150">IF(G150="","",IFERROR(INDEX('Người sử dụng'!$H$5:$H$140,MATCH(G150,'Người sử dụng'!$C$5:$C$140,0)),"Chưa có trong DS"))</f>
        <v/>
      </c>
      <c r="J150" s="24"/>
      <c r="K150" s="24"/>
      <c r="L150" s="23"/>
      <c r="M150" s="24"/>
      <c r="N150" s="24"/>
      <c r="O150" s="24"/>
      <c r="P150" s="26"/>
      <c r="Q150" s="51"/>
      <c r="R150" s="46"/>
      <c r="S150" s="51"/>
      <c r="T150" s="46"/>
      <c r="U150" s="46"/>
      <c r="V150" s="46"/>
      <c r="W150" s="46"/>
      <c r="X150" s="46"/>
      <c r="Y150" s="46"/>
      <c r="Z150" s="46"/>
      <c r="AA150" s="46"/>
      <c r="AB150" s="46"/>
      <c r="AC150" s="46"/>
      <c r="AD150" s="46"/>
      <c r="AE150" s="46"/>
    </row>
    <row r="151" ht="15.75" customHeight="1">
      <c r="A151" s="40" t="str">
        <f t="shared" si="1"/>
        <v/>
      </c>
      <c r="B151" s="40" t="str">
        <f t="shared" si="2"/>
        <v/>
      </c>
      <c r="C151" s="24"/>
      <c r="D151" s="23"/>
      <c r="E151" s="51"/>
      <c r="F151" s="51"/>
      <c r="G151" s="24"/>
      <c r="H151" s="40"/>
      <c r="I151" s="40" t="str">
        <f t="array" ref="I151">IF(G151="","",IFERROR(INDEX('Người sử dụng'!$H$5:$H$140,MATCH(G151,'Người sử dụng'!$C$5:$C$140,0)),"Chưa có trong DS"))</f>
        <v/>
      </c>
      <c r="J151" s="24"/>
      <c r="K151" s="24"/>
      <c r="L151" s="23"/>
      <c r="M151" s="24"/>
      <c r="N151" s="24"/>
      <c r="O151" s="24"/>
      <c r="P151" s="26"/>
      <c r="Q151" s="51"/>
      <c r="R151" s="46"/>
      <c r="S151" s="51"/>
      <c r="T151" s="46"/>
      <c r="U151" s="46"/>
      <c r="V151" s="46"/>
      <c r="W151" s="46"/>
      <c r="X151" s="46"/>
      <c r="Y151" s="46"/>
      <c r="Z151" s="46"/>
      <c r="AA151" s="46"/>
      <c r="AB151" s="46"/>
      <c r="AC151" s="46"/>
      <c r="AD151" s="46"/>
      <c r="AE151" s="46"/>
    </row>
    <row r="152" ht="15.75" customHeight="1">
      <c r="A152" s="40" t="str">
        <f t="shared" si="1"/>
        <v/>
      </c>
      <c r="B152" s="40" t="str">
        <f t="shared" si="2"/>
        <v/>
      </c>
      <c r="C152" s="24"/>
      <c r="D152" s="23"/>
      <c r="E152" s="51"/>
      <c r="F152" s="51"/>
      <c r="G152" s="24"/>
      <c r="H152" s="40"/>
      <c r="I152" s="40" t="str">
        <f t="array" ref="I152">IF(G152="","",IFERROR(INDEX('Người sử dụng'!$H$5:$H$140,MATCH(G152,'Người sử dụng'!$C$5:$C$140,0)),"Chưa có trong DS"))</f>
        <v/>
      </c>
      <c r="J152" s="24"/>
      <c r="K152" s="24"/>
      <c r="L152" s="23"/>
      <c r="M152" s="24"/>
      <c r="N152" s="24"/>
      <c r="O152" s="24"/>
      <c r="P152" s="26"/>
      <c r="Q152" s="51"/>
      <c r="R152" s="46"/>
      <c r="S152" s="51"/>
      <c r="T152" s="46"/>
      <c r="U152" s="46"/>
      <c r="V152" s="46"/>
      <c r="W152" s="46"/>
      <c r="X152" s="46"/>
      <c r="Y152" s="46"/>
      <c r="Z152" s="46"/>
      <c r="AA152" s="46"/>
      <c r="AB152" s="46"/>
      <c r="AC152" s="46"/>
      <c r="AD152" s="46"/>
      <c r="AE152" s="46"/>
    </row>
    <row r="153" ht="15.75" customHeight="1">
      <c r="A153" s="40" t="str">
        <f t="shared" si="1"/>
        <v/>
      </c>
      <c r="B153" s="40" t="str">
        <f t="shared" si="2"/>
        <v/>
      </c>
      <c r="C153" s="24"/>
      <c r="D153" s="23"/>
      <c r="E153" s="51"/>
      <c r="F153" s="51"/>
      <c r="G153" s="24"/>
      <c r="H153" s="40"/>
      <c r="I153" s="40" t="str">
        <f t="array" ref="I153">IF(G153="","",IFERROR(INDEX('Người sử dụng'!$H$5:$H$140,MATCH(G153,'Người sử dụng'!$C$5:$C$140,0)),"Chưa có trong DS"))</f>
        <v/>
      </c>
      <c r="J153" s="24"/>
      <c r="K153" s="24"/>
      <c r="L153" s="23"/>
      <c r="M153" s="24"/>
      <c r="N153" s="24"/>
      <c r="O153" s="24"/>
      <c r="P153" s="26"/>
      <c r="Q153" s="51"/>
      <c r="R153" s="46"/>
      <c r="S153" s="51"/>
      <c r="T153" s="46"/>
      <c r="U153" s="46"/>
      <c r="V153" s="46"/>
      <c r="W153" s="46"/>
      <c r="X153" s="46"/>
      <c r="Y153" s="46"/>
      <c r="Z153" s="46"/>
      <c r="AA153" s="46"/>
      <c r="AB153" s="46"/>
      <c r="AC153" s="46"/>
      <c r="AD153" s="46"/>
      <c r="AE153" s="46"/>
    </row>
    <row r="154" ht="15.75" customHeight="1">
      <c r="A154" s="40" t="str">
        <f t="shared" si="1"/>
        <v/>
      </c>
      <c r="B154" s="40" t="str">
        <f t="shared" si="2"/>
        <v/>
      </c>
      <c r="C154" s="24"/>
      <c r="D154" s="23"/>
      <c r="E154" s="51"/>
      <c r="F154" s="51"/>
      <c r="G154" s="24"/>
      <c r="H154" s="40"/>
      <c r="I154" s="40" t="str">
        <f t="array" ref="I154">IF(G154="","",IFERROR(INDEX('Người sử dụng'!$H$5:$H$140,MATCH(G154,'Người sử dụng'!$C$5:$C$140,0)),"Chưa có trong DS"))</f>
        <v/>
      </c>
      <c r="J154" s="24"/>
      <c r="K154" s="24"/>
      <c r="L154" s="23"/>
      <c r="M154" s="24"/>
      <c r="N154" s="24"/>
      <c r="O154" s="24"/>
      <c r="P154" s="26"/>
      <c r="Q154" s="51"/>
      <c r="R154" s="46"/>
      <c r="S154" s="51"/>
      <c r="T154" s="46"/>
      <c r="U154" s="46"/>
      <c r="V154" s="46"/>
      <c r="W154" s="46"/>
      <c r="X154" s="46"/>
      <c r="Y154" s="46"/>
      <c r="Z154" s="46"/>
      <c r="AA154" s="46"/>
      <c r="AB154" s="46"/>
      <c r="AC154" s="46"/>
      <c r="AD154" s="46"/>
      <c r="AE154" s="46"/>
    </row>
    <row r="155" ht="15.75" customHeight="1">
      <c r="A155" s="40" t="str">
        <f t="shared" si="1"/>
        <v/>
      </c>
      <c r="B155" s="40" t="str">
        <f t="shared" si="2"/>
        <v/>
      </c>
      <c r="C155" s="24"/>
      <c r="D155" s="23"/>
      <c r="E155" s="51"/>
      <c r="F155" s="51"/>
      <c r="G155" s="24"/>
      <c r="H155" s="40"/>
      <c r="I155" s="40" t="str">
        <f t="array" ref="I155">IF(G155="","",IFERROR(INDEX('Người sử dụng'!$H$5:$H$140,MATCH(G155,'Người sử dụng'!$C$5:$C$140,0)),"Chưa có trong DS"))</f>
        <v/>
      </c>
      <c r="J155" s="24"/>
      <c r="K155" s="24"/>
      <c r="L155" s="23"/>
      <c r="M155" s="24"/>
      <c r="N155" s="24"/>
      <c r="O155" s="24"/>
      <c r="P155" s="26"/>
      <c r="Q155" s="51"/>
      <c r="R155" s="46"/>
      <c r="S155" s="51"/>
      <c r="T155" s="46"/>
      <c r="U155" s="46"/>
      <c r="V155" s="46"/>
      <c r="W155" s="46"/>
      <c r="X155" s="46"/>
      <c r="Y155" s="46"/>
      <c r="Z155" s="46"/>
      <c r="AA155" s="46"/>
      <c r="AB155" s="46"/>
      <c r="AC155" s="46"/>
      <c r="AD155" s="46"/>
      <c r="AE155" s="46"/>
    </row>
    <row r="156" ht="15.75" customHeight="1">
      <c r="A156" s="40" t="str">
        <f t="shared" si="1"/>
        <v/>
      </c>
      <c r="B156" s="40" t="str">
        <f t="shared" si="2"/>
        <v/>
      </c>
      <c r="C156" s="24"/>
      <c r="D156" s="23"/>
      <c r="E156" s="51"/>
      <c r="F156" s="51"/>
      <c r="G156" s="24"/>
      <c r="H156" s="40"/>
      <c r="I156" s="40" t="str">
        <f t="array" ref="I156">IF(G156="","",IFERROR(INDEX('Người sử dụng'!$H$5:$H$140,MATCH(G156,'Người sử dụng'!$C$5:$C$140,0)),"Chưa có trong DS"))</f>
        <v/>
      </c>
      <c r="J156" s="24"/>
      <c r="K156" s="24"/>
      <c r="L156" s="23"/>
      <c r="M156" s="24"/>
      <c r="N156" s="24"/>
      <c r="O156" s="24"/>
      <c r="P156" s="26"/>
      <c r="Q156" s="51"/>
      <c r="R156" s="46"/>
      <c r="S156" s="51"/>
      <c r="T156" s="46"/>
      <c r="U156" s="46"/>
      <c r="V156" s="46"/>
      <c r="W156" s="46"/>
      <c r="X156" s="46"/>
      <c r="Y156" s="46"/>
      <c r="Z156" s="46"/>
      <c r="AA156" s="46"/>
      <c r="AB156" s="46"/>
      <c r="AC156" s="46"/>
      <c r="AD156" s="46"/>
      <c r="AE156" s="46"/>
    </row>
    <row r="157" ht="15.75" customHeight="1">
      <c r="A157" s="40" t="str">
        <f t="shared" si="1"/>
        <v/>
      </c>
      <c r="B157" s="40" t="str">
        <f t="shared" si="2"/>
        <v/>
      </c>
      <c r="C157" s="24"/>
      <c r="D157" s="23"/>
      <c r="E157" s="51"/>
      <c r="F157" s="51"/>
      <c r="G157" s="24"/>
      <c r="H157" s="40"/>
      <c r="I157" s="40" t="str">
        <f t="array" ref="I157">IF(G157="","",IFERROR(INDEX('Người sử dụng'!$H$5:$H$140,MATCH(G157,'Người sử dụng'!$C$5:$C$140,0)),"Chưa có trong DS"))</f>
        <v/>
      </c>
      <c r="J157" s="24"/>
      <c r="K157" s="24"/>
      <c r="L157" s="23"/>
      <c r="M157" s="24"/>
      <c r="N157" s="24"/>
      <c r="O157" s="24"/>
      <c r="P157" s="26"/>
      <c r="Q157" s="51"/>
      <c r="R157" s="46"/>
      <c r="S157" s="51"/>
      <c r="T157" s="46"/>
      <c r="U157" s="46"/>
      <c r="V157" s="46"/>
      <c r="W157" s="46"/>
      <c r="X157" s="46"/>
      <c r="Y157" s="46"/>
      <c r="Z157" s="46"/>
      <c r="AA157" s="46"/>
      <c r="AB157" s="46"/>
      <c r="AC157" s="46"/>
      <c r="AD157" s="46"/>
      <c r="AE157" s="46"/>
    </row>
    <row r="158" ht="15.75" customHeight="1">
      <c r="A158" s="40" t="str">
        <f t="shared" si="1"/>
        <v/>
      </c>
      <c r="B158" s="40" t="str">
        <f t="shared" si="2"/>
        <v/>
      </c>
      <c r="C158" s="24"/>
      <c r="D158" s="23"/>
      <c r="E158" s="51"/>
      <c r="F158" s="51"/>
      <c r="G158" s="24"/>
      <c r="H158" s="40"/>
      <c r="I158" s="40" t="str">
        <f t="array" ref="I158">IF(G158="","",IFERROR(INDEX('Người sử dụng'!$H$5:$H$140,MATCH(G158,'Người sử dụng'!$C$5:$C$140,0)),"Chưa có trong DS"))</f>
        <v/>
      </c>
      <c r="J158" s="24"/>
      <c r="K158" s="24"/>
      <c r="L158" s="23"/>
      <c r="M158" s="24"/>
      <c r="N158" s="24"/>
      <c r="O158" s="24"/>
      <c r="P158" s="26"/>
      <c r="Q158" s="51"/>
      <c r="R158" s="46"/>
      <c r="S158" s="51"/>
      <c r="T158" s="46"/>
      <c r="U158" s="46"/>
      <c r="V158" s="46"/>
      <c r="W158" s="46"/>
      <c r="X158" s="46"/>
      <c r="Y158" s="46"/>
      <c r="Z158" s="46"/>
      <c r="AA158" s="46"/>
      <c r="AB158" s="46"/>
      <c r="AC158" s="46"/>
      <c r="AD158" s="46"/>
      <c r="AE158" s="46"/>
    </row>
    <row r="159" ht="15.75" customHeight="1">
      <c r="A159" s="40" t="str">
        <f t="shared" si="1"/>
        <v/>
      </c>
      <c r="B159" s="40" t="str">
        <f t="shared" si="2"/>
        <v/>
      </c>
      <c r="C159" s="24"/>
      <c r="D159" s="23"/>
      <c r="E159" s="51"/>
      <c r="F159" s="51"/>
      <c r="G159" s="24"/>
      <c r="H159" s="40"/>
      <c r="I159" s="40" t="str">
        <f t="array" ref="I159">IF(G159="","",IFERROR(INDEX('Người sử dụng'!$H$5:$H$140,MATCH(G159,'Người sử dụng'!$C$5:$C$140,0)),"Chưa có trong DS"))</f>
        <v/>
      </c>
      <c r="J159" s="24"/>
      <c r="K159" s="24"/>
      <c r="L159" s="23"/>
      <c r="M159" s="24"/>
      <c r="N159" s="24"/>
      <c r="O159" s="24"/>
      <c r="P159" s="26"/>
      <c r="Q159" s="51"/>
      <c r="R159" s="46"/>
      <c r="S159" s="51"/>
      <c r="T159" s="46"/>
      <c r="U159" s="46"/>
      <c r="V159" s="46"/>
      <c r="W159" s="46"/>
      <c r="X159" s="46"/>
      <c r="Y159" s="46"/>
      <c r="Z159" s="46"/>
      <c r="AA159" s="46"/>
      <c r="AB159" s="46"/>
      <c r="AC159" s="46"/>
      <c r="AD159" s="46"/>
      <c r="AE159" s="46"/>
    </row>
    <row r="160" ht="15.75" customHeight="1">
      <c r="A160" s="40" t="str">
        <f t="shared" si="1"/>
        <v/>
      </c>
      <c r="B160" s="40" t="str">
        <f t="shared" si="2"/>
        <v/>
      </c>
      <c r="C160" s="24"/>
      <c r="D160" s="23"/>
      <c r="E160" s="51"/>
      <c r="F160" s="51"/>
      <c r="G160" s="24"/>
      <c r="H160" s="40"/>
      <c r="I160" s="40" t="str">
        <f t="array" ref="I160">IF(G160="","",IFERROR(INDEX('Người sử dụng'!$H$5:$H$140,MATCH(G160,'Người sử dụng'!$C$5:$C$140,0)),"Chưa có trong DS"))</f>
        <v/>
      </c>
      <c r="J160" s="24"/>
      <c r="K160" s="24"/>
      <c r="L160" s="23"/>
      <c r="M160" s="24"/>
      <c r="N160" s="24"/>
      <c r="O160" s="24"/>
      <c r="P160" s="26"/>
      <c r="Q160" s="51"/>
      <c r="R160" s="46"/>
      <c r="S160" s="51"/>
      <c r="T160" s="46"/>
      <c r="U160" s="46"/>
      <c r="V160" s="46"/>
      <c r="W160" s="46"/>
      <c r="X160" s="46"/>
      <c r="Y160" s="46"/>
      <c r="Z160" s="46"/>
      <c r="AA160" s="46"/>
      <c r="AB160" s="46"/>
      <c r="AC160" s="46"/>
      <c r="AD160" s="46"/>
      <c r="AE160" s="46"/>
    </row>
    <row r="161" ht="15.75" customHeight="1">
      <c r="A161" s="40" t="str">
        <f t="shared" si="1"/>
        <v/>
      </c>
      <c r="B161" s="40" t="str">
        <f t="shared" si="2"/>
        <v/>
      </c>
      <c r="C161" s="24"/>
      <c r="D161" s="23"/>
      <c r="E161" s="51"/>
      <c r="F161" s="51"/>
      <c r="G161" s="24"/>
      <c r="H161" s="40"/>
      <c r="I161" s="40" t="str">
        <f t="array" ref="I161">IF(G161="","",IFERROR(INDEX('Người sử dụng'!$H$5:$H$140,MATCH(G161,'Người sử dụng'!$C$5:$C$140,0)),"Chưa có trong DS"))</f>
        <v/>
      </c>
      <c r="J161" s="24"/>
      <c r="K161" s="24"/>
      <c r="L161" s="23"/>
      <c r="M161" s="24"/>
      <c r="N161" s="24"/>
      <c r="O161" s="24"/>
      <c r="P161" s="26"/>
      <c r="Q161" s="51"/>
      <c r="R161" s="46"/>
      <c r="S161" s="51"/>
      <c r="T161" s="46"/>
      <c r="U161" s="46"/>
      <c r="V161" s="46"/>
      <c r="W161" s="46"/>
      <c r="X161" s="46"/>
      <c r="Y161" s="46"/>
      <c r="Z161" s="46"/>
      <c r="AA161" s="46"/>
      <c r="AB161" s="46"/>
      <c r="AC161" s="46"/>
      <c r="AD161" s="46"/>
      <c r="AE161" s="46"/>
    </row>
    <row r="162" ht="15.75" customHeight="1">
      <c r="A162" s="40" t="str">
        <f t="shared" si="1"/>
        <v/>
      </c>
      <c r="B162" s="40" t="str">
        <f t="shared" si="2"/>
        <v/>
      </c>
      <c r="C162" s="24"/>
      <c r="D162" s="23"/>
      <c r="E162" s="51"/>
      <c r="F162" s="51"/>
      <c r="G162" s="24"/>
      <c r="H162" s="40"/>
      <c r="I162" s="40" t="str">
        <f t="array" ref="I162">IF(G162="","",IFERROR(INDEX('Người sử dụng'!$H$5:$H$140,MATCH(G162,'Người sử dụng'!$C$5:$C$140,0)),"Chưa có trong DS"))</f>
        <v/>
      </c>
      <c r="J162" s="24"/>
      <c r="K162" s="24"/>
      <c r="L162" s="23"/>
      <c r="M162" s="24"/>
      <c r="N162" s="24"/>
      <c r="O162" s="24"/>
      <c r="P162" s="26"/>
      <c r="Q162" s="51"/>
      <c r="R162" s="46"/>
      <c r="S162" s="51"/>
      <c r="T162" s="46"/>
      <c r="U162" s="46"/>
      <c r="V162" s="46"/>
      <c r="W162" s="46"/>
      <c r="X162" s="46"/>
      <c r="Y162" s="46"/>
      <c r="Z162" s="46"/>
      <c r="AA162" s="46"/>
      <c r="AB162" s="46"/>
      <c r="AC162" s="46"/>
      <c r="AD162" s="46"/>
      <c r="AE162" s="46"/>
    </row>
    <row r="163" ht="15.75" customHeight="1">
      <c r="A163" s="40" t="str">
        <f t="shared" si="1"/>
        <v/>
      </c>
      <c r="B163" s="40" t="str">
        <f t="shared" si="2"/>
        <v/>
      </c>
      <c r="C163" s="24"/>
      <c r="D163" s="23"/>
      <c r="E163" s="51"/>
      <c r="F163" s="51"/>
      <c r="G163" s="24"/>
      <c r="H163" s="40"/>
      <c r="I163" s="40" t="str">
        <f t="array" ref="I163">IF(G163="","",IFERROR(INDEX('Người sử dụng'!$H$5:$H$140,MATCH(G163,'Người sử dụng'!$C$5:$C$140,0)),"Chưa có trong DS"))</f>
        <v/>
      </c>
      <c r="J163" s="24"/>
      <c r="K163" s="24"/>
      <c r="L163" s="23"/>
      <c r="M163" s="24"/>
      <c r="N163" s="24"/>
      <c r="O163" s="24"/>
      <c r="P163" s="26"/>
      <c r="Q163" s="51"/>
      <c r="R163" s="46"/>
      <c r="S163" s="51"/>
      <c r="T163" s="46"/>
      <c r="U163" s="46"/>
      <c r="V163" s="46"/>
      <c r="W163" s="46"/>
      <c r="X163" s="46"/>
      <c r="Y163" s="46"/>
      <c r="Z163" s="46"/>
      <c r="AA163" s="46"/>
      <c r="AB163" s="46"/>
      <c r="AC163" s="46"/>
      <c r="AD163" s="46"/>
      <c r="AE163" s="46"/>
    </row>
    <row r="164" ht="15.75" customHeight="1">
      <c r="A164" s="40" t="str">
        <f t="shared" si="1"/>
        <v/>
      </c>
      <c r="B164" s="40" t="str">
        <f t="shared" si="2"/>
        <v/>
      </c>
      <c r="C164" s="24"/>
      <c r="D164" s="23"/>
      <c r="E164" s="51"/>
      <c r="F164" s="51"/>
      <c r="G164" s="24"/>
      <c r="H164" s="40"/>
      <c r="I164" s="40" t="str">
        <f t="array" ref="I164">IF(G164="","",IFERROR(INDEX('Người sử dụng'!$H$5:$H$140,MATCH(G164,'Người sử dụng'!$C$5:$C$140,0)),"Chưa có trong DS"))</f>
        <v/>
      </c>
      <c r="J164" s="24"/>
      <c r="K164" s="24"/>
      <c r="L164" s="23"/>
      <c r="M164" s="24"/>
      <c r="N164" s="24"/>
      <c r="O164" s="24"/>
      <c r="P164" s="26"/>
      <c r="Q164" s="51"/>
      <c r="R164" s="46"/>
      <c r="S164" s="51"/>
      <c r="T164" s="46"/>
      <c r="U164" s="46"/>
      <c r="V164" s="46"/>
      <c r="W164" s="46"/>
      <c r="X164" s="46"/>
      <c r="Y164" s="46"/>
      <c r="Z164" s="46"/>
      <c r="AA164" s="46"/>
      <c r="AB164" s="46"/>
      <c r="AC164" s="46"/>
      <c r="AD164" s="46"/>
      <c r="AE164" s="46"/>
    </row>
    <row r="165" ht="15.75" customHeight="1">
      <c r="A165" s="40" t="str">
        <f t="shared" si="1"/>
        <v/>
      </c>
      <c r="B165" s="40" t="str">
        <f t="shared" si="2"/>
        <v/>
      </c>
      <c r="C165" s="24"/>
      <c r="D165" s="23"/>
      <c r="E165" s="51"/>
      <c r="F165" s="51"/>
      <c r="G165" s="24"/>
      <c r="H165" s="40"/>
      <c r="I165" s="40" t="str">
        <f t="array" ref="I165">IF(G165="","",IFERROR(INDEX('Người sử dụng'!$H$5:$H$140,MATCH(G165,'Người sử dụng'!$C$5:$C$140,0)),"Chưa có trong DS"))</f>
        <v/>
      </c>
      <c r="J165" s="24"/>
      <c r="K165" s="24"/>
      <c r="L165" s="23"/>
      <c r="M165" s="24"/>
      <c r="N165" s="24"/>
      <c r="O165" s="24"/>
      <c r="P165" s="26"/>
      <c r="Q165" s="51"/>
      <c r="R165" s="46"/>
      <c r="S165" s="51"/>
      <c r="T165" s="46"/>
      <c r="U165" s="46"/>
      <c r="V165" s="46"/>
      <c r="W165" s="46"/>
      <c r="X165" s="46"/>
      <c r="Y165" s="46"/>
      <c r="Z165" s="46"/>
      <c r="AA165" s="46"/>
      <c r="AB165" s="46"/>
      <c r="AC165" s="46"/>
      <c r="AD165" s="46"/>
      <c r="AE165" s="46"/>
    </row>
    <row r="166" ht="15.75" customHeight="1">
      <c r="A166" s="40" t="str">
        <f t="shared" si="1"/>
        <v/>
      </c>
      <c r="B166" s="40" t="str">
        <f t="shared" si="2"/>
        <v/>
      </c>
      <c r="C166" s="24"/>
      <c r="D166" s="23"/>
      <c r="E166" s="51"/>
      <c r="F166" s="51"/>
      <c r="G166" s="24"/>
      <c r="H166" s="40"/>
      <c r="I166" s="40" t="str">
        <f t="array" ref="I166">IF(G166="","",IFERROR(INDEX('Người sử dụng'!$H$5:$H$140,MATCH(G166,'Người sử dụng'!$C$5:$C$140,0)),"Chưa có trong DS"))</f>
        <v/>
      </c>
      <c r="J166" s="24"/>
      <c r="K166" s="24"/>
      <c r="L166" s="23"/>
      <c r="M166" s="24"/>
      <c r="N166" s="24"/>
      <c r="O166" s="24"/>
      <c r="P166" s="26"/>
      <c r="Q166" s="51"/>
      <c r="R166" s="46"/>
      <c r="S166" s="51"/>
      <c r="T166" s="46"/>
      <c r="U166" s="46"/>
      <c r="V166" s="46"/>
      <c r="W166" s="46"/>
      <c r="X166" s="46"/>
      <c r="Y166" s="46"/>
      <c r="Z166" s="46"/>
      <c r="AA166" s="46"/>
      <c r="AB166" s="46"/>
      <c r="AC166" s="46"/>
      <c r="AD166" s="46"/>
      <c r="AE166" s="46"/>
    </row>
    <row r="167" ht="15.75" customHeight="1">
      <c r="A167" s="40" t="str">
        <f t="shared" si="1"/>
        <v/>
      </c>
      <c r="B167" s="40" t="str">
        <f t="shared" si="2"/>
        <v/>
      </c>
      <c r="C167" s="24"/>
      <c r="D167" s="23"/>
      <c r="E167" s="51"/>
      <c r="F167" s="51"/>
      <c r="G167" s="24"/>
      <c r="H167" s="40"/>
      <c r="I167" s="40" t="str">
        <f t="array" ref="I167">IF(G167="","",IFERROR(INDEX('Người sử dụng'!$H$5:$H$140,MATCH(G167,'Người sử dụng'!$C$5:$C$140,0)),"Chưa có trong DS"))</f>
        <v/>
      </c>
      <c r="J167" s="24"/>
      <c r="K167" s="24"/>
      <c r="L167" s="23"/>
      <c r="M167" s="24"/>
      <c r="N167" s="24"/>
      <c r="O167" s="24"/>
      <c r="P167" s="26"/>
      <c r="Q167" s="51"/>
      <c r="R167" s="46"/>
      <c r="S167" s="51"/>
      <c r="T167" s="46"/>
      <c r="U167" s="46"/>
      <c r="V167" s="46"/>
      <c r="W167" s="46"/>
      <c r="X167" s="46"/>
      <c r="Y167" s="46"/>
      <c r="Z167" s="46"/>
      <c r="AA167" s="46"/>
      <c r="AB167" s="46"/>
      <c r="AC167" s="46"/>
      <c r="AD167" s="46"/>
      <c r="AE167" s="46"/>
    </row>
    <row r="168" ht="15.75" customHeight="1">
      <c r="A168" s="40" t="str">
        <f t="shared" si="1"/>
        <v/>
      </c>
      <c r="B168" s="40" t="str">
        <f t="shared" si="2"/>
        <v/>
      </c>
      <c r="C168" s="24"/>
      <c r="D168" s="23"/>
      <c r="E168" s="51"/>
      <c r="F168" s="51"/>
      <c r="G168" s="24"/>
      <c r="H168" s="40"/>
      <c r="I168" s="40" t="str">
        <f t="array" ref="I168">IF(G168="","",IFERROR(INDEX('Người sử dụng'!$H$5:$H$140,MATCH(G168,'Người sử dụng'!$C$5:$C$140,0)),"Chưa có trong DS"))</f>
        <v/>
      </c>
      <c r="J168" s="24"/>
      <c r="K168" s="24"/>
      <c r="L168" s="23"/>
      <c r="M168" s="24"/>
      <c r="N168" s="24"/>
      <c r="O168" s="24"/>
      <c r="P168" s="26"/>
      <c r="Q168" s="51"/>
      <c r="R168" s="46"/>
      <c r="S168" s="51"/>
      <c r="T168" s="46"/>
      <c r="U168" s="46"/>
      <c r="V168" s="46"/>
      <c r="W168" s="46"/>
      <c r="X168" s="46"/>
      <c r="Y168" s="46"/>
      <c r="Z168" s="46"/>
      <c r="AA168" s="46"/>
      <c r="AB168" s="46"/>
      <c r="AC168" s="46"/>
      <c r="AD168" s="46"/>
      <c r="AE168" s="46"/>
    </row>
    <row r="169" ht="15.75" customHeight="1">
      <c r="A169" s="40" t="str">
        <f t="shared" si="1"/>
        <v/>
      </c>
      <c r="B169" s="40" t="str">
        <f t="shared" si="2"/>
        <v/>
      </c>
      <c r="C169" s="24"/>
      <c r="D169" s="23"/>
      <c r="E169" s="51"/>
      <c r="F169" s="51"/>
      <c r="G169" s="24"/>
      <c r="H169" s="40"/>
      <c r="I169" s="40" t="str">
        <f t="array" ref="I169">IF(G169="","",IFERROR(INDEX('Người sử dụng'!$H$5:$H$140,MATCH(G169,'Người sử dụng'!$C$5:$C$140,0)),"Chưa có trong DS"))</f>
        <v/>
      </c>
      <c r="J169" s="24"/>
      <c r="K169" s="24"/>
      <c r="L169" s="23"/>
      <c r="M169" s="24"/>
      <c r="N169" s="24"/>
      <c r="O169" s="24"/>
      <c r="P169" s="26"/>
      <c r="Q169" s="51"/>
      <c r="R169" s="46"/>
      <c r="S169" s="51"/>
      <c r="T169" s="46"/>
      <c r="U169" s="46"/>
      <c r="V169" s="46"/>
      <c r="W169" s="46"/>
      <c r="X169" s="46"/>
      <c r="Y169" s="46"/>
      <c r="Z169" s="46"/>
      <c r="AA169" s="46"/>
      <c r="AB169" s="46"/>
      <c r="AC169" s="46"/>
      <c r="AD169" s="46"/>
      <c r="AE169" s="46"/>
    </row>
    <row r="170" ht="15.75" customHeight="1">
      <c r="A170" s="40" t="str">
        <f t="shared" si="1"/>
        <v/>
      </c>
      <c r="B170" s="40" t="str">
        <f t="shared" si="2"/>
        <v/>
      </c>
      <c r="C170" s="24"/>
      <c r="D170" s="23"/>
      <c r="E170" s="51"/>
      <c r="F170" s="51"/>
      <c r="G170" s="24"/>
      <c r="H170" s="40"/>
      <c r="I170" s="40" t="str">
        <f t="array" ref="I170">IF(G170="","",IFERROR(INDEX('Người sử dụng'!$H$5:$H$140,MATCH(G170,'Người sử dụng'!$C$5:$C$140,0)),"Chưa có trong DS"))</f>
        <v/>
      </c>
      <c r="J170" s="24"/>
      <c r="K170" s="24"/>
      <c r="L170" s="23"/>
      <c r="M170" s="24"/>
      <c r="N170" s="24"/>
      <c r="O170" s="24"/>
      <c r="P170" s="26"/>
      <c r="Q170" s="51"/>
      <c r="R170" s="46"/>
      <c r="S170" s="51"/>
      <c r="T170" s="46"/>
      <c r="U170" s="46"/>
      <c r="V170" s="46"/>
      <c r="W170" s="46"/>
      <c r="X170" s="46"/>
      <c r="Y170" s="46"/>
      <c r="Z170" s="46"/>
      <c r="AA170" s="46"/>
      <c r="AB170" s="46"/>
      <c r="AC170" s="46"/>
      <c r="AD170" s="46"/>
      <c r="AE170" s="46"/>
    </row>
    <row r="171" ht="15.75" customHeight="1">
      <c r="A171" s="40" t="str">
        <f t="shared" si="1"/>
        <v/>
      </c>
      <c r="B171" s="40" t="str">
        <f t="shared" si="2"/>
        <v/>
      </c>
      <c r="C171" s="24"/>
      <c r="D171" s="23"/>
      <c r="E171" s="51"/>
      <c r="F171" s="51"/>
      <c r="G171" s="24"/>
      <c r="H171" s="40"/>
      <c r="I171" s="40" t="str">
        <f t="array" ref="I171">IF(G171="","",IFERROR(INDEX('Người sử dụng'!$H$5:$H$140,MATCH(G171,'Người sử dụng'!$C$5:$C$140,0)),"Chưa có trong DS"))</f>
        <v/>
      </c>
      <c r="J171" s="24"/>
      <c r="K171" s="24"/>
      <c r="L171" s="23"/>
      <c r="M171" s="24"/>
      <c r="N171" s="24"/>
      <c r="O171" s="24"/>
      <c r="P171" s="26"/>
      <c r="Q171" s="51"/>
      <c r="R171" s="46"/>
      <c r="S171" s="51"/>
      <c r="T171" s="46"/>
      <c r="U171" s="46"/>
      <c r="V171" s="46"/>
      <c r="W171" s="46"/>
      <c r="X171" s="46"/>
      <c r="Y171" s="46"/>
      <c r="Z171" s="46"/>
      <c r="AA171" s="46"/>
      <c r="AB171" s="46"/>
      <c r="AC171" s="46"/>
      <c r="AD171" s="46"/>
      <c r="AE171" s="46"/>
    </row>
    <row r="172" ht="15.75" customHeight="1">
      <c r="A172" s="40" t="str">
        <f t="shared" si="1"/>
        <v/>
      </c>
      <c r="B172" s="40" t="str">
        <f t="shared" si="2"/>
        <v/>
      </c>
      <c r="C172" s="24"/>
      <c r="D172" s="23"/>
      <c r="E172" s="51"/>
      <c r="F172" s="51"/>
      <c r="G172" s="24"/>
      <c r="H172" s="40"/>
      <c r="I172" s="40" t="str">
        <f t="array" ref="I172">IF(G172="","",IFERROR(INDEX('Người sử dụng'!$H$5:$H$140,MATCH(G172,'Người sử dụng'!$C$5:$C$140,0)),"Chưa có trong DS"))</f>
        <v/>
      </c>
      <c r="J172" s="24"/>
      <c r="K172" s="24"/>
      <c r="L172" s="23"/>
      <c r="M172" s="24"/>
      <c r="N172" s="24"/>
      <c r="O172" s="24"/>
      <c r="P172" s="26"/>
      <c r="Q172" s="51"/>
      <c r="R172" s="46"/>
      <c r="S172" s="51"/>
      <c r="T172" s="46"/>
      <c r="U172" s="46"/>
      <c r="V172" s="46"/>
      <c r="W172" s="46"/>
      <c r="X172" s="46"/>
      <c r="Y172" s="46"/>
      <c r="Z172" s="46"/>
      <c r="AA172" s="46"/>
      <c r="AB172" s="46"/>
      <c r="AC172" s="46"/>
      <c r="AD172" s="46"/>
      <c r="AE172" s="46"/>
    </row>
    <row r="173" ht="15.75" customHeight="1">
      <c r="A173" s="40" t="str">
        <f t="shared" si="1"/>
        <v/>
      </c>
      <c r="B173" s="40" t="str">
        <f t="shared" si="2"/>
        <v/>
      </c>
      <c r="C173" s="24"/>
      <c r="D173" s="23"/>
      <c r="E173" s="51"/>
      <c r="F173" s="51"/>
      <c r="G173" s="24"/>
      <c r="H173" s="40"/>
      <c r="I173" s="40" t="str">
        <f t="array" ref="I173">IF(G173="","",IFERROR(INDEX('Người sử dụng'!$H$5:$H$140,MATCH(G173,'Người sử dụng'!$C$5:$C$140,0)),"Chưa có trong DS"))</f>
        <v/>
      </c>
      <c r="J173" s="24"/>
      <c r="K173" s="24"/>
      <c r="L173" s="23"/>
      <c r="M173" s="24"/>
      <c r="N173" s="24"/>
      <c r="O173" s="24"/>
      <c r="P173" s="26"/>
      <c r="Q173" s="51"/>
      <c r="R173" s="46"/>
      <c r="S173" s="51"/>
      <c r="T173" s="46"/>
      <c r="U173" s="46"/>
      <c r="V173" s="46"/>
      <c r="W173" s="46"/>
      <c r="X173" s="46"/>
      <c r="Y173" s="46"/>
      <c r="Z173" s="46"/>
      <c r="AA173" s="46"/>
      <c r="AB173" s="46"/>
      <c r="AC173" s="46"/>
      <c r="AD173" s="46"/>
      <c r="AE173" s="46"/>
    </row>
    <row r="174" ht="15.75" customHeight="1">
      <c r="A174" s="40" t="str">
        <f t="shared" si="1"/>
        <v/>
      </c>
      <c r="B174" s="40" t="str">
        <f t="shared" si="2"/>
        <v/>
      </c>
      <c r="C174" s="24"/>
      <c r="D174" s="23"/>
      <c r="E174" s="51"/>
      <c r="F174" s="51"/>
      <c r="G174" s="24"/>
      <c r="H174" s="40"/>
      <c r="I174" s="40" t="str">
        <f t="array" ref="I174">IF(G174="","",IFERROR(INDEX('Người sử dụng'!$H$5:$H$140,MATCH(G174,'Người sử dụng'!$C$5:$C$140,0)),"Chưa có trong DS"))</f>
        <v/>
      </c>
      <c r="J174" s="24"/>
      <c r="K174" s="24"/>
      <c r="L174" s="23"/>
      <c r="M174" s="24"/>
      <c r="N174" s="24"/>
      <c r="O174" s="24"/>
      <c r="P174" s="26"/>
      <c r="Q174" s="51"/>
      <c r="R174" s="46"/>
      <c r="S174" s="51"/>
      <c r="T174" s="46"/>
      <c r="U174" s="46"/>
      <c r="V174" s="46"/>
      <c r="W174" s="46"/>
      <c r="X174" s="46"/>
      <c r="Y174" s="46"/>
      <c r="Z174" s="46"/>
      <c r="AA174" s="46"/>
      <c r="AB174" s="46"/>
      <c r="AC174" s="46"/>
      <c r="AD174" s="46"/>
      <c r="AE174" s="46"/>
    </row>
    <row r="175" ht="15.75" customHeight="1">
      <c r="A175" s="40" t="str">
        <f t="shared" si="1"/>
        <v/>
      </c>
      <c r="B175" s="40" t="str">
        <f t="shared" si="2"/>
        <v/>
      </c>
      <c r="C175" s="24"/>
      <c r="D175" s="23"/>
      <c r="E175" s="51"/>
      <c r="F175" s="51"/>
      <c r="G175" s="24"/>
      <c r="H175" s="40"/>
      <c r="I175" s="40" t="str">
        <f t="array" ref="I175">IF(G175="","",IFERROR(INDEX('Người sử dụng'!$H$5:$H$140,MATCH(G175,'Người sử dụng'!$C$5:$C$140,0)),"Chưa có trong DS"))</f>
        <v/>
      </c>
      <c r="J175" s="24"/>
      <c r="K175" s="24"/>
      <c r="L175" s="23"/>
      <c r="M175" s="24"/>
      <c r="N175" s="24"/>
      <c r="O175" s="24"/>
      <c r="P175" s="26"/>
      <c r="Q175" s="51"/>
      <c r="R175" s="46"/>
      <c r="S175" s="51"/>
      <c r="T175" s="46"/>
      <c r="U175" s="46"/>
      <c r="V175" s="46"/>
      <c r="W175" s="46"/>
      <c r="X175" s="46"/>
      <c r="Y175" s="46"/>
      <c r="Z175" s="46"/>
      <c r="AA175" s="46"/>
      <c r="AB175" s="46"/>
      <c r="AC175" s="46"/>
      <c r="AD175" s="46"/>
      <c r="AE175" s="46"/>
    </row>
    <row r="176" ht="15.75" customHeight="1">
      <c r="A176" s="40" t="str">
        <f t="shared" si="1"/>
        <v/>
      </c>
      <c r="B176" s="40" t="str">
        <f t="shared" si="2"/>
        <v/>
      </c>
      <c r="C176" s="24"/>
      <c r="D176" s="23"/>
      <c r="E176" s="51"/>
      <c r="F176" s="51"/>
      <c r="G176" s="24"/>
      <c r="H176" s="40"/>
      <c r="I176" s="40" t="str">
        <f t="array" ref="I176">IF(G176="","",IFERROR(INDEX('Người sử dụng'!$H$5:$H$140,MATCH(G176,'Người sử dụng'!$C$5:$C$140,0)),"Chưa có trong DS"))</f>
        <v/>
      </c>
      <c r="J176" s="24"/>
      <c r="K176" s="24"/>
      <c r="L176" s="23"/>
      <c r="M176" s="24"/>
      <c r="N176" s="24"/>
      <c r="O176" s="24"/>
      <c r="P176" s="26"/>
      <c r="Q176" s="51"/>
      <c r="R176" s="46"/>
      <c r="S176" s="51"/>
      <c r="T176" s="46"/>
      <c r="U176" s="46"/>
      <c r="V176" s="46"/>
      <c r="W176" s="46"/>
      <c r="X176" s="46"/>
      <c r="Y176" s="46"/>
      <c r="Z176" s="46"/>
      <c r="AA176" s="46"/>
      <c r="AB176" s="46"/>
      <c r="AC176" s="46"/>
      <c r="AD176" s="46"/>
      <c r="AE176" s="46"/>
    </row>
    <row r="177" ht="15.75" customHeight="1">
      <c r="A177" s="40" t="str">
        <f t="shared" si="1"/>
        <v/>
      </c>
      <c r="B177" s="40" t="str">
        <f t="shared" si="2"/>
        <v/>
      </c>
      <c r="C177" s="24"/>
      <c r="D177" s="23"/>
      <c r="E177" s="51"/>
      <c r="F177" s="51"/>
      <c r="G177" s="24"/>
      <c r="H177" s="40"/>
      <c r="I177" s="40" t="str">
        <f t="array" ref="I177">IF(G177="","",IFERROR(INDEX('Người sử dụng'!$H$5:$H$140,MATCH(G177,'Người sử dụng'!$C$5:$C$140,0)),"Chưa có trong DS"))</f>
        <v/>
      </c>
      <c r="J177" s="24"/>
      <c r="K177" s="24"/>
      <c r="L177" s="23"/>
      <c r="M177" s="24"/>
      <c r="N177" s="24"/>
      <c r="O177" s="24"/>
      <c r="P177" s="26"/>
      <c r="Q177" s="51"/>
      <c r="R177" s="46"/>
      <c r="S177" s="51"/>
      <c r="T177" s="46"/>
      <c r="U177" s="46"/>
      <c r="V177" s="46"/>
      <c r="W177" s="46"/>
      <c r="X177" s="46"/>
      <c r="Y177" s="46"/>
      <c r="Z177" s="46"/>
      <c r="AA177" s="46"/>
      <c r="AB177" s="46"/>
      <c r="AC177" s="46"/>
      <c r="AD177" s="46"/>
      <c r="AE177" s="46"/>
    </row>
    <row r="178" ht="15.75" customHeight="1">
      <c r="A178" s="40" t="str">
        <f t="shared" si="1"/>
        <v/>
      </c>
      <c r="B178" s="40" t="str">
        <f t="shared" si="2"/>
        <v/>
      </c>
      <c r="C178" s="24"/>
      <c r="D178" s="23"/>
      <c r="E178" s="51"/>
      <c r="F178" s="51"/>
      <c r="G178" s="24"/>
      <c r="H178" s="40"/>
      <c r="I178" s="40" t="str">
        <f t="array" ref="I178">IF(G178="","",IFERROR(INDEX('Người sử dụng'!$H$5:$H$140,MATCH(G178,'Người sử dụng'!$C$5:$C$140,0)),"Chưa có trong DS"))</f>
        <v/>
      </c>
      <c r="J178" s="24"/>
      <c r="K178" s="24"/>
      <c r="L178" s="23"/>
      <c r="M178" s="24"/>
      <c r="N178" s="24"/>
      <c r="O178" s="24"/>
      <c r="P178" s="26"/>
      <c r="Q178" s="51"/>
      <c r="R178" s="46"/>
      <c r="S178" s="51"/>
      <c r="T178" s="46"/>
      <c r="U178" s="46"/>
      <c r="V178" s="46"/>
      <c r="W178" s="46"/>
      <c r="X178" s="46"/>
      <c r="Y178" s="46"/>
      <c r="Z178" s="46"/>
      <c r="AA178" s="46"/>
      <c r="AB178" s="46"/>
      <c r="AC178" s="46"/>
      <c r="AD178" s="46"/>
      <c r="AE178" s="46"/>
    </row>
    <row r="179" ht="15.75" customHeight="1">
      <c r="A179" s="40" t="str">
        <f t="shared" si="1"/>
        <v/>
      </c>
      <c r="B179" s="40" t="str">
        <f t="shared" si="2"/>
        <v/>
      </c>
      <c r="C179" s="24"/>
      <c r="D179" s="23"/>
      <c r="E179" s="51"/>
      <c r="F179" s="51"/>
      <c r="G179" s="24"/>
      <c r="H179" s="40"/>
      <c r="I179" s="40" t="str">
        <f t="array" ref="I179">IF(G179="","",IFERROR(INDEX('Người sử dụng'!$H$5:$H$140,MATCH(G179,'Người sử dụng'!$C$5:$C$140,0)),"Chưa có trong DS"))</f>
        <v/>
      </c>
      <c r="J179" s="24"/>
      <c r="K179" s="24"/>
      <c r="L179" s="23"/>
      <c r="M179" s="24"/>
      <c r="N179" s="24"/>
      <c r="O179" s="24"/>
      <c r="P179" s="26"/>
      <c r="Q179" s="51"/>
      <c r="R179" s="46"/>
      <c r="S179" s="51"/>
      <c r="T179" s="46"/>
      <c r="U179" s="46"/>
      <c r="V179" s="46"/>
      <c r="W179" s="46"/>
      <c r="X179" s="46"/>
      <c r="Y179" s="46"/>
      <c r="Z179" s="46"/>
      <c r="AA179" s="46"/>
      <c r="AB179" s="46"/>
      <c r="AC179" s="46"/>
      <c r="AD179" s="46"/>
      <c r="AE179" s="46"/>
    </row>
    <row r="180" ht="15.75" customHeight="1">
      <c r="A180" s="40" t="str">
        <f t="shared" si="1"/>
        <v/>
      </c>
      <c r="B180" s="40" t="str">
        <f t="shared" si="2"/>
        <v/>
      </c>
      <c r="C180" s="24"/>
      <c r="D180" s="23"/>
      <c r="E180" s="51"/>
      <c r="F180" s="51"/>
      <c r="G180" s="24"/>
      <c r="H180" s="40"/>
      <c r="I180" s="40" t="str">
        <f t="array" ref="I180">IF(G180="","",IFERROR(INDEX('Người sử dụng'!$H$5:$H$140,MATCH(G180,'Người sử dụng'!$C$5:$C$140,0)),"Chưa có trong DS"))</f>
        <v/>
      </c>
      <c r="J180" s="24"/>
      <c r="K180" s="24"/>
      <c r="L180" s="23"/>
      <c r="M180" s="24"/>
      <c r="N180" s="24"/>
      <c r="O180" s="24"/>
      <c r="P180" s="26"/>
      <c r="Q180" s="51"/>
      <c r="R180" s="46"/>
      <c r="S180" s="51"/>
      <c r="T180" s="46"/>
      <c r="U180" s="46"/>
      <c r="V180" s="46"/>
      <c r="W180" s="46"/>
      <c r="X180" s="46"/>
      <c r="Y180" s="46"/>
      <c r="Z180" s="46"/>
      <c r="AA180" s="46"/>
      <c r="AB180" s="46"/>
      <c r="AC180" s="46"/>
      <c r="AD180" s="46"/>
      <c r="AE180" s="46"/>
    </row>
    <row r="181" ht="15.75" customHeight="1">
      <c r="A181" s="40" t="str">
        <f t="shared" si="1"/>
        <v/>
      </c>
      <c r="B181" s="40" t="str">
        <f t="shared" si="2"/>
        <v/>
      </c>
      <c r="C181" s="24"/>
      <c r="D181" s="23"/>
      <c r="E181" s="51"/>
      <c r="F181" s="51"/>
      <c r="G181" s="24"/>
      <c r="H181" s="40"/>
      <c r="I181" s="40" t="str">
        <f t="array" ref="I181">IF(G181="","",IFERROR(INDEX('Người sử dụng'!$H$5:$H$140,MATCH(G181,'Người sử dụng'!$C$5:$C$140,0)),"Chưa có trong DS"))</f>
        <v/>
      </c>
      <c r="J181" s="24"/>
      <c r="K181" s="24"/>
      <c r="L181" s="23"/>
      <c r="M181" s="24"/>
      <c r="N181" s="24"/>
      <c r="O181" s="24"/>
      <c r="P181" s="26"/>
      <c r="Q181" s="51"/>
      <c r="R181" s="46"/>
      <c r="S181" s="51"/>
      <c r="T181" s="46"/>
      <c r="U181" s="46"/>
      <c r="V181" s="46"/>
      <c r="W181" s="46"/>
      <c r="X181" s="46"/>
      <c r="Y181" s="46"/>
      <c r="Z181" s="46"/>
      <c r="AA181" s="46"/>
      <c r="AB181" s="46"/>
      <c r="AC181" s="46"/>
      <c r="AD181" s="46"/>
      <c r="AE181" s="46"/>
    </row>
    <row r="182" ht="15.75" customHeight="1">
      <c r="A182" s="40" t="str">
        <f t="shared" si="1"/>
        <v/>
      </c>
      <c r="B182" s="40" t="str">
        <f t="shared" si="2"/>
        <v/>
      </c>
      <c r="C182" s="24"/>
      <c r="D182" s="23"/>
      <c r="E182" s="51"/>
      <c r="F182" s="51"/>
      <c r="G182" s="24"/>
      <c r="H182" s="40"/>
      <c r="I182" s="40" t="str">
        <f t="array" ref="I182">IF(G182="","",IFERROR(INDEX('Người sử dụng'!$H$5:$H$140,MATCH(G182,'Người sử dụng'!$C$5:$C$140,0)),"Chưa có trong DS"))</f>
        <v/>
      </c>
      <c r="J182" s="24"/>
      <c r="K182" s="24"/>
      <c r="L182" s="23"/>
      <c r="M182" s="24"/>
      <c r="N182" s="24"/>
      <c r="O182" s="24"/>
      <c r="P182" s="26"/>
      <c r="Q182" s="51"/>
      <c r="R182" s="46"/>
      <c r="S182" s="51"/>
      <c r="T182" s="46"/>
      <c r="U182" s="46"/>
      <c r="V182" s="46"/>
      <c r="W182" s="46"/>
      <c r="X182" s="46"/>
      <c r="Y182" s="46"/>
      <c r="Z182" s="46"/>
      <c r="AA182" s="46"/>
      <c r="AB182" s="46"/>
      <c r="AC182" s="46"/>
      <c r="AD182" s="46"/>
      <c r="AE182" s="46"/>
    </row>
    <row r="183" ht="15.75" customHeight="1">
      <c r="A183" s="40" t="str">
        <f t="shared" si="1"/>
        <v/>
      </c>
      <c r="B183" s="40" t="str">
        <f t="shared" si="2"/>
        <v/>
      </c>
      <c r="C183" s="24"/>
      <c r="D183" s="23"/>
      <c r="E183" s="51"/>
      <c r="F183" s="51"/>
      <c r="G183" s="24"/>
      <c r="H183" s="40"/>
      <c r="I183" s="40" t="str">
        <f t="array" ref="I183">IF(G183="","",IFERROR(INDEX('Người sử dụng'!$H$5:$H$140,MATCH(G183,'Người sử dụng'!$C$5:$C$140,0)),"Chưa có trong DS"))</f>
        <v/>
      </c>
      <c r="J183" s="24"/>
      <c r="K183" s="24"/>
      <c r="L183" s="23"/>
      <c r="M183" s="24"/>
      <c r="N183" s="24"/>
      <c r="O183" s="24"/>
      <c r="P183" s="26"/>
      <c r="Q183" s="51"/>
      <c r="R183" s="46"/>
      <c r="S183" s="51"/>
      <c r="T183" s="46"/>
      <c r="U183" s="46"/>
      <c r="V183" s="46"/>
      <c r="W183" s="46"/>
      <c r="X183" s="46"/>
      <c r="Y183" s="46"/>
      <c r="Z183" s="46"/>
      <c r="AA183" s="46"/>
      <c r="AB183" s="46"/>
      <c r="AC183" s="46"/>
      <c r="AD183" s="46"/>
      <c r="AE183" s="46"/>
    </row>
    <row r="184" ht="15.75" customHeight="1">
      <c r="A184" s="40" t="str">
        <f t="shared" si="1"/>
        <v/>
      </c>
      <c r="B184" s="40" t="str">
        <f t="shared" si="2"/>
        <v/>
      </c>
      <c r="C184" s="24"/>
      <c r="D184" s="23"/>
      <c r="E184" s="51"/>
      <c r="F184" s="51"/>
      <c r="G184" s="24"/>
      <c r="H184" s="40"/>
      <c r="I184" s="40" t="str">
        <f t="array" ref="I184">IF(G184="","",IFERROR(INDEX('Người sử dụng'!$H$5:$H$140,MATCH(G184,'Người sử dụng'!$C$5:$C$140,0)),"Chưa có trong DS"))</f>
        <v/>
      </c>
      <c r="J184" s="24"/>
      <c r="K184" s="24"/>
      <c r="L184" s="23"/>
      <c r="M184" s="24"/>
      <c r="N184" s="24"/>
      <c r="O184" s="24"/>
      <c r="P184" s="26"/>
      <c r="Q184" s="51"/>
      <c r="R184" s="46"/>
      <c r="S184" s="51"/>
      <c r="T184" s="46"/>
      <c r="U184" s="46"/>
      <c r="V184" s="46"/>
      <c r="W184" s="46"/>
      <c r="X184" s="46"/>
      <c r="Y184" s="46"/>
      <c r="Z184" s="46"/>
      <c r="AA184" s="46"/>
      <c r="AB184" s="46"/>
      <c r="AC184" s="46"/>
      <c r="AD184" s="46"/>
      <c r="AE184" s="46"/>
    </row>
    <row r="185" ht="15.75" customHeight="1">
      <c r="A185" s="40" t="str">
        <f t="shared" si="1"/>
        <v/>
      </c>
      <c r="B185" s="40" t="str">
        <f t="shared" si="2"/>
        <v/>
      </c>
      <c r="C185" s="24"/>
      <c r="D185" s="23"/>
      <c r="E185" s="51"/>
      <c r="F185" s="51"/>
      <c r="G185" s="24"/>
      <c r="H185" s="40"/>
      <c r="I185" s="40" t="str">
        <f t="array" ref="I185">IF(G185="","",IFERROR(INDEX('Người sử dụng'!$H$5:$H$140,MATCH(G185,'Người sử dụng'!$C$5:$C$140,0)),"Chưa có trong DS"))</f>
        <v/>
      </c>
      <c r="J185" s="24"/>
      <c r="K185" s="24"/>
      <c r="L185" s="23"/>
      <c r="M185" s="24"/>
      <c r="N185" s="24"/>
      <c r="O185" s="24"/>
      <c r="P185" s="26"/>
      <c r="Q185" s="51"/>
      <c r="R185" s="46"/>
      <c r="S185" s="51"/>
      <c r="T185" s="46"/>
      <c r="U185" s="46"/>
      <c r="V185" s="46"/>
      <c r="W185" s="46"/>
      <c r="X185" s="46"/>
      <c r="Y185" s="46"/>
      <c r="Z185" s="46"/>
      <c r="AA185" s="46"/>
      <c r="AB185" s="46"/>
      <c r="AC185" s="46"/>
      <c r="AD185" s="46"/>
      <c r="AE185" s="46"/>
    </row>
    <row r="186" ht="15.75" customHeight="1">
      <c r="A186" s="40" t="str">
        <f t="shared" si="1"/>
        <v/>
      </c>
      <c r="B186" s="40" t="str">
        <f t="shared" si="2"/>
        <v/>
      </c>
      <c r="C186" s="24"/>
      <c r="D186" s="23"/>
      <c r="E186" s="51"/>
      <c r="F186" s="51"/>
      <c r="G186" s="24"/>
      <c r="H186" s="40"/>
      <c r="I186" s="40" t="str">
        <f t="array" ref="I186">IF(G186="","",IFERROR(INDEX('Người sử dụng'!$H$5:$H$140,MATCH(G186,'Người sử dụng'!$C$5:$C$140,0)),"Chưa có trong DS"))</f>
        <v/>
      </c>
      <c r="J186" s="24"/>
      <c r="K186" s="24"/>
      <c r="L186" s="23"/>
      <c r="M186" s="24"/>
      <c r="N186" s="24"/>
      <c r="O186" s="24"/>
      <c r="P186" s="26"/>
      <c r="Q186" s="51"/>
      <c r="R186" s="46"/>
      <c r="S186" s="51"/>
      <c r="T186" s="46"/>
      <c r="U186" s="46"/>
      <c r="V186" s="46"/>
      <c r="W186" s="46"/>
      <c r="X186" s="46"/>
      <c r="Y186" s="46"/>
      <c r="Z186" s="46"/>
      <c r="AA186" s="46"/>
      <c r="AB186" s="46"/>
      <c r="AC186" s="46"/>
      <c r="AD186" s="46"/>
      <c r="AE186" s="46"/>
    </row>
    <row r="187" ht="15.75" customHeight="1">
      <c r="A187" s="40" t="str">
        <f t="shared" si="1"/>
        <v/>
      </c>
      <c r="B187" s="40" t="str">
        <f t="shared" si="2"/>
        <v/>
      </c>
      <c r="C187" s="24"/>
      <c r="D187" s="23"/>
      <c r="E187" s="51"/>
      <c r="F187" s="51"/>
      <c r="G187" s="24"/>
      <c r="H187" s="40"/>
      <c r="I187" s="40" t="str">
        <f t="array" ref="I187">IF(G187="","",IFERROR(INDEX('Người sử dụng'!$H$5:$H$140,MATCH(G187,'Người sử dụng'!$C$5:$C$140,0)),"Chưa có trong DS"))</f>
        <v/>
      </c>
      <c r="J187" s="24"/>
      <c r="K187" s="24"/>
      <c r="L187" s="23"/>
      <c r="M187" s="24"/>
      <c r="N187" s="24"/>
      <c r="O187" s="24"/>
      <c r="P187" s="26"/>
      <c r="Q187" s="51"/>
      <c r="R187" s="46"/>
      <c r="S187" s="51"/>
      <c r="T187" s="46"/>
      <c r="U187" s="46"/>
      <c r="V187" s="46"/>
      <c r="W187" s="46"/>
      <c r="X187" s="46"/>
      <c r="Y187" s="46"/>
      <c r="Z187" s="46"/>
      <c r="AA187" s="46"/>
      <c r="AB187" s="46"/>
      <c r="AC187" s="46"/>
      <c r="AD187" s="46"/>
      <c r="AE187" s="46"/>
    </row>
    <row r="188" ht="15.75" customHeight="1">
      <c r="A188" s="40" t="str">
        <f t="shared" si="1"/>
        <v/>
      </c>
      <c r="B188" s="40" t="str">
        <f t="shared" si="2"/>
        <v/>
      </c>
      <c r="C188" s="24"/>
      <c r="D188" s="23"/>
      <c r="E188" s="51"/>
      <c r="F188" s="51"/>
      <c r="G188" s="24"/>
      <c r="H188" s="40"/>
      <c r="I188" s="40" t="str">
        <f t="array" ref="I188">IF(G188="","",IFERROR(INDEX('Người sử dụng'!$H$5:$H$140,MATCH(G188,'Người sử dụng'!$C$5:$C$140,0)),"Chưa có trong DS"))</f>
        <v/>
      </c>
      <c r="J188" s="24"/>
      <c r="K188" s="24"/>
      <c r="L188" s="23"/>
      <c r="M188" s="24"/>
      <c r="N188" s="24"/>
      <c r="O188" s="24"/>
      <c r="P188" s="26"/>
      <c r="Q188" s="51"/>
      <c r="R188" s="46"/>
      <c r="S188" s="51"/>
      <c r="T188" s="46"/>
      <c r="U188" s="46"/>
      <c r="V188" s="46"/>
      <c r="W188" s="46"/>
      <c r="X188" s="46"/>
      <c r="Y188" s="46"/>
      <c r="Z188" s="46"/>
      <c r="AA188" s="46"/>
      <c r="AB188" s="46"/>
      <c r="AC188" s="46"/>
      <c r="AD188" s="46"/>
      <c r="AE188" s="46"/>
    </row>
    <row r="189" ht="15.75" customHeight="1">
      <c r="A189" s="40" t="str">
        <f t="shared" si="1"/>
        <v/>
      </c>
      <c r="B189" s="40" t="str">
        <f t="shared" si="2"/>
        <v/>
      </c>
      <c r="C189" s="24"/>
      <c r="D189" s="23"/>
      <c r="E189" s="51"/>
      <c r="F189" s="51"/>
      <c r="G189" s="24"/>
      <c r="H189" s="40"/>
      <c r="I189" s="40" t="str">
        <f t="array" ref="I189">IF(G189="","",IFERROR(INDEX('Người sử dụng'!$H$5:$H$140,MATCH(G189,'Người sử dụng'!$C$5:$C$140,0)),"Chưa có trong DS"))</f>
        <v/>
      </c>
      <c r="J189" s="24"/>
      <c r="K189" s="24"/>
      <c r="L189" s="23"/>
      <c r="M189" s="24"/>
      <c r="N189" s="24"/>
      <c r="O189" s="24"/>
      <c r="P189" s="26"/>
      <c r="Q189" s="51"/>
      <c r="R189" s="46"/>
      <c r="S189" s="51"/>
      <c r="T189" s="46"/>
      <c r="U189" s="46"/>
      <c r="V189" s="46"/>
      <c r="W189" s="46"/>
      <c r="X189" s="46"/>
      <c r="Y189" s="46"/>
      <c r="Z189" s="46"/>
      <c r="AA189" s="46"/>
      <c r="AB189" s="46"/>
      <c r="AC189" s="46"/>
      <c r="AD189" s="46"/>
      <c r="AE189" s="46"/>
    </row>
    <row r="190" ht="15.75" customHeight="1">
      <c r="A190" s="40" t="str">
        <f t="shared" si="1"/>
        <v/>
      </c>
      <c r="B190" s="40" t="str">
        <f t="shared" si="2"/>
        <v/>
      </c>
      <c r="C190" s="24"/>
      <c r="D190" s="23"/>
      <c r="E190" s="51"/>
      <c r="F190" s="51"/>
      <c r="G190" s="24"/>
      <c r="H190" s="40"/>
      <c r="I190" s="40" t="str">
        <f t="array" ref="I190">IF(G190="","",IFERROR(INDEX('Người sử dụng'!$H$5:$H$140,MATCH(G190,'Người sử dụng'!$C$5:$C$140,0)),"Chưa có trong DS"))</f>
        <v/>
      </c>
      <c r="J190" s="24"/>
      <c r="K190" s="24"/>
      <c r="L190" s="23"/>
      <c r="M190" s="24"/>
      <c r="N190" s="24"/>
      <c r="O190" s="24"/>
      <c r="P190" s="26"/>
      <c r="Q190" s="51"/>
      <c r="R190" s="46"/>
      <c r="S190" s="51"/>
      <c r="T190" s="46"/>
      <c r="U190" s="46"/>
      <c r="V190" s="46"/>
      <c r="W190" s="46"/>
      <c r="X190" s="46"/>
      <c r="Y190" s="46"/>
      <c r="Z190" s="46"/>
      <c r="AA190" s="46"/>
      <c r="AB190" s="46"/>
      <c r="AC190" s="46"/>
      <c r="AD190" s="46"/>
      <c r="AE190" s="46"/>
    </row>
    <row r="191" ht="15.75" customHeight="1">
      <c r="A191" s="40" t="str">
        <f t="shared" si="1"/>
        <v/>
      </c>
      <c r="B191" s="40" t="str">
        <f t="shared" si="2"/>
        <v/>
      </c>
      <c r="C191" s="24"/>
      <c r="D191" s="23"/>
      <c r="E191" s="51"/>
      <c r="F191" s="51"/>
      <c r="G191" s="24"/>
      <c r="H191" s="40"/>
      <c r="I191" s="40" t="str">
        <f t="array" ref="I191">IF(G191="","",IFERROR(INDEX('Người sử dụng'!$H$5:$H$140,MATCH(G191,'Người sử dụng'!$C$5:$C$140,0)),"Chưa có trong DS"))</f>
        <v/>
      </c>
      <c r="J191" s="24"/>
      <c r="K191" s="24"/>
      <c r="L191" s="23"/>
      <c r="M191" s="24"/>
      <c r="N191" s="24"/>
      <c r="O191" s="24"/>
      <c r="P191" s="26"/>
      <c r="Q191" s="51"/>
      <c r="R191" s="46"/>
      <c r="S191" s="51"/>
      <c r="T191" s="46"/>
      <c r="U191" s="46"/>
      <c r="V191" s="46"/>
      <c r="W191" s="46"/>
      <c r="X191" s="46"/>
      <c r="Y191" s="46"/>
      <c r="Z191" s="46"/>
      <c r="AA191" s="46"/>
      <c r="AB191" s="46"/>
      <c r="AC191" s="46"/>
      <c r="AD191" s="46"/>
      <c r="AE191" s="46"/>
    </row>
    <row r="192" ht="15.75" customHeight="1">
      <c r="A192" s="40" t="str">
        <f t="shared" si="1"/>
        <v/>
      </c>
      <c r="B192" s="40" t="str">
        <f t="shared" si="2"/>
        <v/>
      </c>
      <c r="C192" s="24"/>
      <c r="D192" s="23"/>
      <c r="E192" s="51"/>
      <c r="F192" s="51"/>
      <c r="G192" s="24"/>
      <c r="H192" s="40"/>
      <c r="I192" s="40" t="str">
        <f t="array" ref="I192">IF(G192="","",IFERROR(INDEX('Người sử dụng'!$H$5:$H$140,MATCH(G192,'Người sử dụng'!$C$5:$C$140,0)),"Chưa có trong DS"))</f>
        <v/>
      </c>
      <c r="J192" s="24"/>
      <c r="K192" s="24"/>
      <c r="L192" s="23"/>
      <c r="M192" s="24"/>
      <c r="N192" s="24"/>
      <c r="O192" s="24"/>
      <c r="P192" s="26"/>
      <c r="Q192" s="51"/>
      <c r="R192" s="46"/>
      <c r="S192" s="51"/>
      <c r="T192" s="46"/>
      <c r="U192" s="46"/>
      <c r="V192" s="46"/>
      <c r="W192" s="46"/>
      <c r="X192" s="46"/>
      <c r="Y192" s="46"/>
      <c r="Z192" s="46"/>
      <c r="AA192" s="46"/>
      <c r="AB192" s="46"/>
      <c r="AC192" s="46"/>
      <c r="AD192" s="46"/>
      <c r="AE192" s="46"/>
    </row>
    <row r="193" ht="15.75" customHeight="1">
      <c r="A193" s="40" t="str">
        <f t="shared" si="1"/>
        <v/>
      </c>
      <c r="B193" s="40" t="str">
        <f t="shared" si="2"/>
        <v/>
      </c>
      <c r="C193" s="24"/>
      <c r="D193" s="23"/>
      <c r="E193" s="51"/>
      <c r="F193" s="51"/>
      <c r="G193" s="24"/>
      <c r="H193" s="40"/>
      <c r="I193" s="40" t="str">
        <f t="array" ref="I193">IF(G193="","",IFERROR(INDEX('Người sử dụng'!$H$5:$H$140,MATCH(G193,'Người sử dụng'!$C$5:$C$140,0)),"Chưa có trong DS"))</f>
        <v/>
      </c>
      <c r="J193" s="24"/>
      <c r="K193" s="24"/>
      <c r="L193" s="23"/>
      <c r="M193" s="24"/>
      <c r="N193" s="24"/>
      <c r="O193" s="24"/>
      <c r="P193" s="26"/>
      <c r="Q193" s="51"/>
      <c r="R193" s="46"/>
      <c r="S193" s="51"/>
      <c r="T193" s="46"/>
      <c r="U193" s="46"/>
      <c r="V193" s="46"/>
      <c r="W193" s="46"/>
      <c r="X193" s="46"/>
      <c r="Y193" s="46"/>
      <c r="Z193" s="46"/>
      <c r="AA193" s="46"/>
      <c r="AB193" s="46"/>
      <c r="AC193" s="46"/>
      <c r="AD193" s="46"/>
      <c r="AE193" s="46"/>
    </row>
    <row r="194" ht="15.75" customHeight="1">
      <c r="A194" s="40" t="str">
        <f t="shared" si="1"/>
        <v/>
      </c>
      <c r="B194" s="40" t="str">
        <f t="shared" si="2"/>
        <v/>
      </c>
      <c r="C194" s="24"/>
      <c r="D194" s="23"/>
      <c r="E194" s="51"/>
      <c r="F194" s="51"/>
      <c r="G194" s="24"/>
      <c r="H194" s="40"/>
      <c r="I194" s="40" t="str">
        <f t="array" ref="I194">IF(G194="","",IFERROR(INDEX('Người sử dụng'!$H$5:$H$140,MATCH(G194,'Người sử dụng'!$C$5:$C$140,0)),"Chưa có trong DS"))</f>
        <v/>
      </c>
      <c r="J194" s="24"/>
      <c r="K194" s="24"/>
      <c r="L194" s="23"/>
      <c r="M194" s="24"/>
      <c r="N194" s="24"/>
      <c r="O194" s="24"/>
      <c r="P194" s="26"/>
      <c r="Q194" s="51"/>
      <c r="R194" s="46"/>
      <c r="S194" s="51"/>
      <c r="T194" s="46"/>
      <c r="U194" s="46"/>
      <c r="V194" s="46"/>
      <c r="W194" s="46"/>
      <c r="X194" s="46"/>
      <c r="Y194" s="46"/>
      <c r="Z194" s="46"/>
      <c r="AA194" s="46"/>
      <c r="AB194" s="46"/>
      <c r="AC194" s="46"/>
      <c r="AD194" s="46"/>
      <c r="AE194" s="46"/>
    </row>
    <row r="195" ht="15.75" customHeight="1">
      <c r="A195" s="40" t="str">
        <f t="shared" si="1"/>
        <v/>
      </c>
      <c r="B195" s="40" t="str">
        <f t="shared" si="2"/>
        <v/>
      </c>
      <c r="C195" s="24"/>
      <c r="D195" s="23"/>
      <c r="E195" s="51"/>
      <c r="F195" s="51"/>
      <c r="G195" s="24"/>
      <c r="H195" s="40"/>
      <c r="I195" s="40" t="str">
        <f t="array" ref="I195">IF(G195="","",IFERROR(INDEX('Người sử dụng'!$H$5:$H$140,MATCH(G195,'Người sử dụng'!$C$5:$C$140,0)),"Chưa có trong DS"))</f>
        <v/>
      </c>
      <c r="J195" s="24"/>
      <c r="K195" s="24"/>
      <c r="L195" s="23"/>
      <c r="M195" s="24"/>
      <c r="N195" s="24"/>
      <c r="O195" s="24"/>
      <c r="P195" s="26"/>
      <c r="Q195" s="51"/>
      <c r="R195" s="46"/>
      <c r="S195" s="51"/>
      <c r="T195" s="46"/>
      <c r="U195" s="46"/>
      <c r="V195" s="46"/>
      <c r="W195" s="46"/>
      <c r="X195" s="46"/>
      <c r="Y195" s="46"/>
      <c r="Z195" s="46"/>
      <c r="AA195" s="46"/>
      <c r="AB195" s="46"/>
      <c r="AC195" s="46"/>
      <c r="AD195" s="46"/>
      <c r="AE195" s="46"/>
    </row>
    <row r="196" ht="15.75" customHeight="1">
      <c r="A196" s="40" t="str">
        <f t="shared" si="1"/>
        <v/>
      </c>
      <c r="B196" s="40" t="str">
        <f t="shared" si="2"/>
        <v/>
      </c>
      <c r="C196" s="24"/>
      <c r="D196" s="23"/>
      <c r="E196" s="51"/>
      <c r="F196" s="51"/>
      <c r="G196" s="24"/>
      <c r="H196" s="40"/>
      <c r="I196" s="40" t="str">
        <f t="array" ref="I196">IF(G196="","",IFERROR(INDEX('Người sử dụng'!$H$5:$H$140,MATCH(G196,'Người sử dụng'!$C$5:$C$140,0)),"Chưa có trong DS"))</f>
        <v/>
      </c>
      <c r="J196" s="24"/>
      <c r="K196" s="24"/>
      <c r="L196" s="23"/>
      <c r="M196" s="24"/>
      <c r="N196" s="24"/>
      <c r="O196" s="24"/>
      <c r="P196" s="26"/>
      <c r="Q196" s="51"/>
      <c r="R196" s="46"/>
      <c r="S196" s="51"/>
      <c r="T196" s="46"/>
      <c r="U196" s="46"/>
      <c r="V196" s="46"/>
      <c r="W196" s="46"/>
      <c r="X196" s="46"/>
      <c r="Y196" s="46"/>
      <c r="Z196" s="46"/>
      <c r="AA196" s="46"/>
      <c r="AB196" s="46"/>
      <c r="AC196" s="46"/>
      <c r="AD196" s="46"/>
      <c r="AE196" s="46"/>
    </row>
    <row r="197" ht="15.75" customHeight="1">
      <c r="A197" s="40" t="str">
        <f t="shared" si="1"/>
        <v/>
      </c>
      <c r="B197" s="40" t="str">
        <f t="shared" si="2"/>
        <v/>
      </c>
      <c r="C197" s="24"/>
      <c r="D197" s="23"/>
      <c r="E197" s="51"/>
      <c r="F197" s="51"/>
      <c r="G197" s="24"/>
      <c r="H197" s="40"/>
      <c r="I197" s="40" t="str">
        <f t="array" ref="I197">IF(G197="","",IFERROR(INDEX('Người sử dụng'!$H$5:$H$140,MATCH(G197,'Người sử dụng'!$C$5:$C$140,0)),"Chưa có trong DS"))</f>
        <v/>
      </c>
      <c r="J197" s="24"/>
      <c r="K197" s="24"/>
      <c r="L197" s="23"/>
      <c r="M197" s="24"/>
      <c r="N197" s="24"/>
      <c r="O197" s="24"/>
      <c r="P197" s="26"/>
      <c r="Q197" s="51"/>
      <c r="R197" s="46"/>
      <c r="S197" s="51"/>
      <c r="T197" s="46"/>
      <c r="U197" s="46"/>
      <c r="V197" s="46"/>
      <c r="W197" s="46"/>
      <c r="X197" s="46"/>
      <c r="Y197" s="46"/>
      <c r="Z197" s="46"/>
      <c r="AA197" s="46"/>
      <c r="AB197" s="46"/>
      <c r="AC197" s="46"/>
      <c r="AD197" s="46"/>
      <c r="AE197" s="46"/>
    </row>
    <row r="198" ht="15.75" customHeight="1">
      <c r="A198" s="40" t="str">
        <f t="shared" si="1"/>
        <v/>
      </c>
      <c r="B198" s="40" t="str">
        <f t="shared" si="2"/>
        <v/>
      </c>
      <c r="C198" s="24"/>
      <c r="D198" s="23"/>
      <c r="E198" s="51"/>
      <c r="F198" s="51"/>
      <c r="G198" s="24"/>
      <c r="H198" s="40"/>
      <c r="I198" s="40" t="str">
        <f t="array" ref="I198">IF(G198="","",IFERROR(INDEX('Người sử dụng'!$H$5:$H$140,MATCH(G198,'Người sử dụng'!$C$5:$C$140,0)),"Chưa có trong DS"))</f>
        <v/>
      </c>
      <c r="J198" s="24"/>
      <c r="K198" s="24"/>
      <c r="L198" s="23"/>
      <c r="M198" s="24"/>
      <c r="N198" s="24"/>
      <c r="O198" s="24"/>
      <c r="P198" s="26"/>
      <c r="Q198" s="51"/>
      <c r="R198" s="46"/>
      <c r="S198" s="51"/>
      <c r="T198" s="46"/>
      <c r="U198" s="46"/>
      <c r="V198" s="46"/>
      <c r="W198" s="46"/>
      <c r="X198" s="46"/>
      <c r="Y198" s="46"/>
      <c r="Z198" s="46"/>
      <c r="AA198" s="46"/>
      <c r="AB198" s="46"/>
      <c r="AC198" s="46"/>
      <c r="AD198" s="46"/>
      <c r="AE198" s="46"/>
    </row>
    <row r="199" ht="15.75" customHeight="1">
      <c r="A199" s="40" t="str">
        <f t="shared" si="1"/>
        <v/>
      </c>
      <c r="B199" s="40" t="str">
        <f t="shared" si="2"/>
        <v/>
      </c>
      <c r="C199" s="24"/>
      <c r="D199" s="23"/>
      <c r="E199" s="51"/>
      <c r="F199" s="51"/>
      <c r="G199" s="24"/>
      <c r="H199" s="40"/>
      <c r="I199" s="40" t="str">
        <f t="array" ref="I199">IF(G199="","",IFERROR(INDEX('Người sử dụng'!$H$5:$H$140,MATCH(G199,'Người sử dụng'!$C$5:$C$140,0)),"Chưa có trong DS"))</f>
        <v/>
      </c>
      <c r="J199" s="24"/>
      <c r="K199" s="24"/>
      <c r="L199" s="23"/>
      <c r="M199" s="24"/>
      <c r="N199" s="24"/>
      <c r="O199" s="24"/>
      <c r="P199" s="26"/>
      <c r="Q199" s="51"/>
      <c r="R199" s="46"/>
      <c r="S199" s="51"/>
      <c r="T199" s="46"/>
      <c r="U199" s="46"/>
      <c r="V199" s="46"/>
      <c r="W199" s="46"/>
      <c r="X199" s="46"/>
      <c r="Y199" s="46"/>
      <c r="Z199" s="46"/>
      <c r="AA199" s="46"/>
      <c r="AB199" s="46"/>
      <c r="AC199" s="46"/>
      <c r="AD199" s="46"/>
      <c r="AE199" s="46"/>
    </row>
    <row r="200" ht="15.75" customHeight="1">
      <c r="A200" s="40" t="str">
        <f t="shared" si="1"/>
        <v/>
      </c>
      <c r="B200" s="40" t="str">
        <f t="shared" si="2"/>
        <v/>
      </c>
      <c r="C200" s="24"/>
      <c r="D200" s="23"/>
      <c r="E200" s="51"/>
      <c r="F200" s="51"/>
      <c r="G200" s="24"/>
      <c r="H200" s="40"/>
      <c r="I200" s="40" t="str">
        <f t="array" ref="I200">IF(G200="","",IFERROR(INDEX('Người sử dụng'!$H$5:$H$140,MATCH(G200,'Người sử dụng'!$C$5:$C$140,0)),"Chưa có trong DS"))</f>
        <v/>
      </c>
      <c r="J200" s="24"/>
      <c r="K200" s="24"/>
      <c r="L200" s="23"/>
      <c r="M200" s="24"/>
      <c r="N200" s="24"/>
      <c r="O200" s="24"/>
      <c r="P200" s="26"/>
      <c r="Q200" s="51"/>
      <c r="R200" s="46"/>
      <c r="S200" s="51"/>
      <c r="T200" s="46"/>
      <c r="U200" s="46"/>
      <c r="V200" s="46"/>
      <c r="W200" s="46"/>
      <c r="X200" s="46"/>
      <c r="Y200" s="46"/>
      <c r="Z200" s="46"/>
      <c r="AA200" s="46"/>
      <c r="AB200" s="46"/>
      <c r="AC200" s="46"/>
      <c r="AD200" s="46"/>
      <c r="AE200" s="46"/>
    </row>
    <row r="201" ht="15.75" customHeight="1">
      <c r="A201" s="40" t="str">
        <f t="shared" si="1"/>
        <v/>
      </c>
      <c r="B201" s="40" t="str">
        <f t="shared" si="2"/>
        <v/>
      </c>
      <c r="C201" s="24"/>
      <c r="D201" s="23"/>
      <c r="E201" s="51"/>
      <c r="F201" s="51"/>
      <c r="G201" s="24"/>
      <c r="H201" s="40"/>
      <c r="I201" s="40" t="str">
        <f t="array" ref="I201">IF(G201="","",IFERROR(INDEX('Người sử dụng'!$H$5:$H$140,MATCH(G201,'Người sử dụng'!$C$5:$C$140,0)),"Chưa có trong DS"))</f>
        <v/>
      </c>
      <c r="J201" s="24"/>
      <c r="K201" s="24"/>
      <c r="L201" s="23"/>
      <c r="M201" s="24"/>
      <c r="N201" s="24"/>
      <c r="O201" s="24"/>
      <c r="P201" s="26"/>
      <c r="Q201" s="51"/>
      <c r="R201" s="46"/>
      <c r="S201" s="51"/>
      <c r="T201" s="46"/>
      <c r="U201" s="46"/>
      <c r="V201" s="46"/>
      <c r="W201" s="46"/>
      <c r="X201" s="46"/>
      <c r="Y201" s="46"/>
      <c r="Z201" s="46"/>
      <c r="AA201" s="46"/>
      <c r="AB201" s="46"/>
      <c r="AC201" s="46"/>
      <c r="AD201" s="46"/>
      <c r="AE201" s="46"/>
    </row>
    <row r="202" ht="15.75" customHeight="1">
      <c r="A202" s="40" t="str">
        <f t="shared" si="1"/>
        <v/>
      </c>
      <c r="B202" s="40" t="str">
        <f t="shared" si="2"/>
        <v/>
      </c>
      <c r="C202" s="24"/>
      <c r="D202" s="23"/>
      <c r="E202" s="51"/>
      <c r="F202" s="51"/>
      <c r="G202" s="24"/>
      <c r="H202" s="40"/>
      <c r="I202" s="40" t="str">
        <f t="array" ref="I202">IF(G202="","",IFERROR(INDEX('Người sử dụng'!$H$5:$H$140,MATCH(G202,'Người sử dụng'!$C$5:$C$140,0)),"Chưa có trong DS"))</f>
        <v/>
      </c>
      <c r="J202" s="24"/>
      <c r="K202" s="24"/>
      <c r="L202" s="23"/>
      <c r="M202" s="24"/>
      <c r="N202" s="24"/>
      <c r="O202" s="24"/>
      <c r="P202" s="26"/>
      <c r="Q202" s="51"/>
      <c r="R202" s="46"/>
      <c r="S202" s="51"/>
      <c r="T202" s="46"/>
      <c r="U202" s="46"/>
      <c r="V202" s="46"/>
      <c r="W202" s="46"/>
      <c r="X202" s="46"/>
      <c r="Y202" s="46"/>
      <c r="Z202" s="46"/>
      <c r="AA202" s="46"/>
      <c r="AB202" s="46"/>
      <c r="AC202" s="46"/>
      <c r="AD202" s="46"/>
      <c r="AE202" s="46"/>
    </row>
    <row r="203" ht="15.75" customHeight="1">
      <c r="A203" s="40" t="str">
        <f t="shared" si="1"/>
        <v/>
      </c>
      <c r="B203" s="40" t="str">
        <f t="shared" si="2"/>
        <v/>
      </c>
      <c r="C203" s="24"/>
      <c r="D203" s="23"/>
      <c r="E203" s="51"/>
      <c r="F203" s="51"/>
      <c r="G203" s="24"/>
      <c r="H203" s="40"/>
      <c r="I203" s="40" t="str">
        <f t="array" ref="I203">IF(G203="","",IFERROR(INDEX('Người sử dụng'!$H$5:$H$140,MATCH(G203,'Người sử dụng'!$C$5:$C$140,0)),"Chưa có trong DS"))</f>
        <v/>
      </c>
      <c r="J203" s="24"/>
      <c r="K203" s="24"/>
      <c r="L203" s="23"/>
      <c r="M203" s="24"/>
      <c r="N203" s="24"/>
      <c r="O203" s="24"/>
      <c r="P203" s="26"/>
      <c r="Q203" s="51"/>
      <c r="R203" s="46"/>
      <c r="S203" s="51"/>
      <c r="T203" s="46"/>
      <c r="U203" s="46"/>
      <c r="V203" s="46"/>
      <c r="W203" s="46"/>
      <c r="X203" s="46"/>
      <c r="Y203" s="46"/>
      <c r="Z203" s="46"/>
      <c r="AA203" s="46"/>
      <c r="AB203" s="46"/>
      <c r="AC203" s="46"/>
      <c r="AD203" s="46"/>
      <c r="AE203" s="46"/>
    </row>
    <row r="204" ht="15.75" customHeight="1">
      <c r="A204" s="40" t="str">
        <f t="shared" si="1"/>
        <v/>
      </c>
      <c r="B204" s="40" t="str">
        <f t="shared" si="2"/>
        <v/>
      </c>
      <c r="C204" s="24"/>
      <c r="D204" s="23"/>
      <c r="E204" s="51"/>
      <c r="F204" s="51"/>
      <c r="G204" s="24"/>
      <c r="H204" s="40"/>
      <c r="I204" s="40" t="str">
        <f t="array" ref="I204">IF(G204="","",IFERROR(INDEX('Người sử dụng'!$H$5:$H$140,MATCH(G204,'Người sử dụng'!$C$5:$C$140,0)),"Chưa có trong DS"))</f>
        <v/>
      </c>
      <c r="J204" s="24"/>
      <c r="K204" s="24"/>
      <c r="L204" s="23"/>
      <c r="M204" s="24"/>
      <c r="N204" s="24"/>
      <c r="O204" s="24"/>
      <c r="P204" s="26"/>
      <c r="Q204" s="51"/>
      <c r="R204" s="46"/>
      <c r="S204" s="51"/>
      <c r="T204" s="46"/>
      <c r="U204" s="46"/>
      <c r="V204" s="46"/>
      <c r="W204" s="46"/>
      <c r="X204" s="46"/>
      <c r="Y204" s="46"/>
      <c r="Z204" s="46"/>
      <c r="AA204" s="46"/>
      <c r="AB204" s="46"/>
      <c r="AC204" s="46"/>
      <c r="AD204" s="46"/>
      <c r="AE204" s="46"/>
    </row>
    <row r="205" ht="15.75" customHeight="1">
      <c r="A205" s="40" t="str">
        <f t="shared" si="1"/>
        <v/>
      </c>
      <c r="B205" s="40" t="str">
        <f t="shared" si="2"/>
        <v/>
      </c>
      <c r="C205" s="24"/>
      <c r="D205" s="23"/>
      <c r="E205" s="51"/>
      <c r="F205" s="51"/>
      <c r="G205" s="24"/>
      <c r="H205" s="40"/>
      <c r="I205" s="40" t="str">
        <f t="array" ref="I205">IF(G205="","",IFERROR(INDEX('Người sử dụng'!$H$5:$H$140,MATCH(G205,'Người sử dụng'!$C$5:$C$140,0)),"Chưa có trong DS"))</f>
        <v/>
      </c>
      <c r="J205" s="24"/>
      <c r="K205" s="24"/>
      <c r="L205" s="23"/>
      <c r="M205" s="24"/>
      <c r="N205" s="24"/>
      <c r="O205" s="24"/>
      <c r="P205" s="26"/>
      <c r="Q205" s="51"/>
      <c r="R205" s="46"/>
      <c r="S205" s="51"/>
      <c r="T205" s="46"/>
      <c r="U205" s="46"/>
      <c r="V205" s="46"/>
      <c r="W205" s="46"/>
      <c r="X205" s="46"/>
      <c r="Y205" s="46"/>
      <c r="Z205" s="46"/>
      <c r="AA205" s="46"/>
      <c r="AB205" s="46"/>
      <c r="AC205" s="46"/>
      <c r="AD205" s="46"/>
      <c r="AE205" s="46"/>
    </row>
    <row r="206" ht="15.75" customHeight="1">
      <c r="H206" s="52"/>
    </row>
    <row r="207" ht="15.75" customHeight="1">
      <c r="H207" s="52"/>
    </row>
    <row r="208" ht="15.75" customHeight="1">
      <c r="H208" s="52"/>
    </row>
    <row r="209" ht="15.75" customHeight="1">
      <c r="H209" s="52"/>
    </row>
    <row r="210" ht="15.75" customHeight="1">
      <c r="H210" s="52"/>
    </row>
    <row r="211" ht="15.75" customHeight="1">
      <c r="H211" s="52"/>
    </row>
    <row r="212" ht="15.75" customHeight="1">
      <c r="H212" s="52"/>
    </row>
    <row r="213" ht="15.75" customHeight="1">
      <c r="H213" s="52"/>
    </row>
    <row r="214" ht="15.75" customHeight="1">
      <c r="H214" s="52"/>
    </row>
    <row r="215" ht="15.75" customHeight="1">
      <c r="H215" s="52"/>
    </row>
    <row r="216" ht="15.75" customHeight="1">
      <c r="H216" s="52"/>
    </row>
    <row r="217" ht="15.75" customHeight="1">
      <c r="H217" s="52"/>
    </row>
    <row r="218" ht="15.75" customHeight="1">
      <c r="H218" s="52"/>
    </row>
    <row r="219" ht="15.75" customHeight="1">
      <c r="H219" s="52"/>
    </row>
    <row r="220" ht="15.75" customHeight="1">
      <c r="H220" s="52"/>
    </row>
    <row r="221" ht="15.75" customHeight="1">
      <c r="H221" s="52"/>
    </row>
    <row r="222" ht="15.75" customHeight="1">
      <c r="H222" s="52"/>
    </row>
    <row r="223" ht="15.75" customHeight="1">
      <c r="H223" s="52"/>
    </row>
    <row r="224" ht="15.75" customHeight="1">
      <c r="H224" s="52"/>
    </row>
    <row r="225" ht="15.75" customHeight="1">
      <c r="H225" s="52"/>
    </row>
    <row r="226" ht="15.75" customHeight="1">
      <c r="H226" s="52"/>
    </row>
    <row r="227" ht="15.75" customHeight="1">
      <c r="H227" s="52"/>
    </row>
    <row r="228" ht="15.75" customHeight="1">
      <c r="H228" s="52"/>
    </row>
    <row r="229" ht="15.75" customHeight="1">
      <c r="H229" s="52"/>
    </row>
    <row r="230" ht="15.75" customHeight="1">
      <c r="H230" s="52"/>
    </row>
    <row r="231" ht="15.75" customHeight="1">
      <c r="H231" s="52"/>
    </row>
    <row r="232" ht="15.75" customHeight="1">
      <c r="H232" s="52"/>
    </row>
    <row r="233" ht="15.75" customHeight="1">
      <c r="H233" s="52"/>
    </row>
    <row r="234" ht="15.75" customHeight="1">
      <c r="H234" s="52"/>
    </row>
    <row r="235" ht="15.75" customHeight="1">
      <c r="H235" s="52"/>
    </row>
    <row r="236" ht="15.75" customHeight="1">
      <c r="H236" s="52"/>
    </row>
    <row r="237" ht="15.75" customHeight="1">
      <c r="H237" s="52"/>
    </row>
    <row r="238" ht="15.75" customHeight="1">
      <c r="H238" s="52"/>
    </row>
    <row r="239" ht="15.75" customHeight="1">
      <c r="H239" s="52"/>
    </row>
    <row r="240" ht="15.75" customHeight="1">
      <c r="H240" s="52"/>
    </row>
    <row r="241" ht="15.75" customHeight="1">
      <c r="H241" s="52"/>
    </row>
    <row r="242" ht="15.75" customHeight="1">
      <c r="H242" s="52"/>
    </row>
    <row r="243" ht="15.75" customHeight="1">
      <c r="H243" s="52"/>
    </row>
    <row r="244" ht="15.75" customHeight="1">
      <c r="H244" s="52"/>
    </row>
    <row r="245" ht="15.75" customHeight="1">
      <c r="H245" s="52"/>
    </row>
    <row r="246" ht="15.75" customHeight="1">
      <c r="H246" s="52"/>
    </row>
    <row r="247" ht="15.75" customHeight="1">
      <c r="H247" s="52"/>
    </row>
    <row r="248" ht="15.75" customHeight="1">
      <c r="H248" s="52"/>
    </row>
    <row r="249" ht="15.75" customHeight="1">
      <c r="H249" s="52"/>
    </row>
    <row r="250" ht="15.75" customHeight="1">
      <c r="H250" s="52"/>
    </row>
    <row r="251" ht="15.75" customHeight="1">
      <c r="H251" s="52"/>
    </row>
    <row r="252" ht="15.75" customHeight="1">
      <c r="H252" s="52"/>
    </row>
    <row r="253" ht="15.75" customHeight="1">
      <c r="H253" s="52"/>
    </row>
    <row r="254" ht="15.75" customHeight="1">
      <c r="H254" s="52"/>
    </row>
    <row r="255" ht="15.75" customHeight="1">
      <c r="H255" s="52"/>
    </row>
    <row r="256" ht="15.75" customHeight="1">
      <c r="H256" s="52"/>
    </row>
    <row r="257" ht="15.75" customHeight="1">
      <c r="H257" s="52"/>
    </row>
    <row r="258" ht="15.75" customHeight="1">
      <c r="H258" s="52"/>
    </row>
    <row r="259" ht="15.75" customHeight="1">
      <c r="H259" s="52"/>
    </row>
    <row r="260" ht="15.75" customHeight="1">
      <c r="H260" s="52"/>
    </row>
    <row r="261" ht="15.75" customHeight="1">
      <c r="H261" s="52"/>
    </row>
    <row r="262" ht="15.75" customHeight="1">
      <c r="H262" s="52"/>
    </row>
    <row r="263" ht="15.75" customHeight="1">
      <c r="H263" s="52"/>
    </row>
    <row r="264" ht="15.75" customHeight="1">
      <c r="H264" s="52"/>
    </row>
    <row r="265" ht="15.75" customHeight="1">
      <c r="H265" s="52"/>
    </row>
    <row r="266" ht="15.75" customHeight="1">
      <c r="H266" s="52"/>
    </row>
    <row r="267" ht="15.75" customHeight="1">
      <c r="H267" s="52"/>
    </row>
    <row r="268" ht="15.75" customHeight="1">
      <c r="H268" s="52"/>
    </row>
    <row r="269" ht="15.75" customHeight="1">
      <c r="H269" s="52"/>
    </row>
    <row r="270" ht="15.75" customHeight="1">
      <c r="H270" s="52"/>
    </row>
    <row r="271" ht="15.75" customHeight="1">
      <c r="H271" s="52"/>
    </row>
    <row r="272" ht="15.75" customHeight="1">
      <c r="H272" s="52"/>
    </row>
    <row r="273" ht="15.75" customHeight="1">
      <c r="H273" s="52"/>
    </row>
    <row r="274" ht="15.75" customHeight="1">
      <c r="H274" s="52"/>
    </row>
    <row r="275" ht="15.75" customHeight="1">
      <c r="H275" s="52"/>
    </row>
    <row r="276" ht="15.75" customHeight="1">
      <c r="H276" s="52"/>
    </row>
    <row r="277" ht="15.75" customHeight="1">
      <c r="H277" s="52"/>
    </row>
    <row r="278" ht="15.75" customHeight="1">
      <c r="H278" s="52"/>
    </row>
    <row r="279" ht="15.75" customHeight="1">
      <c r="H279" s="52"/>
    </row>
    <row r="280" ht="15.75" customHeight="1">
      <c r="H280" s="52"/>
    </row>
    <row r="281" ht="15.75" customHeight="1">
      <c r="H281" s="52"/>
    </row>
    <row r="282" ht="15.75" customHeight="1">
      <c r="H282" s="52"/>
    </row>
    <row r="283" ht="15.75" customHeight="1">
      <c r="H283" s="52"/>
    </row>
    <row r="284" ht="15.75" customHeight="1">
      <c r="H284" s="52"/>
    </row>
    <row r="285" ht="15.75" customHeight="1">
      <c r="H285" s="52"/>
    </row>
    <row r="286" ht="15.75" customHeight="1">
      <c r="H286" s="52"/>
    </row>
    <row r="287" ht="15.75" customHeight="1">
      <c r="H287" s="52"/>
    </row>
    <row r="288" ht="15.75" customHeight="1">
      <c r="H288" s="52"/>
    </row>
    <row r="289" ht="15.75" customHeight="1">
      <c r="H289" s="52"/>
    </row>
    <row r="290" ht="15.75" customHeight="1">
      <c r="H290" s="52"/>
    </row>
    <row r="291" ht="15.75" customHeight="1">
      <c r="H291" s="52"/>
    </row>
    <row r="292" ht="15.75" customHeight="1">
      <c r="H292" s="52"/>
    </row>
    <row r="293" ht="15.75" customHeight="1">
      <c r="H293" s="52"/>
    </row>
    <row r="294" ht="15.75" customHeight="1">
      <c r="H294" s="52"/>
    </row>
    <row r="295" ht="15.75" customHeight="1">
      <c r="H295" s="52"/>
    </row>
    <row r="296" ht="15.75" customHeight="1">
      <c r="H296" s="52"/>
    </row>
    <row r="297" ht="15.75" customHeight="1">
      <c r="H297" s="52"/>
    </row>
    <row r="298" ht="15.75" customHeight="1">
      <c r="H298" s="52"/>
    </row>
    <row r="299" ht="15.75" customHeight="1">
      <c r="H299" s="52"/>
    </row>
    <row r="300" ht="15.75" customHeight="1">
      <c r="H300" s="52"/>
    </row>
    <row r="301" ht="15.75" customHeight="1">
      <c r="H301" s="52"/>
    </row>
    <row r="302" ht="15.75" customHeight="1">
      <c r="H302" s="52"/>
    </row>
    <row r="303" ht="15.75" customHeight="1">
      <c r="H303" s="52"/>
    </row>
    <row r="304" ht="15.75" customHeight="1">
      <c r="H304" s="52"/>
    </row>
    <row r="305" ht="15.75" customHeight="1">
      <c r="H305" s="52"/>
    </row>
    <row r="306" ht="15.75" customHeight="1">
      <c r="H306" s="52"/>
    </row>
    <row r="307" ht="15.75" customHeight="1">
      <c r="H307" s="52"/>
    </row>
    <row r="308" ht="15.75" customHeight="1">
      <c r="H308" s="52"/>
    </row>
    <row r="309" ht="15.75" customHeight="1">
      <c r="H309" s="52"/>
    </row>
    <row r="310" ht="15.75" customHeight="1">
      <c r="H310" s="52"/>
    </row>
    <row r="311" ht="15.75" customHeight="1">
      <c r="H311" s="52"/>
    </row>
    <row r="312" ht="15.75" customHeight="1">
      <c r="H312" s="52"/>
    </row>
    <row r="313" ht="15.75" customHeight="1">
      <c r="H313" s="52"/>
    </row>
    <row r="314" ht="15.75" customHeight="1">
      <c r="H314" s="52"/>
    </row>
    <row r="315" ht="15.75" customHeight="1">
      <c r="H315" s="52"/>
    </row>
    <row r="316" ht="15.75" customHeight="1">
      <c r="H316" s="52"/>
    </row>
    <row r="317" ht="15.75" customHeight="1">
      <c r="H317" s="52"/>
    </row>
    <row r="318" ht="15.75" customHeight="1">
      <c r="H318" s="52"/>
    </row>
    <row r="319" ht="15.75" customHeight="1">
      <c r="H319" s="52"/>
    </row>
    <row r="320" ht="15.75" customHeight="1">
      <c r="H320" s="52"/>
    </row>
    <row r="321" ht="15.75" customHeight="1">
      <c r="H321" s="52"/>
    </row>
    <row r="322" ht="15.75" customHeight="1">
      <c r="H322" s="52"/>
    </row>
    <row r="323" ht="15.75" customHeight="1">
      <c r="H323" s="52"/>
    </row>
    <row r="324" ht="15.75" customHeight="1">
      <c r="H324" s="52"/>
    </row>
    <row r="325" ht="15.75" customHeight="1">
      <c r="H325" s="52"/>
    </row>
    <row r="326" ht="15.75" customHeight="1">
      <c r="H326" s="52"/>
    </row>
    <row r="327" ht="15.75" customHeight="1">
      <c r="H327" s="52"/>
    </row>
    <row r="328" ht="15.75" customHeight="1">
      <c r="H328" s="52"/>
    </row>
    <row r="329" ht="15.75" customHeight="1">
      <c r="H329" s="52"/>
    </row>
    <row r="330" ht="15.75" customHeight="1">
      <c r="H330" s="52"/>
    </row>
    <row r="331" ht="15.75" customHeight="1">
      <c r="H331" s="52"/>
    </row>
    <row r="332" ht="15.75" customHeight="1">
      <c r="H332" s="52"/>
    </row>
    <row r="333" ht="15.75" customHeight="1">
      <c r="H333" s="52"/>
    </row>
    <row r="334" ht="15.75" customHeight="1">
      <c r="H334" s="52"/>
    </row>
    <row r="335" ht="15.75" customHeight="1">
      <c r="H335" s="52"/>
    </row>
    <row r="336" ht="15.75" customHeight="1">
      <c r="H336" s="52"/>
    </row>
    <row r="337" ht="15.75" customHeight="1">
      <c r="H337" s="52"/>
    </row>
    <row r="338" ht="15.75" customHeight="1">
      <c r="H338" s="52"/>
    </row>
    <row r="339" ht="15.75" customHeight="1">
      <c r="H339" s="52"/>
    </row>
    <row r="340" ht="15.75" customHeight="1">
      <c r="H340" s="52"/>
    </row>
    <row r="341" ht="15.75" customHeight="1">
      <c r="H341" s="52"/>
    </row>
    <row r="342" ht="15.75" customHeight="1">
      <c r="H342" s="52"/>
    </row>
    <row r="343" ht="15.75" customHeight="1">
      <c r="H343" s="52"/>
    </row>
    <row r="344" ht="15.75" customHeight="1">
      <c r="H344" s="52"/>
    </row>
    <row r="345" ht="15.75" customHeight="1">
      <c r="H345" s="52"/>
    </row>
    <row r="346" ht="15.75" customHeight="1">
      <c r="H346" s="52"/>
    </row>
    <row r="347" ht="15.75" customHeight="1">
      <c r="H347" s="52"/>
    </row>
    <row r="348" ht="15.75" customHeight="1">
      <c r="H348" s="52"/>
    </row>
    <row r="349" ht="15.75" customHeight="1">
      <c r="H349" s="52"/>
    </row>
    <row r="350" ht="15.75" customHeight="1">
      <c r="H350" s="52"/>
    </row>
    <row r="351" ht="15.75" customHeight="1">
      <c r="H351" s="52"/>
    </row>
    <row r="352" ht="15.75" customHeight="1">
      <c r="H352" s="52"/>
    </row>
    <row r="353" ht="15.75" customHeight="1">
      <c r="H353" s="52"/>
    </row>
    <row r="354" ht="15.75" customHeight="1">
      <c r="H354" s="52"/>
    </row>
    <row r="355" ht="15.75" customHeight="1">
      <c r="H355" s="52"/>
    </row>
    <row r="356" ht="15.75" customHeight="1">
      <c r="H356" s="52"/>
    </row>
    <row r="357" ht="15.75" customHeight="1">
      <c r="H357" s="52"/>
    </row>
    <row r="358" ht="15.75" customHeight="1">
      <c r="H358" s="52"/>
    </row>
    <row r="359" ht="15.75" customHeight="1">
      <c r="H359" s="52"/>
    </row>
    <row r="360" ht="15.75" customHeight="1">
      <c r="H360" s="52"/>
    </row>
    <row r="361" ht="15.75" customHeight="1">
      <c r="H361" s="52"/>
    </row>
    <row r="362" ht="15.75" customHeight="1">
      <c r="H362" s="52"/>
    </row>
    <row r="363" ht="15.75" customHeight="1">
      <c r="H363" s="52"/>
    </row>
    <row r="364" ht="15.75" customHeight="1">
      <c r="H364" s="52"/>
    </row>
    <row r="365" ht="15.75" customHeight="1">
      <c r="H365" s="52"/>
    </row>
    <row r="366" ht="15.75" customHeight="1">
      <c r="H366" s="52"/>
    </row>
    <row r="367" ht="15.75" customHeight="1">
      <c r="H367" s="52"/>
    </row>
    <row r="368" ht="15.75" customHeight="1">
      <c r="H368" s="52"/>
    </row>
    <row r="369" ht="15.75" customHeight="1">
      <c r="H369" s="52"/>
    </row>
    <row r="370" ht="15.75" customHeight="1">
      <c r="H370" s="52"/>
    </row>
    <row r="371" ht="15.75" customHeight="1">
      <c r="H371" s="52"/>
    </row>
    <row r="372" ht="15.75" customHeight="1">
      <c r="H372" s="52"/>
    </row>
    <row r="373" ht="15.75" customHeight="1">
      <c r="H373" s="52"/>
    </row>
    <row r="374" ht="15.75" customHeight="1">
      <c r="H374" s="52"/>
    </row>
    <row r="375" ht="15.75" customHeight="1">
      <c r="H375" s="52"/>
    </row>
    <row r="376" ht="15.75" customHeight="1">
      <c r="H376" s="52"/>
    </row>
    <row r="377" ht="15.75" customHeight="1">
      <c r="H377" s="52"/>
    </row>
    <row r="378" ht="15.75" customHeight="1">
      <c r="H378" s="52"/>
    </row>
    <row r="379" ht="15.75" customHeight="1">
      <c r="H379" s="52"/>
    </row>
    <row r="380" ht="15.75" customHeight="1">
      <c r="H380" s="52"/>
    </row>
    <row r="381" ht="15.75" customHeight="1">
      <c r="H381" s="52"/>
    </row>
    <row r="382" ht="15.75" customHeight="1">
      <c r="H382" s="52"/>
    </row>
    <row r="383" ht="15.75" customHeight="1">
      <c r="H383" s="52"/>
    </row>
    <row r="384" ht="15.75" customHeight="1">
      <c r="H384" s="52"/>
    </row>
    <row r="385" ht="15.75" customHeight="1">
      <c r="H385" s="52"/>
    </row>
    <row r="386" ht="15.75" customHeight="1">
      <c r="H386" s="52"/>
    </row>
    <row r="387" ht="15.75" customHeight="1">
      <c r="H387" s="52"/>
    </row>
    <row r="388" ht="15.75" customHeight="1">
      <c r="H388" s="52"/>
    </row>
    <row r="389" ht="15.75" customHeight="1">
      <c r="H389" s="52"/>
    </row>
    <row r="390" ht="15.75" customHeight="1">
      <c r="H390" s="52"/>
    </row>
    <row r="391" ht="15.75" customHeight="1">
      <c r="H391" s="52"/>
    </row>
    <row r="392" ht="15.75" customHeight="1">
      <c r="H392" s="52"/>
    </row>
    <row r="393" ht="15.75" customHeight="1">
      <c r="H393" s="52"/>
    </row>
    <row r="394" ht="15.75" customHeight="1">
      <c r="H394" s="52"/>
    </row>
    <row r="395" ht="15.75" customHeight="1">
      <c r="H395" s="52"/>
    </row>
    <row r="396" ht="15.75" customHeight="1">
      <c r="H396" s="52"/>
    </row>
    <row r="397" ht="15.75" customHeight="1">
      <c r="H397" s="52"/>
    </row>
    <row r="398" ht="15.75" customHeight="1">
      <c r="H398" s="52"/>
    </row>
    <row r="399" ht="15.75" customHeight="1">
      <c r="H399" s="52"/>
    </row>
    <row r="400" ht="15.75" customHeight="1">
      <c r="H400" s="52"/>
    </row>
    <row r="401" ht="15.75" customHeight="1">
      <c r="H401" s="52"/>
    </row>
    <row r="402" ht="15.75" customHeight="1">
      <c r="H402" s="52"/>
    </row>
    <row r="403" ht="15.75" customHeight="1">
      <c r="H403" s="52"/>
    </row>
    <row r="404" ht="15.75" customHeight="1">
      <c r="H404" s="52"/>
    </row>
    <row r="405" ht="15.75" customHeight="1">
      <c r="H405" s="52"/>
    </row>
    <row r="406" ht="15.75" customHeight="1">
      <c r="H406" s="52"/>
    </row>
    <row r="407" ht="15.75" customHeight="1">
      <c r="H407" s="52"/>
    </row>
    <row r="408" ht="15.75" customHeight="1">
      <c r="H408" s="52"/>
    </row>
    <row r="409" ht="15.75" customHeight="1">
      <c r="H409" s="52"/>
    </row>
    <row r="410" ht="15.75" customHeight="1">
      <c r="H410" s="52"/>
    </row>
    <row r="411" ht="15.75" customHeight="1">
      <c r="H411" s="52"/>
    </row>
    <row r="412" ht="15.75" customHeight="1">
      <c r="H412" s="52"/>
    </row>
    <row r="413" ht="15.75" customHeight="1">
      <c r="H413" s="52"/>
    </row>
    <row r="414" ht="15.75" customHeight="1">
      <c r="H414" s="52"/>
    </row>
    <row r="415" ht="15.75" customHeight="1">
      <c r="H415" s="52"/>
    </row>
    <row r="416" ht="15.75" customHeight="1">
      <c r="H416" s="52"/>
    </row>
    <row r="417" ht="15.75" customHeight="1">
      <c r="H417" s="52"/>
    </row>
    <row r="418" ht="15.75" customHeight="1">
      <c r="H418" s="52"/>
    </row>
    <row r="419" ht="15.75" customHeight="1">
      <c r="H419" s="52"/>
    </row>
    <row r="420" ht="15.75" customHeight="1">
      <c r="H420" s="52"/>
    </row>
    <row r="421" ht="15.75" customHeight="1">
      <c r="H421" s="52"/>
    </row>
    <row r="422" ht="15.75" customHeight="1">
      <c r="H422" s="52"/>
    </row>
    <row r="423" ht="15.75" customHeight="1">
      <c r="H423" s="52"/>
    </row>
    <row r="424" ht="15.75" customHeight="1">
      <c r="H424" s="52"/>
    </row>
    <row r="425" ht="15.75" customHeight="1">
      <c r="H425" s="52"/>
    </row>
    <row r="426" ht="15.75" customHeight="1">
      <c r="H426" s="52"/>
    </row>
    <row r="427" ht="15.75" customHeight="1">
      <c r="H427" s="52"/>
    </row>
    <row r="428" ht="15.75" customHeight="1">
      <c r="H428" s="52"/>
    </row>
    <row r="429" ht="15.75" customHeight="1">
      <c r="H429" s="52"/>
    </row>
    <row r="430" ht="15.75" customHeight="1">
      <c r="H430" s="52"/>
    </row>
    <row r="431" ht="15.75" customHeight="1">
      <c r="H431" s="52"/>
    </row>
    <row r="432" ht="15.75" customHeight="1">
      <c r="H432" s="52"/>
    </row>
    <row r="433" ht="15.75" customHeight="1">
      <c r="H433" s="52"/>
    </row>
    <row r="434" ht="15.75" customHeight="1">
      <c r="H434" s="52"/>
    </row>
    <row r="435" ht="15.75" customHeight="1">
      <c r="H435" s="52"/>
    </row>
    <row r="436" ht="15.75" customHeight="1">
      <c r="H436" s="52"/>
    </row>
    <row r="437" ht="15.75" customHeight="1">
      <c r="H437" s="52"/>
    </row>
    <row r="438" ht="15.75" customHeight="1">
      <c r="H438" s="52"/>
    </row>
    <row r="439" ht="15.75" customHeight="1">
      <c r="H439" s="52"/>
    </row>
    <row r="440" ht="15.75" customHeight="1">
      <c r="H440" s="52"/>
    </row>
    <row r="441" ht="15.75" customHeight="1">
      <c r="H441" s="52"/>
    </row>
    <row r="442" ht="15.75" customHeight="1">
      <c r="H442" s="52"/>
    </row>
    <row r="443" ht="15.75" customHeight="1">
      <c r="H443" s="52"/>
    </row>
    <row r="444" ht="15.75" customHeight="1">
      <c r="H444" s="52"/>
    </row>
    <row r="445" ht="15.75" customHeight="1">
      <c r="H445" s="52"/>
    </row>
    <row r="446" ht="15.75" customHeight="1">
      <c r="H446" s="52"/>
    </row>
    <row r="447" ht="15.75" customHeight="1">
      <c r="H447" s="52"/>
    </row>
    <row r="448" ht="15.75" customHeight="1">
      <c r="H448" s="52"/>
    </row>
    <row r="449" ht="15.75" customHeight="1">
      <c r="H449" s="52"/>
    </row>
    <row r="450" ht="15.75" customHeight="1">
      <c r="H450" s="52"/>
    </row>
    <row r="451" ht="15.75" customHeight="1">
      <c r="H451" s="52"/>
    </row>
    <row r="452" ht="15.75" customHeight="1">
      <c r="H452" s="52"/>
    </row>
    <row r="453" ht="15.75" customHeight="1">
      <c r="H453" s="52"/>
    </row>
    <row r="454" ht="15.75" customHeight="1">
      <c r="H454" s="52"/>
    </row>
    <row r="455" ht="15.75" customHeight="1">
      <c r="H455" s="52"/>
    </row>
    <row r="456" ht="15.75" customHeight="1">
      <c r="H456" s="52"/>
    </row>
    <row r="457" ht="15.75" customHeight="1">
      <c r="H457" s="52"/>
    </row>
    <row r="458" ht="15.75" customHeight="1">
      <c r="H458" s="52"/>
    </row>
    <row r="459" ht="15.75" customHeight="1">
      <c r="H459" s="52"/>
    </row>
    <row r="460" ht="15.75" customHeight="1">
      <c r="H460" s="52"/>
    </row>
    <row r="461" ht="15.75" customHeight="1">
      <c r="H461" s="52"/>
    </row>
    <row r="462" ht="15.75" customHeight="1">
      <c r="H462" s="52"/>
    </row>
    <row r="463" ht="15.75" customHeight="1">
      <c r="H463" s="52"/>
    </row>
    <row r="464" ht="15.75" customHeight="1">
      <c r="H464" s="52"/>
    </row>
    <row r="465" ht="15.75" customHeight="1">
      <c r="H465" s="52"/>
    </row>
    <row r="466" ht="15.75" customHeight="1">
      <c r="H466" s="52"/>
    </row>
    <row r="467" ht="15.75" customHeight="1">
      <c r="H467" s="52"/>
    </row>
    <row r="468" ht="15.75" customHeight="1">
      <c r="H468" s="52"/>
    </row>
    <row r="469" ht="15.75" customHeight="1">
      <c r="H469" s="52"/>
    </row>
    <row r="470" ht="15.75" customHeight="1">
      <c r="H470" s="52"/>
    </row>
    <row r="471" ht="15.75" customHeight="1">
      <c r="H471" s="52"/>
    </row>
    <row r="472" ht="15.75" customHeight="1">
      <c r="H472" s="52"/>
    </row>
    <row r="473" ht="15.75" customHeight="1">
      <c r="H473" s="52"/>
    </row>
    <row r="474" ht="15.75" customHeight="1">
      <c r="H474" s="52"/>
    </row>
    <row r="475" ht="15.75" customHeight="1">
      <c r="H475" s="52"/>
    </row>
    <row r="476" ht="15.75" customHeight="1">
      <c r="H476" s="52"/>
    </row>
    <row r="477" ht="15.75" customHeight="1">
      <c r="H477" s="52"/>
    </row>
    <row r="478" ht="15.75" customHeight="1">
      <c r="H478" s="52"/>
    </row>
    <row r="479" ht="15.75" customHeight="1">
      <c r="H479" s="52"/>
    </row>
    <row r="480" ht="15.75" customHeight="1">
      <c r="H480" s="52"/>
    </row>
    <row r="481" ht="15.75" customHeight="1">
      <c r="H481" s="52"/>
    </row>
    <row r="482" ht="15.75" customHeight="1">
      <c r="H482" s="52"/>
    </row>
    <row r="483" ht="15.75" customHeight="1">
      <c r="H483" s="52"/>
    </row>
    <row r="484" ht="15.75" customHeight="1">
      <c r="H484" s="52"/>
    </row>
    <row r="485" ht="15.75" customHeight="1">
      <c r="H485" s="52"/>
    </row>
    <row r="486" ht="15.75" customHeight="1">
      <c r="H486" s="52"/>
    </row>
    <row r="487" ht="15.75" customHeight="1">
      <c r="H487" s="52"/>
    </row>
    <row r="488" ht="15.75" customHeight="1">
      <c r="H488" s="52"/>
    </row>
    <row r="489" ht="15.75" customHeight="1">
      <c r="H489" s="52"/>
    </row>
    <row r="490" ht="15.75" customHeight="1">
      <c r="H490" s="52"/>
    </row>
    <row r="491" ht="15.75" customHeight="1">
      <c r="H491" s="52"/>
    </row>
    <row r="492" ht="15.75" customHeight="1">
      <c r="H492" s="52"/>
    </row>
    <row r="493" ht="15.75" customHeight="1">
      <c r="H493" s="52"/>
    </row>
    <row r="494" ht="15.75" customHeight="1">
      <c r="H494" s="52"/>
    </row>
    <row r="495" ht="15.75" customHeight="1">
      <c r="H495" s="52"/>
    </row>
    <row r="496" ht="15.75" customHeight="1">
      <c r="H496" s="52"/>
    </row>
    <row r="497" ht="15.75" customHeight="1">
      <c r="H497" s="52"/>
    </row>
    <row r="498" ht="15.75" customHeight="1">
      <c r="H498" s="52"/>
    </row>
    <row r="499" ht="15.75" customHeight="1">
      <c r="H499" s="52"/>
    </row>
    <row r="500" ht="15.75" customHeight="1">
      <c r="H500" s="52"/>
    </row>
    <row r="501" ht="15.75" customHeight="1">
      <c r="H501" s="52"/>
    </row>
    <row r="502" ht="15.75" customHeight="1">
      <c r="H502" s="52"/>
    </row>
    <row r="503" ht="15.75" customHeight="1">
      <c r="H503" s="52"/>
    </row>
    <row r="504" ht="15.75" customHeight="1">
      <c r="H504" s="52"/>
    </row>
    <row r="505" ht="15.75" customHeight="1">
      <c r="H505" s="52"/>
    </row>
    <row r="506" ht="15.75" customHeight="1">
      <c r="H506" s="52"/>
    </row>
    <row r="507" ht="15.75" customHeight="1">
      <c r="H507" s="52"/>
    </row>
    <row r="508" ht="15.75" customHeight="1">
      <c r="H508" s="52"/>
    </row>
    <row r="509" ht="15.75" customHeight="1">
      <c r="H509" s="52"/>
    </row>
    <row r="510" ht="15.75" customHeight="1">
      <c r="H510" s="52"/>
    </row>
    <row r="511" ht="15.75" customHeight="1">
      <c r="H511" s="52"/>
    </row>
    <row r="512" ht="15.75" customHeight="1">
      <c r="H512" s="52"/>
    </row>
    <row r="513" ht="15.75" customHeight="1">
      <c r="H513" s="52"/>
    </row>
    <row r="514" ht="15.75" customHeight="1">
      <c r="H514" s="52"/>
    </row>
    <row r="515" ht="15.75" customHeight="1">
      <c r="H515" s="52"/>
    </row>
    <row r="516" ht="15.75" customHeight="1">
      <c r="H516" s="52"/>
    </row>
    <row r="517" ht="15.75" customHeight="1">
      <c r="H517" s="52"/>
    </row>
    <row r="518" ht="15.75" customHeight="1">
      <c r="H518" s="52"/>
    </row>
    <row r="519" ht="15.75" customHeight="1">
      <c r="H519" s="52"/>
    </row>
    <row r="520" ht="15.75" customHeight="1">
      <c r="H520" s="52"/>
    </row>
    <row r="521" ht="15.75" customHeight="1">
      <c r="H521" s="52"/>
    </row>
    <row r="522" ht="15.75" customHeight="1">
      <c r="H522" s="52"/>
    </row>
    <row r="523" ht="15.75" customHeight="1">
      <c r="H523" s="52"/>
    </row>
    <row r="524" ht="15.75" customHeight="1">
      <c r="H524" s="52"/>
    </row>
    <row r="525" ht="15.75" customHeight="1">
      <c r="H525" s="52"/>
    </row>
    <row r="526" ht="15.75" customHeight="1">
      <c r="H526" s="52"/>
    </row>
    <row r="527" ht="15.75" customHeight="1">
      <c r="H527" s="52"/>
    </row>
    <row r="528" ht="15.75" customHeight="1">
      <c r="H528" s="52"/>
    </row>
    <row r="529" ht="15.75" customHeight="1">
      <c r="H529" s="52"/>
    </row>
    <row r="530" ht="15.75" customHeight="1">
      <c r="H530" s="52"/>
    </row>
    <row r="531" ht="15.75" customHeight="1">
      <c r="H531" s="52"/>
    </row>
    <row r="532" ht="15.75" customHeight="1">
      <c r="H532" s="52"/>
    </row>
    <row r="533" ht="15.75" customHeight="1">
      <c r="H533" s="52"/>
    </row>
    <row r="534" ht="15.75" customHeight="1">
      <c r="H534" s="52"/>
    </row>
    <row r="535" ht="15.75" customHeight="1">
      <c r="H535" s="52"/>
    </row>
    <row r="536" ht="15.75" customHeight="1">
      <c r="H536" s="52"/>
    </row>
    <row r="537" ht="15.75" customHeight="1">
      <c r="H537" s="52"/>
    </row>
    <row r="538" ht="15.75" customHeight="1">
      <c r="H538" s="52"/>
    </row>
    <row r="539" ht="15.75" customHeight="1">
      <c r="H539" s="52"/>
    </row>
    <row r="540" ht="15.75" customHeight="1">
      <c r="H540" s="52"/>
    </row>
    <row r="541" ht="15.75" customHeight="1">
      <c r="H541" s="52"/>
    </row>
    <row r="542" ht="15.75" customHeight="1">
      <c r="H542" s="52"/>
    </row>
    <row r="543" ht="15.75" customHeight="1">
      <c r="H543" s="52"/>
    </row>
    <row r="544" ht="15.75" customHeight="1">
      <c r="H544" s="52"/>
    </row>
    <row r="545" ht="15.75" customHeight="1">
      <c r="H545" s="52"/>
    </row>
    <row r="546" ht="15.75" customHeight="1">
      <c r="H546" s="52"/>
    </row>
    <row r="547" ht="15.75" customHeight="1">
      <c r="H547" s="52"/>
    </row>
    <row r="548" ht="15.75" customHeight="1">
      <c r="H548" s="52"/>
    </row>
    <row r="549" ht="15.75" customHeight="1">
      <c r="H549" s="52"/>
    </row>
    <row r="550" ht="15.75" customHeight="1">
      <c r="H550" s="52"/>
    </row>
    <row r="551" ht="15.75" customHeight="1">
      <c r="H551" s="52"/>
    </row>
    <row r="552" ht="15.75" customHeight="1">
      <c r="H552" s="52"/>
    </row>
    <row r="553" ht="15.75" customHeight="1">
      <c r="H553" s="52"/>
    </row>
    <row r="554" ht="15.75" customHeight="1">
      <c r="H554" s="52"/>
    </row>
    <row r="555" ht="15.75" customHeight="1">
      <c r="H555" s="52"/>
    </row>
    <row r="556" ht="15.75" customHeight="1">
      <c r="H556" s="52"/>
    </row>
    <row r="557" ht="15.75" customHeight="1">
      <c r="H557" s="52"/>
    </row>
    <row r="558" ht="15.75" customHeight="1">
      <c r="H558" s="52"/>
    </row>
    <row r="559" ht="15.75" customHeight="1">
      <c r="H559" s="52"/>
    </row>
    <row r="560" ht="15.75" customHeight="1">
      <c r="H560" s="52"/>
    </row>
    <row r="561" ht="15.75" customHeight="1">
      <c r="H561" s="52"/>
    </row>
    <row r="562" ht="15.75" customHeight="1">
      <c r="H562" s="52"/>
    </row>
    <row r="563" ht="15.75" customHeight="1">
      <c r="H563" s="52"/>
    </row>
    <row r="564" ht="15.75" customHeight="1">
      <c r="H564" s="52"/>
    </row>
    <row r="565" ht="15.75" customHeight="1">
      <c r="H565" s="52"/>
    </row>
    <row r="566" ht="15.75" customHeight="1">
      <c r="H566" s="52"/>
    </row>
    <row r="567" ht="15.75" customHeight="1">
      <c r="H567" s="52"/>
    </row>
    <row r="568" ht="15.75" customHeight="1">
      <c r="H568" s="52"/>
    </row>
    <row r="569" ht="15.75" customHeight="1">
      <c r="H569" s="52"/>
    </row>
    <row r="570" ht="15.75" customHeight="1">
      <c r="H570" s="52"/>
    </row>
    <row r="571" ht="15.75" customHeight="1">
      <c r="H571" s="52"/>
    </row>
    <row r="572" ht="15.75" customHeight="1">
      <c r="H572" s="52"/>
    </row>
    <row r="573" ht="15.75" customHeight="1">
      <c r="H573" s="52"/>
    </row>
    <row r="574" ht="15.75" customHeight="1">
      <c r="H574" s="52"/>
    </row>
    <row r="575" ht="15.75" customHeight="1">
      <c r="H575" s="52"/>
    </row>
    <row r="576" ht="15.75" customHeight="1">
      <c r="H576" s="52"/>
    </row>
    <row r="577" ht="15.75" customHeight="1">
      <c r="H577" s="52"/>
    </row>
    <row r="578" ht="15.75" customHeight="1">
      <c r="H578" s="52"/>
    </row>
    <row r="579" ht="15.75" customHeight="1">
      <c r="H579" s="52"/>
    </row>
    <row r="580" ht="15.75" customHeight="1">
      <c r="H580" s="52"/>
    </row>
    <row r="581" ht="15.75" customHeight="1">
      <c r="H581" s="52"/>
    </row>
    <row r="582" ht="15.75" customHeight="1">
      <c r="H582" s="52"/>
    </row>
    <row r="583" ht="15.75" customHeight="1">
      <c r="H583" s="52"/>
    </row>
    <row r="584" ht="15.75" customHeight="1">
      <c r="H584" s="52"/>
    </row>
    <row r="585" ht="15.75" customHeight="1">
      <c r="H585" s="52"/>
    </row>
    <row r="586" ht="15.75" customHeight="1">
      <c r="H586" s="52"/>
    </row>
    <row r="587" ht="15.75" customHeight="1">
      <c r="H587" s="52"/>
    </row>
    <row r="588" ht="15.75" customHeight="1">
      <c r="H588" s="52"/>
    </row>
    <row r="589" ht="15.75" customHeight="1">
      <c r="H589" s="52"/>
    </row>
    <row r="590" ht="15.75" customHeight="1">
      <c r="H590" s="52"/>
    </row>
    <row r="591" ht="15.75" customHeight="1">
      <c r="H591" s="52"/>
    </row>
    <row r="592" ht="15.75" customHeight="1">
      <c r="H592" s="52"/>
    </row>
    <row r="593" ht="15.75" customHeight="1">
      <c r="H593" s="52"/>
    </row>
    <row r="594" ht="15.75" customHeight="1">
      <c r="H594" s="52"/>
    </row>
    <row r="595" ht="15.75" customHeight="1">
      <c r="H595" s="52"/>
    </row>
    <row r="596" ht="15.75" customHeight="1">
      <c r="H596" s="52"/>
    </row>
    <row r="597" ht="15.75" customHeight="1">
      <c r="H597" s="52"/>
    </row>
    <row r="598" ht="15.75" customHeight="1">
      <c r="H598" s="52"/>
    </row>
    <row r="599" ht="15.75" customHeight="1">
      <c r="H599" s="52"/>
    </row>
    <row r="600" ht="15.75" customHeight="1">
      <c r="H600" s="52"/>
    </row>
    <row r="601" ht="15.75" customHeight="1">
      <c r="H601" s="52"/>
    </row>
    <row r="602" ht="15.75" customHeight="1">
      <c r="H602" s="52"/>
    </row>
    <row r="603" ht="15.75" customHeight="1">
      <c r="H603" s="52"/>
    </row>
    <row r="604" ht="15.75" customHeight="1">
      <c r="H604" s="52"/>
    </row>
    <row r="605" ht="15.75" customHeight="1">
      <c r="H605" s="52"/>
    </row>
    <row r="606" ht="15.75" customHeight="1">
      <c r="H606" s="52"/>
    </row>
    <row r="607" ht="15.75" customHeight="1">
      <c r="H607" s="52"/>
    </row>
    <row r="608" ht="15.75" customHeight="1">
      <c r="H608" s="52"/>
    </row>
    <row r="609" ht="15.75" customHeight="1">
      <c r="H609" s="52"/>
    </row>
    <row r="610" ht="15.75" customHeight="1">
      <c r="H610" s="52"/>
    </row>
    <row r="611" ht="15.75" customHeight="1">
      <c r="H611" s="52"/>
    </row>
    <row r="612" ht="15.75" customHeight="1">
      <c r="H612" s="52"/>
    </row>
    <row r="613" ht="15.75" customHeight="1">
      <c r="H613" s="52"/>
    </row>
    <row r="614" ht="15.75" customHeight="1">
      <c r="H614" s="52"/>
    </row>
    <row r="615" ht="15.75" customHeight="1">
      <c r="H615" s="52"/>
    </row>
    <row r="616" ht="15.75" customHeight="1">
      <c r="H616" s="52"/>
    </row>
    <row r="617" ht="15.75" customHeight="1">
      <c r="H617" s="52"/>
    </row>
    <row r="618" ht="15.75" customHeight="1">
      <c r="H618" s="52"/>
    </row>
    <row r="619" ht="15.75" customHeight="1">
      <c r="H619" s="52"/>
    </row>
    <row r="620" ht="15.75" customHeight="1">
      <c r="H620" s="52"/>
    </row>
    <row r="621" ht="15.75" customHeight="1">
      <c r="H621" s="52"/>
    </row>
    <row r="622" ht="15.75" customHeight="1">
      <c r="H622" s="52"/>
    </row>
    <row r="623" ht="15.75" customHeight="1">
      <c r="H623" s="52"/>
    </row>
    <row r="624" ht="15.75" customHeight="1">
      <c r="H624" s="52"/>
    </row>
    <row r="625" ht="15.75" customHeight="1">
      <c r="H625" s="52"/>
    </row>
    <row r="626" ht="15.75" customHeight="1">
      <c r="H626" s="52"/>
    </row>
    <row r="627" ht="15.75" customHeight="1">
      <c r="H627" s="52"/>
    </row>
    <row r="628" ht="15.75" customHeight="1">
      <c r="H628" s="52"/>
    </row>
    <row r="629" ht="15.75" customHeight="1">
      <c r="H629" s="52"/>
    </row>
    <row r="630" ht="15.75" customHeight="1">
      <c r="H630" s="52"/>
    </row>
    <row r="631" ht="15.75" customHeight="1">
      <c r="H631" s="52"/>
    </row>
    <row r="632" ht="15.75" customHeight="1">
      <c r="H632" s="52"/>
    </row>
    <row r="633" ht="15.75" customHeight="1">
      <c r="H633" s="52"/>
    </row>
    <row r="634" ht="15.75" customHeight="1">
      <c r="H634" s="52"/>
    </row>
    <row r="635" ht="15.75" customHeight="1">
      <c r="H635" s="52"/>
    </row>
    <row r="636" ht="15.75" customHeight="1">
      <c r="H636" s="52"/>
    </row>
    <row r="637" ht="15.75" customHeight="1">
      <c r="H637" s="52"/>
    </row>
    <row r="638" ht="15.75" customHeight="1">
      <c r="H638" s="52"/>
    </row>
    <row r="639" ht="15.75" customHeight="1">
      <c r="H639" s="52"/>
    </row>
    <row r="640" ht="15.75" customHeight="1">
      <c r="H640" s="52"/>
    </row>
    <row r="641" ht="15.75" customHeight="1">
      <c r="H641" s="52"/>
    </row>
    <row r="642" ht="15.75" customHeight="1">
      <c r="H642" s="52"/>
    </row>
    <row r="643" ht="15.75" customHeight="1">
      <c r="H643" s="52"/>
    </row>
    <row r="644" ht="15.75" customHeight="1">
      <c r="H644" s="52"/>
    </row>
    <row r="645" ht="15.75" customHeight="1">
      <c r="H645" s="52"/>
    </row>
    <row r="646" ht="15.75" customHeight="1">
      <c r="H646" s="52"/>
    </row>
    <row r="647" ht="15.75" customHeight="1">
      <c r="H647" s="52"/>
    </row>
    <row r="648" ht="15.75" customHeight="1">
      <c r="H648" s="52"/>
    </row>
    <row r="649" ht="15.75" customHeight="1">
      <c r="H649" s="52"/>
    </row>
    <row r="650" ht="15.75" customHeight="1">
      <c r="H650" s="52"/>
    </row>
    <row r="651" ht="15.75" customHeight="1">
      <c r="H651" s="52"/>
    </row>
    <row r="652" ht="15.75" customHeight="1">
      <c r="H652" s="52"/>
    </row>
    <row r="653" ht="15.75" customHeight="1">
      <c r="H653" s="52"/>
    </row>
    <row r="654" ht="15.75" customHeight="1">
      <c r="H654" s="52"/>
    </row>
    <row r="655" ht="15.75" customHeight="1">
      <c r="H655" s="52"/>
    </row>
    <row r="656" ht="15.75" customHeight="1">
      <c r="H656" s="52"/>
    </row>
    <row r="657" ht="15.75" customHeight="1">
      <c r="H657" s="52"/>
    </row>
    <row r="658" ht="15.75" customHeight="1">
      <c r="H658" s="52"/>
    </row>
    <row r="659" ht="15.75" customHeight="1">
      <c r="H659" s="52"/>
    </row>
    <row r="660" ht="15.75" customHeight="1">
      <c r="H660" s="52"/>
    </row>
    <row r="661" ht="15.75" customHeight="1">
      <c r="H661" s="52"/>
    </row>
    <row r="662" ht="15.75" customHeight="1">
      <c r="H662" s="52"/>
    </row>
    <row r="663" ht="15.75" customHeight="1">
      <c r="H663" s="52"/>
    </row>
    <row r="664" ht="15.75" customHeight="1">
      <c r="H664" s="52"/>
    </row>
    <row r="665" ht="15.75" customHeight="1">
      <c r="H665" s="52"/>
    </row>
    <row r="666" ht="15.75" customHeight="1">
      <c r="H666" s="52"/>
    </row>
    <row r="667" ht="15.75" customHeight="1">
      <c r="H667" s="52"/>
    </row>
    <row r="668" ht="15.75" customHeight="1">
      <c r="H668" s="52"/>
    </row>
    <row r="669" ht="15.75" customHeight="1">
      <c r="H669" s="52"/>
    </row>
    <row r="670" ht="15.75" customHeight="1">
      <c r="H670" s="52"/>
    </row>
    <row r="671" ht="15.75" customHeight="1">
      <c r="H671" s="52"/>
    </row>
    <row r="672" ht="15.75" customHeight="1">
      <c r="H672" s="52"/>
    </row>
    <row r="673" ht="15.75" customHeight="1">
      <c r="H673" s="52"/>
    </row>
    <row r="674" ht="15.75" customHeight="1">
      <c r="H674" s="52"/>
    </row>
    <row r="675" ht="15.75" customHeight="1">
      <c r="H675" s="52"/>
    </row>
    <row r="676" ht="15.75" customHeight="1">
      <c r="H676" s="52"/>
    </row>
    <row r="677" ht="15.75" customHeight="1">
      <c r="H677" s="52"/>
    </row>
    <row r="678" ht="15.75" customHeight="1">
      <c r="H678" s="52"/>
    </row>
    <row r="679" ht="15.75" customHeight="1">
      <c r="H679" s="52"/>
    </row>
    <row r="680" ht="15.75" customHeight="1">
      <c r="H680" s="52"/>
    </row>
    <row r="681" ht="15.75" customHeight="1">
      <c r="H681" s="52"/>
    </row>
    <row r="682" ht="15.75" customHeight="1">
      <c r="H682" s="52"/>
    </row>
    <row r="683" ht="15.75" customHeight="1">
      <c r="H683" s="52"/>
    </row>
    <row r="684" ht="15.75" customHeight="1">
      <c r="H684" s="52"/>
    </row>
    <row r="685" ht="15.75" customHeight="1">
      <c r="H685" s="52"/>
    </row>
    <row r="686" ht="15.75" customHeight="1">
      <c r="H686" s="52"/>
    </row>
    <row r="687" ht="15.75" customHeight="1">
      <c r="H687" s="52"/>
    </row>
    <row r="688" ht="15.75" customHeight="1">
      <c r="H688" s="52"/>
    </row>
    <row r="689" ht="15.75" customHeight="1">
      <c r="H689" s="52"/>
    </row>
    <row r="690" ht="15.75" customHeight="1">
      <c r="H690" s="52"/>
    </row>
    <row r="691" ht="15.75" customHeight="1">
      <c r="H691" s="52"/>
    </row>
    <row r="692" ht="15.75" customHeight="1">
      <c r="H692" s="52"/>
    </row>
    <row r="693" ht="15.75" customHeight="1">
      <c r="H693" s="52"/>
    </row>
    <row r="694" ht="15.75" customHeight="1">
      <c r="H694" s="52"/>
    </row>
    <row r="695" ht="15.75" customHeight="1">
      <c r="H695" s="52"/>
    </row>
    <row r="696" ht="15.75" customHeight="1">
      <c r="H696" s="52"/>
    </row>
    <row r="697" ht="15.75" customHeight="1">
      <c r="H697" s="52"/>
    </row>
    <row r="698" ht="15.75" customHeight="1">
      <c r="H698" s="52"/>
    </row>
    <row r="699" ht="15.75" customHeight="1">
      <c r="H699" s="52"/>
    </row>
    <row r="700" ht="15.75" customHeight="1">
      <c r="H700" s="52"/>
    </row>
    <row r="701" ht="15.75" customHeight="1">
      <c r="H701" s="52"/>
    </row>
    <row r="702" ht="15.75" customHeight="1">
      <c r="H702" s="52"/>
    </row>
    <row r="703" ht="15.75" customHeight="1">
      <c r="H703" s="52"/>
    </row>
    <row r="704" ht="15.75" customHeight="1">
      <c r="H704" s="52"/>
    </row>
    <row r="705" ht="15.75" customHeight="1">
      <c r="H705" s="52"/>
    </row>
    <row r="706" ht="15.75" customHeight="1">
      <c r="H706" s="52"/>
    </row>
    <row r="707" ht="15.75" customHeight="1">
      <c r="H707" s="52"/>
    </row>
    <row r="708" ht="15.75" customHeight="1">
      <c r="H708" s="52"/>
    </row>
    <row r="709" ht="15.75" customHeight="1">
      <c r="H709" s="52"/>
    </row>
    <row r="710" ht="15.75" customHeight="1">
      <c r="H710" s="52"/>
    </row>
    <row r="711" ht="15.75" customHeight="1">
      <c r="H711" s="52"/>
    </row>
    <row r="712" ht="15.75" customHeight="1">
      <c r="H712" s="52"/>
    </row>
    <row r="713" ht="15.75" customHeight="1">
      <c r="H713" s="52"/>
    </row>
    <row r="714" ht="15.75" customHeight="1">
      <c r="H714" s="52"/>
    </row>
    <row r="715" ht="15.75" customHeight="1">
      <c r="H715" s="52"/>
    </row>
    <row r="716" ht="15.75" customHeight="1">
      <c r="H716" s="52"/>
    </row>
    <row r="717" ht="15.75" customHeight="1">
      <c r="H717" s="52"/>
    </row>
    <row r="718" ht="15.75" customHeight="1">
      <c r="H718" s="52"/>
    </row>
    <row r="719" ht="15.75" customHeight="1">
      <c r="H719" s="52"/>
    </row>
    <row r="720" ht="15.75" customHeight="1">
      <c r="H720" s="52"/>
    </row>
    <row r="721" ht="15.75" customHeight="1">
      <c r="H721" s="52"/>
    </row>
    <row r="722" ht="15.75" customHeight="1">
      <c r="H722" s="52"/>
    </row>
    <row r="723" ht="15.75" customHeight="1">
      <c r="H723" s="52"/>
    </row>
    <row r="724" ht="15.75" customHeight="1">
      <c r="H724" s="52"/>
    </row>
    <row r="725" ht="15.75" customHeight="1">
      <c r="H725" s="52"/>
    </row>
    <row r="726" ht="15.75" customHeight="1">
      <c r="H726" s="52"/>
    </row>
    <row r="727" ht="15.75" customHeight="1">
      <c r="H727" s="52"/>
    </row>
    <row r="728" ht="15.75" customHeight="1">
      <c r="H728" s="52"/>
    </row>
    <row r="729" ht="15.75" customHeight="1">
      <c r="H729" s="52"/>
    </row>
    <row r="730" ht="15.75" customHeight="1">
      <c r="H730" s="52"/>
    </row>
    <row r="731" ht="15.75" customHeight="1">
      <c r="H731" s="52"/>
    </row>
    <row r="732" ht="15.75" customHeight="1">
      <c r="H732" s="52"/>
    </row>
    <row r="733" ht="15.75" customHeight="1">
      <c r="H733" s="52"/>
    </row>
    <row r="734" ht="15.75" customHeight="1">
      <c r="H734" s="52"/>
    </row>
    <row r="735" ht="15.75" customHeight="1">
      <c r="H735" s="52"/>
    </row>
    <row r="736" ht="15.75" customHeight="1">
      <c r="H736" s="52"/>
    </row>
    <row r="737" ht="15.75" customHeight="1">
      <c r="H737" s="52"/>
    </row>
    <row r="738" ht="15.75" customHeight="1">
      <c r="H738" s="52"/>
    </row>
    <row r="739" ht="15.75" customHeight="1">
      <c r="H739" s="52"/>
    </row>
    <row r="740" ht="15.75" customHeight="1">
      <c r="H740" s="52"/>
    </row>
    <row r="741" ht="15.75" customHeight="1">
      <c r="H741" s="52"/>
    </row>
    <row r="742" ht="15.75" customHeight="1">
      <c r="H742" s="52"/>
    </row>
    <row r="743" ht="15.75" customHeight="1">
      <c r="H743" s="52"/>
    </row>
    <row r="744" ht="15.75" customHeight="1">
      <c r="H744" s="52"/>
    </row>
    <row r="745" ht="15.75" customHeight="1">
      <c r="H745" s="52"/>
    </row>
    <row r="746" ht="15.75" customHeight="1">
      <c r="H746" s="52"/>
    </row>
    <row r="747" ht="15.75" customHeight="1">
      <c r="H747" s="52"/>
    </row>
    <row r="748" ht="15.75" customHeight="1">
      <c r="H748" s="52"/>
    </row>
    <row r="749" ht="15.75" customHeight="1">
      <c r="H749" s="52"/>
    </row>
    <row r="750" ht="15.75" customHeight="1">
      <c r="H750" s="52"/>
    </row>
    <row r="751" ht="15.75" customHeight="1">
      <c r="H751" s="52"/>
    </row>
    <row r="752" ht="15.75" customHeight="1">
      <c r="H752" s="52"/>
    </row>
    <row r="753" ht="15.75" customHeight="1">
      <c r="H753" s="52"/>
    </row>
    <row r="754" ht="15.75" customHeight="1">
      <c r="H754" s="52"/>
    </row>
    <row r="755" ht="15.75" customHeight="1">
      <c r="H755" s="52"/>
    </row>
    <row r="756" ht="15.75" customHeight="1">
      <c r="H756" s="52"/>
    </row>
    <row r="757" ht="15.75" customHeight="1">
      <c r="H757" s="52"/>
    </row>
    <row r="758" ht="15.75" customHeight="1">
      <c r="H758" s="52"/>
    </row>
    <row r="759" ht="15.75" customHeight="1">
      <c r="H759" s="52"/>
    </row>
    <row r="760" ht="15.75" customHeight="1">
      <c r="H760" s="52"/>
    </row>
    <row r="761" ht="15.75" customHeight="1">
      <c r="H761" s="52"/>
    </row>
    <row r="762" ht="15.75" customHeight="1">
      <c r="H762" s="52"/>
    </row>
    <row r="763" ht="15.75" customHeight="1">
      <c r="H763" s="52"/>
    </row>
    <row r="764" ht="15.75" customHeight="1">
      <c r="H764" s="52"/>
    </row>
    <row r="765" ht="15.75" customHeight="1">
      <c r="H765" s="52"/>
    </row>
    <row r="766" ht="15.75" customHeight="1">
      <c r="H766" s="52"/>
    </row>
    <row r="767" ht="15.75" customHeight="1">
      <c r="H767" s="52"/>
    </row>
    <row r="768" ht="15.75" customHeight="1">
      <c r="H768" s="52"/>
    </row>
    <row r="769" ht="15.75" customHeight="1">
      <c r="H769" s="52"/>
    </row>
    <row r="770" ht="15.75" customHeight="1">
      <c r="H770" s="52"/>
    </row>
    <row r="771" ht="15.75" customHeight="1">
      <c r="H771" s="52"/>
    </row>
    <row r="772" ht="15.75" customHeight="1">
      <c r="H772" s="52"/>
    </row>
    <row r="773" ht="15.75" customHeight="1">
      <c r="H773" s="52"/>
    </row>
    <row r="774" ht="15.75" customHeight="1">
      <c r="H774" s="52"/>
    </row>
    <row r="775" ht="15.75" customHeight="1">
      <c r="H775" s="52"/>
    </row>
    <row r="776" ht="15.75" customHeight="1">
      <c r="H776" s="52"/>
    </row>
    <row r="777" ht="15.75" customHeight="1">
      <c r="H777" s="52"/>
    </row>
    <row r="778" ht="15.75" customHeight="1">
      <c r="H778" s="52"/>
    </row>
    <row r="779" ht="15.75" customHeight="1">
      <c r="H779" s="52"/>
    </row>
    <row r="780" ht="15.75" customHeight="1">
      <c r="H780" s="52"/>
    </row>
    <row r="781" ht="15.75" customHeight="1">
      <c r="H781" s="52"/>
    </row>
    <row r="782" ht="15.75" customHeight="1">
      <c r="H782" s="52"/>
    </row>
    <row r="783" ht="15.75" customHeight="1">
      <c r="H783" s="52"/>
    </row>
    <row r="784" ht="15.75" customHeight="1">
      <c r="H784" s="52"/>
    </row>
    <row r="785" ht="15.75" customHeight="1">
      <c r="H785" s="52"/>
    </row>
    <row r="786" ht="15.75" customHeight="1">
      <c r="H786" s="52"/>
    </row>
    <row r="787" ht="15.75" customHeight="1">
      <c r="H787" s="52"/>
    </row>
    <row r="788" ht="15.75" customHeight="1">
      <c r="H788" s="52"/>
    </row>
    <row r="789" ht="15.75" customHeight="1">
      <c r="H789" s="52"/>
    </row>
    <row r="790" ht="15.75" customHeight="1">
      <c r="H790" s="52"/>
    </row>
    <row r="791" ht="15.75" customHeight="1">
      <c r="H791" s="52"/>
    </row>
    <row r="792" ht="15.75" customHeight="1">
      <c r="H792" s="52"/>
    </row>
    <row r="793" ht="15.75" customHeight="1">
      <c r="H793" s="52"/>
    </row>
    <row r="794" ht="15.75" customHeight="1">
      <c r="H794" s="52"/>
    </row>
    <row r="795" ht="15.75" customHeight="1">
      <c r="H795" s="52"/>
    </row>
    <row r="796" ht="15.75" customHeight="1">
      <c r="H796" s="52"/>
    </row>
    <row r="797" ht="15.75" customHeight="1">
      <c r="H797" s="52"/>
    </row>
    <row r="798" ht="15.75" customHeight="1">
      <c r="H798" s="52"/>
    </row>
    <row r="799" ht="15.75" customHeight="1">
      <c r="H799" s="52"/>
    </row>
    <row r="800" ht="15.75" customHeight="1">
      <c r="H800" s="52"/>
    </row>
    <row r="801" ht="15.75" customHeight="1">
      <c r="H801" s="52"/>
    </row>
    <row r="802" ht="15.75" customHeight="1">
      <c r="H802" s="52"/>
    </row>
    <row r="803" ht="15.75" customHeight="1">
      <c r="H803" s="52"/>
    </row>
    <row r="804" ht="15.75" customHeight="1">
      <c r="H804" s="52"/>
    </row>
    <row r="805" ht="15.75" customHeight="1">
      <c r="H805" s="52"/>
    </row>
    <row r="806" ht="15.75" customHeight="1">
      <c r="H806" s="52"/>
    </row>
    <row r="807" ht="15.75" customHeight="1">
      <c r="H807" s="52"/>
    </row>
    <row r="808" ht="15.75" customHeight="1">
      <c r="H808" s="52"/>
    </row>
    <row r="809" ht="15.75" customHeight="1">
      <c r="H809" s="52"/>
    </row>
    <row r="810" ht="15.75" customHeight="1">
      <c r="H810" s="52"/>
    </row>
    <row r="811" ht="15.75" customHeight="1">
      <c r="H811" s="52"/>
    </row>
    <row r="812" ht="15.75" customHeight="1">
      <c r="H812" s="52"/>
    </row>
    <row r="813" ht="15.75" customHeight="1">
      <c r="H813" s="52"/>
    </row>
    <row r="814" ht="15.75" customHeight="1">
      <c r="H814" s="52"/>
    </row>
    <row r="815" ht="15.75" customHeight="1">
      <c r="H815" s="52"/>
    </row>
    <row r="816" ht="15.75" customHeight="1">
      <c r="H816" s="52"/>
    </row>
    <row r="817" ht="15.75" customHeight="1">
      <c r="H817" s="52"/>
    </row>
    <row r="818" ht="15.75" customHeight="1">
      <c r="H818" s="52"/>
    </row>
    <row r="819" ht="15.75" customHeight="1">
      <c r="H819" s="52"/>
    </row>
    <row r="820" ht="15.75" customHeight="1">
      <c r="H820" s="52"/>
    </row>
    <row r="821" ht="15.75" customHeight="1">
      <c r="H821" s="52"/>
    </row>
    <row r="822" ht="15.75" customHeight="1">
      <c r="H822" s="52"/>
    </row>
    <row r="823" ht="15.75" customHeight="1">
      <c r="H823" s="52"/>
    </row>
    <row r="824" ht="15.75" customHeight="1">
      <c r="H824" s="52"/>
    </row>
    <row r="825" ht="15.75" customHeight="1">
      <c r="H825" s="52"/>
    </row>
    <row r="826" ht="15.75" customHeight="1">
      <c r="H826" s="52"/>
    </row>
    <row r="827" ht="15.75" customHeight="1">
      <c r="H827" s="52"/>
    </row>
    <row r="828" ht="15.75" customHeight="1">
      <c r="H828" s="52"/>
    </row>
    <row r="829" ht="15.75" customHeight="1">
      <c r="H829" s="52"/>
    </row>
    <row r="830" ht="15.75" customHeight="1">
      <c r="H830" s="52"/>
    </row>
    <row r="831" ht="15.75" customHeight="1">
      <c r="H831" s="52"/>
    </row>
    <row r="832" ht="15.75" customHeight="1">
      <c r="H832" s="52"/>
    </row>
    <row r="833" ht="15.75" customHeight="1">
      <c r="H833" s="52"/>
    </row>
    <row r="834" ht="15.75" customHeight="1">
      <c r="H834" s="52"/>
    </row>
    <row r="835" ht="15.75" customHeight="1">
      <c r="H835" s="52"/>
    </row>
    <row r="836" ht="15.75" customHeight="1">
      <c r="H836" s="52"/>
    </row>
    <row r="837" ht="15.75" customHeight="1">
      <c r="H837" s="52"/>
    </row>
    <row r="838" ht="15.75" customHeight="1">
      <c r="H838" s="52"/>
    </row>
    <row r="839" ht="15.75" customHeight="1">
      <c r="H839" s="52"/>
    </row>
    <row r="840" ht="15.75" customHeight="1">
      <c r="H840" s="52"/>
    </row>
    <row r="841" ht="15.75" customHeight="1">
      <c r="H841" s="52"/>
    </row>
    <row r="842" ht="15.75" customHeight="1">
      <c r="H842" s="52"/>
    </row>
    <row r="843" ht="15.75" customHeight="1">
      <c r="H843" s="52"/>
    </row>
    <row r="844" ht="15.75" customHeight="1">
      <c r="H844" s="52"/>
    </row>
    <row r="845" ht="15.75" customHeight="1">
      <c r="H845" s="52"/>
    </row>
    <row r="846" ht="15.75" customHeight="1">
      <c r="H846" s="52"/>
    </row>
    <row r="847" ht="15.75" customHeight="1">
      <c r="H847" s="52"/>
    </row>
    <row r="848" ht="15.75" customHeight="1">
      <c r="H848" s="52"/>
    </row>
    <row r="849" ht="15.75" customHeight="1">
      <c r="H849" s="52"/>
    </row>
    <row r="850" ht="15.75" customHeight="1">
      <c r="H850" s="52"/>
    </row>
    <row r="851" ht="15.75" customHeight="1">
      <c r="H851" s="52"/>
    </row>
    <row r="852" ht="15.75" customHeight="1">
      <c r="H852" s="52"/>
    </row>
    <row r="853" ht="15.75" customHeight="1">
      <c r="H853" s="52"/>
    </row>
    <row r="854" ht="15.75" customHeight="1">
      <c r="H854" s="52"/>
    </row>
    <row r="855" ht="15.75" customHeight="1">
      <c r="H855" s="52"/>
    </row>
    <row r="856" ht="15.75" customHeight="1">
      <c r="H856" s="52"/>
    </row>
    <row r="857" ht="15.75" customHeight="1">
      <c r="H857" s="52"/>
    </row>
    <row r="858" ht="15.75" customHeight="1">
      <c r="H858" s="52"/>
    </row>
    <row r="859" ht="15.75" customHeight="1">
      <c r="H859" s="52"/>
    </row>
    <row r="860" ht="15.75" customHeight="1">
      <c r="H860" s="52"/>
    </row>
    <row r="861" ht="15.75" customHeight="1">
      <c r="H861" s="52"/>
    </row>
    <row r="862" ht="15.75" customHeight="1">
      <c r="H862" s="52"/>
    </row>
    <row r="863" ht="15.75" customHeight="1">
      <c r="H863" s="52"/>
    </row>
    <row r="864" ht="15.75" customHeight="1">
      <c r="H864" s="52"/>
    </row>
    <row r="865" ht="15.75" customHeight="1">
      <c r="H865" s="52"/>
    </row>
    <row r="866" ht="15.75" customHeight="1">
      <c r="H866" s="52"/>
    </row>
    <row r="867" ht="15.75" customHeight="1">
      <c r="H867" s="52"/>
    </row>
    <row r="868" ht="15.75" customHeight="1">
      <c r="H868" s="52"/>
    </row>
    <row r="869" ht="15.75" customHeight="1">
      <c r="H869" s="52"/>
    </row>
    <row r="870" ht="15.75" customHeight="1">
      <c r="H870" s="52"/>
    </row>
    <row r="871" ht="15.75" customHeight="1">
      <c r="H871" s="52"/>
    </row>
    <row r="872" ht="15.75" customHeight="1">
      <c r="H872" s="52"/>
    </row>
    <row r="873" ht="15.75" customHeight="1">
      <c r="H873" s="52"/>
    </row>
    <row r="874" ht="15.75" customHeight="1">
      <c r="H874" s="52"/>
    </row>
    <row r="875" ht="15.75" customHeight="1">
      <c r="H875" s="52"/>
    </row>
    <row r="876" ht="15.75" customHeight="1">
      <c r="H876" s="52"/>
    </row>
    <row r="877" ht="15.75" customHeight="1">
      <c r="H877" s="52"/>
    </row>
    <row r="878" ht="15.75" customHeight="1">
      <c r="H878" s="52"/>
    </row>
    <row r="879" ht="15.75" customHeight="1">
      <c r="H879" s="52"/>
    </row>
    <row r="880" ht="15.75" customHeight="1">
      <c r="H880" s="52"/>
    </row>
    <row r="881" ht="15.75" customHeight="1">
      <c r="H881" s="52"/>
    </row>
    <row r="882" ht="15.75" customHeight="1">
      <c r="H882" s="52"/>
    </row>
    <row r="883" ht="15.75" customHeight="1">
      <c r="H883" s="52"/>
    </row>
    <row r="884" ht="15.75" customHeight="1">
      <c r="H884" s="52"/>
    </row>
    <row r="885" ht="15.75" customHeight="1">
      <c r="H885" s="52"/>
    </row>
    <row r="886" ht="15.75" customHeight="1">
      <c r="H886" s="52"/>
    </row>
    <row r="887" ht="15.75" customHeight="1">
      <c r="H887" s="52"/>
    </row>
    <row r="888" ht="15.75" customHeight="1">
      <c r="H888" s="52"/>
    </row>
    <row r="889" ht="15.75" customHeight="1">
      <c r="H889" s="52"/>
    </row>
    <row r="890" ht="15.75" customHeight="1">
      <c r="H890" s="52"/>
    </row>
    <row r="891" ht="15.75" customHeight="1">
      <c r="H891" s="52"/>
    </row>
    <row r="892" ht="15.75" customHeight="1">
      <c r="H892" s="52"/>
    </row>
    <row r="893" ht="15.75" customHeight="1">
      <c r="H893" s="52"/>
    </row>
    <row r="894" ht="15.75" customHeight="1">
      <c r="H894" s="52"/>
    </row>
    <row r="895" ht="15.75" customHeight="1">
      <c r="H895" s="52"/>
    </row>
    <row r="896" ht="15.75" customHeight="1">
      <c r="H896" s="52"/>
    </row>
    <row r="897" ht="15.75" customHeight="1">
      <c r="H897" s="52"/>
    </row>
    <row r="898" ht="15.75" customHeight="1">
      <c r="H898" s="52"/>
    </row>
    <row r="899" ht="15.75" customHeight="1">
      <c r="H899" s="52"/>
    </row>
    <row r="900" ht="15.75" customHeight="1">
      <c r="H900" s="52"/>
    </row>
    <row r="901" ht="15.75" customHeight="1">
      <c r="H901" s="52"/>
    </row>
    <row r="902" ht="15.75" customHeight="1">
      <c r="H902" s="52"/>
    </row>
    <row r="903" ht="15.75" customHeight="1">
      <c r="H903" s="52"/>
    </row>
    <row r="904" ht="15.75" customHeight="1">
      <c r="H904" s="52"/>
    </row>
    <row r="905" ht="15.75" customHeight="1">
      <c r="H905" s="52"/>
    </row>
    <row r="906" ht="15.75" customHeight="1">
      <c r="H906" s="52"/>
    </row>
    <row r="907" ht="15.75" customHeight="1">
      <c r="H907" s="52"/>
    </row>
    <row r="908" ht="15.75" customHeight="1">
      <c r="H908" s="52"/>
    </row>
    <row r="909" ht="15.75" customHeight="1">
      <c r="H909" s="52"/>
    </row>
    <row r="910" ht="15.75" customHeight="1">
      <c r="H910" s="52"/>
    </row>
    <row r="911" ht="15.75" customHeight="1">
      <c r="H911" s="52"/>
    </row>
    <row r="912" ht="15.75" customHeight="1">
      <c r="H912" s="52"/>
    </row>
    <row r="913" ht="15.75" customHeight="1">
      <c r="H913" s="52"/>
    </row>
    <row r="914" ht="15.75" customHeight="1">
      <c r="H914" s="52"/>
    </row>
    <row r="915" ht="15.75" customHeight="1">
      <c r="H915" s="52"/>
    </row>
    <row r="916" ht="15.75" customHeight="1">
      <c r="H916" s="52"/>
    </row>
    <row r="917" ht="15.75" customHeight="1">
      <c r="H917" s="52"/>
    </row>
    <row r="918" ht="15.75" customHeight="1">
      <c r="H918" s="52"/>
    </row>
    <row r="919" ht="15.75" customHeight="1">
      <c r="H919" s="52"/>
    </row>
    <row r="920" ht="15.75" customHeight="1">
      <c r="H920" s="52"/>
    </row>
    <row r="921" ht="15.75" customHeight="1">
      <c r="H921" s="52"/>
    </row>
    <row r="922" ht="15.75" customHeight="1">
      <c r="H922" s="52"/>
    </row>
    <row r="923" ht="15.75" customHeight="1">
      <c r="H923" s="52"/>
    </row>
    <row r="924" ht="15.75" customHeight="1">
      <c r="H924" s="52"/>
    </row>
    <row r="925" ht="15.75" customHeight="1">
      <c r="H925" s="52"/>
    </row>
    <row r="926" ht="15.75" customHeight="1">
      <c r="H926" s="52"/>
    </row>
    <row r="927" ht="15.75" customHeight="1">
      <c r="H927" s="52"/>
    </row>
    <row r="928" ht="15.75" customHeight="1">
      <c r="H928" s="52"/>
    </row>
    <row r="929" ht="15.75" customHeight="1">
      <c r="H929" s="52"/>
    </row>
    <row r="930" ht="15.75" customHeight="1">
      <c r="H930" s="52"/>
    </row>
    <row r="931" ht="15.75" customHeight="1">
      <c r="H931" s="52"/>
    </row>
    <row r="932" ht="15.75" customHeight="1">
      <c r="H932" s="52"/>
    </row>
    <row r="933" ht="15.75" customHeight="1">
      <c r="H933" s="52"/>
    </row>
    <row r="934" ht="15.75" customHeight="1">
      <c r="H934" s="52"/>
    </row>
    <row r="935" ht="15.75" customHeight="1">
      <c r="H935" s="52"/>
    </row>
    <row r="936" ht="15.75" customHeight="1">
      <c r="H936" s="52"/>
    </row>
    <row r="937" ht="15.75" customHeight="1">
      <c r="H937" s="52"/>
    </row>
    <row r="938" ht="15.75" customHeight="1">
      <c r="H938" s="52"/>
    </row>
    <row r="939" ht="15.75" customHeight="1">
      <c r="H939" s="52"/>
    </row>
    <row r="940" ht="15.75" customHeight="1">
      <c r="H940" s="52"/>
    </row>
    <row r="941" ht="15.75" customHeight="1">
      <c r="H941" s="52"/>
    </row>
    <row r="942" ht="15.75" customHeight="1">
      <c r="H942" s="52"/>
    </row>
    <row r="943" ht="15.75" customHeight="1">
      <c r="H943" s="52"/>
    </row>
    <row r="944" ht="15.75" customHeight="1">
      <c r="H944" s="52"/>
    </row>
    <row r="945" ht="15.75" customHeight="1">
      <c r="H945" s="52"/>
    </row>
    <row r="946" ht="15.75" customHeight="1">
      <c r="H946" s="52"/>
    </row>
    <row r="947" ht="15.75" customHeight="1">
      <c r="H947" s="52"/>
    </row>
    <row r="948" ht="15.75" customHeight="1">
      <c r="H948" s="52"/>
    </row>
    <row r="949" ht="15.75" customHeight="1">
      <c r="H949" s="52"/>
    </row>
    <row r="950" ht="15.75" customHeight="1">
      <c r="H950" s="52"/>
    </row>
    <row r="951" ht="15.75" customHeight="1">
      <c r="H951" s="52"/>
    </row>
    <row r="952" ht="15.75" customHeight="1">
      <c r="H952" s="52"/>
    </row>
    <row r="953" ht="15.75" customHeight="1">
      <c r="H953" s="52"/>
    </row>
    <row r="954" ht="15.75" customHeight="1">
      <c r="H954" s="52"/>
    </row>
    <row r="955" ht="15.75" customHeight="1">
      <c r="H955" s="52"/>
    </row>
    <row r="956" ht="15.75" customHeight="1">
      <c r="H956" s="52"/>
    </row>
    <row r="957" ht="15.75" customHeight="1">
      <c r="H957" s="52"/>
    </row>
    <row r="958" ht="15.75" customHeight="1">
      <c r="H958" s="52"/>
    </row>
    <row r="959" ht="15.75" customHeight="1">
      <c r="H959" s="52"/>
    </row>
    <row r="960" ht="15.75" customHeight="1">
      <c r="H960" s="52"/>
    </row>
    <row r="961" ht="15.75" customHeight="1">
      <c r="H961" s="52"/>
    </row>
    <row r="962" ht="15.75" customHeight="1">
      <c r="H962" s="52"/>
    </row>
    <row r="963" ht="15.75" customHeight="1">
      <c r="H963" s="52"/>
    </row>
    <row r="964" ht="15.75" customHeight="1">
      <c r="H964" s="52"/>
    </row>
    <row r="965" ht="15.75" customHeight="1">
      <c r="H965" s="52"/>
    </row>
    <row r="966" ht="15.75" customHeight="1">
      <c r="H966" s="52"/>
    </row>
    <row r="967" ht="15.75" customHeight="1">
      <c r="H967" s="52"/>
    </row>
    <row r="968" ht="15.75" customHeight="1">
      <c r="H968" s="52"/>
    </row>
    <row r="969" ht="15.75" customHeight="1">
      <c r="H969" s="52"/>
    </row>
    <row r="970" ht="15.75" customHeight="1">
      <c r="H970" s="52"/>
    </row>
    <row r="971" ht="15.75" customHeight="1">
      <c r="H971" s="52"/>
    </row>
    <row r="972" ht="15.75" customHeight="1">
      <c r="H972" s="52"/>
    </row>
    <row r="973" ht="15.75" customHeight="1">
      <c r="H973" s="52"/>
    </row>
    <row r="974" ht="15.75" customHeight="1">
      <c r="H974" s="52"/>
    </row>
    <row r="975" ht="15.75" customHeight="1">
      <c r="H975" s="52"/>
    </row>
    <row r="976" ht="15.75" customHeight="1">
      <c r="H976" s="52"/>
    </row>
    <row r="977" ht="15.75" customHeight="1">
      <c r="H977" s="52"/>
    </row>
    <row r="978" ht="15.75" customHeight="1">
      <c r="H978" s="52"/>
    </row>
    <row r="979" ht="15.75" customHeight="1">
      <c r="H979" s="52"/>
    </row>
    <row r="980" ht="15.75" customHeight="1">
      <c r="H980" s="52"/>
    </row>
    <row r="981" ht="15.75" customHeight="1">
      <c r="H981" s="52"/>
    </row>
    <row r="982" ht="15.75" customHeight="1">
      <c r="H982" s="52"/>
    </row>
    <row r="983" ht="15.75" customHeight="1">
      <c r="H983" s="52"/>
    </row>
    <row r="984" ht="15.75" customHeight="1">
      <c r="H984" s="52"/>
    </row>
    <row r="985" ht="15.75" customHeight="1">
      <c r="H985" s="52"/>
    </row>
    <row r="986" ht="15.75" customHeight="1">
      <c r="H986" s="52"/>
    </row>
    <row r="987" ht="15.75" customHeight="1">
      <c r="H987" s="52"/>
    </row>
    <row r="988" ht="15.75" customHeight="1">
      <c r="H988" s="52"/>
    </row>
    <row r="989" ht="15.75" customHeight="1">
      <c r="H989" s="52"/>
    </row>
    <row r="990" ht="15.75" customHeight="1">
      <c r="H990" s="52"/>
    </row>
    <row r="991" ht="15.75" customHeight="1">
      <c r="H991" s="52"/>
    </row>
    <row r="992" ht="15.75" customHeight="1">
      <c r="H992" s="52"/>
    </row>
    <row r="993" ht="15.75" customHeight="1">
      <c r="H993" s="52"/>
    </row>
    <row r="994" ht="15.75" customHeight="1">
      <c r="H994" s="52"/>
    </row>
    <row r="995" ht="15.75" customHeight="1">
      <c r="H995" s="52"/>
    </row>
    <row r="996" ht="15.75" customHeight="1">
      <c r="H996" s="52"/>
    </row>
    <row r="997" ht="15.75" customHeight="1">
      <c r="H997" s="52"/>
    </row>
    <row r="998" ht="15.75" customHeight="1">
      <c r="H998" s="52"/>
    </row>
    <row r="999" ht="15.75" customHeight="1">
      <c r="H999" s="52"/>
    </row>
    <row r="1000" ht="15.75" customHeight="1">
      <c r="H1000" s="52"/>
    </row>
  </sheetData>
  <autoFilter ref="$A$5:$AE$205"/>
  <mergeCells count="2">
    <mergeCell ref="A4:S4"/>
    <mergeCell ref="T4:AE4"/>
  </mergeCells>
  <conditionalFormatting sqref="T6:AE205">
    <cfRule type="expression" dxfId="3" priority="1">
      <formula>T6="Hoạt động"</formula>
    </cfRule>
  </conditionalFormatting>
  <conditionalFormatting sqref="T6:AE205">
    <cfRule type="expression" dxfId="5" priority="2">
      <formula>T6="Hạn chế"</formula>
    </cfRule>
  </conditionalFormatting>
  <conditionalFormatting sqref="T6:AE205">
    <cfRule type="expression" dxfId="6" priority="3">
      <formula>T6="Checkpoint"</formula>
    </cfRule>
  </conditionalFormatting>
  <conditionalFormatting sqref="T6:AE205">
    <cfRule type="expression" dxfId="9" priority="4">
      <formula>T6="Die / Mất"</formula>
    </cfRule>
  </conditionalFormatting>
  <conditionalFormatting sqref="T6:AE205">
    <cfRule type="expression" dxfId="7" priority="5">
      <formula>T6="Đã thu hồi"</formula>
    </cfRule>
  </conditionalFormatting>
  <conditionalFormatting sqref="T6:AE205">
    <cfRule type="expression" dxfId="7" priority="6">
      <formula>T6="Ngừng dùng"</formula>
    </cfRule>
  </conditionalFormatting>
  <conditionalFormatting sqref="R6:R205">
    <cfRule type="expression" dxfId="3" priority="7">
      <formula>R6="Đã bàn giao"</formula>
    </cfRule>
  </conditionalFormatting>
  <conditionalFormatting sqref="R6:R205">
    <cfRule type="expression" dxfId="5" priority="8">
      <formula>R6="Đang bàn giao"</formula>
    </cfRule>
  </conditionalFormatting>
  <conditionalFormatting sqref="R6:R205">
    <cfRule type="expression" dxfId="9" priority="9">
      <formula>R6="Chưa bàn giao"</formula>
    </cfRule>
  </conditionalFormatting>
  <conditionalFormatting sqref="H6:I205">
    <cfRule type="expression" dxfId="10" priority="10">
      <formula>H6="Đang làm"</formula>
    </cfRule>
  </conditionalFormatting>
  <conditionalFormatting sqref="H6:I205">
    <cfRule type="expression" dxfId="11" priority="11">
      <formula>H6="Thử việc"</formula>
    </cfRule>
  </conditionalFormatting>
  <conditionalFormatting sqref="H6:I205">
    <cfRule type="expression" dxfId="12" priority="12">
      <formula>H6="Tạm nghỉ"</formula>
    </cfRule>
  </conditionalFormatting>
  <conditionalFormatting sqref="H6:I205">
    <cfRule type="expression" dxfId="13" priority="13">
      <formula>H6="Chuyển ban"</formula>
    </cfRule>
  </conditionalFormatting>
  <conditionalFormatting sqref="H6:I205">
    <cfRule type="expression" dxfId="8" priority="14">
      <formula>H6="Đã nghỉ việc"</formula>
    </cfRule>
  </conditionalFormatting>
  <conditionalFormatting sqref="H6:I205">
    <cfRule type="expression" dxfId="8" priority="15">
      <formula>H6="Chưa có trong DS"</formula>
    </cfRule>
  </conditionalFormatting>
  <dataValidations>
    <dataValidation type="list" allowBlank="1" showInputMessage="1" showErrorMessage="1" prompt="Kiểm tra lại - Vui lòng chọn trong danh sách." sqref="M6:M205">
      <formula1>'Danh mục'!$C$2:$C$4</formula1>
    </dataValidation>
    <dataValidation type="list" allowBlank="1" showInputMessage="1" showErrorMessage="1" prompt="Kiểm tra lại - Vui lòng chọn trong danh sách." sqref="O6:O205">
      <formula1>'Danh mục'!$D$2:$D$7</formula1>
    </dataValidation>
    <dataValidation type="list" allowBlank="1" showInputMessage="1" showErrorMessage="1" prompt="Kiểm tra lại - Vui lòng chọn trong danh sách." sqref="R6:R205">
      <formula1>'Danh mục'!$E$2:$E$4</formula1>
    </dataValidation>
    <dataValidation type="list" allowBlank="1" showInputMessage="1" showErrorMessage="1" prompt="Kiểm tra lại - Vui lòng chọn trong danh sách." sqref="T6:AE205">
      <formula1>'Danh mục'!$F$2:$F$7</formula1>
    </dataValidation>
    <dataValidation type="list" allowBlank="1" showInputMessage="1" showErrorMessage="1" prompt="Kiểm tra lại - Vui lòng chọn trong danh sách." sqref="C6:C205">
      <formula1>'Danh mục'!$A$2:$A$8</formula1>
    </dataValidation>
    <dataValidation type="list" allowBlank="1" showInputMessage="1" prompt="Kiểm tra lại - Tên này chưa có trong tab Người sử dụng. Hãy thêm người này vào tab Người sử dụng trước." sqref="G6:G205">
      <formula1>'Người sử dụng'!$C$5:$C$140</formula1>
    </dataValidation>
    <dataValidation type="date" operator="greaterThan" allowBlank="1" showInputMessage="1" showErrorMessage="1" prompt="Nhập ngày dạng dd/mm/yyyy." sqref="P6:P205">
      <formula1>DATE(2000,1,1)</formula1>
    </dataValidation>
    <dataValidation type="list" allowBlank="1" showInputMessage="1" showErrorMessage="1" prompt="Kiểm tra lại - Vui lòng chọn trong danh sách." sqref="J6:J205">
      <formula1>'Danh mục'!$B$2:$B$10</formula1>
    </dataValidation>
    <dataValidation type="list" allowBlank="1" showInputMessage="1" prompt="Kiểm tra lại - Tên này chưa có trong tab Người sử dụng." sqref="N6:N205">
      <formula1>'Người sử dụng'!$C$5:$C$140</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AFEA"/>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6.0"/>
    <col customWidth="1" min="2" max="2" width="13.0"/>
    <col customWidth="1" min="3" max="3" width="14.0"/>
    <col customWidth="1" min="4" max="4" width="22.0"/>
    <col customWidth="1" min="5" max="5" width="28.0"/>
    <col customWidth="1" min="6" max="6" width="30.0"/>
    <col customWidth="1" min="7" max="7" width="25.14"/>
    <col customWidth="1" min="8" max="8" width="13.71"/>
    <col customWidth="1" min="9" max="9" width="16.0"/>
    <col customWidth="1" min="10" max="10" width="22.0"/>
    <col customWidth="1" min="11" max="11" width="27.71"/>
    <col customWidth="1" min="12" max="12" width="14.0"/>
    <col customWidth="1" min="13" max="13" width="12.0"/>
    <col customWidth="1" min="14" max="14" width="20.0"/>
    <col customWidth="1" min="15" max="15" width="18.0"/>
    <col customWidth="1" min="16" max="16" width="14.0"/>
    <col customWidth="1" min="17" max="17" width="26.0"/>
    <col customWidth="1" min="18" max="18" width="18.0"/>
    <col customWidth="1" min="19" max="19" width="52.14"/>
    <col customWidth="1" min="20" max="31" width="12.0"/>
  </cols>
  <sheetData>
    <row r="1">
      <c r="A1" s="1" t="s">
        <v>430</v>
      </c>
    </row>
    <row r="2">
      <c r="A2" s="8" t="s">
        <v>94</v>
      </c>
      <c r="C2" s="27"/>
      <c r="D2" s="27"/>
      <c r="E2" s="8" t="s">
        <v>99</v>
      </c>
      <c r="G2" s="29"/>
      <c r="H2" s="61"/>
    </row>
    <row r="3">
      <c r="A3" s="7" t="s">
        <v>105</v>
      </c>
    </row>
    <row r="4" ht="15.0" customHeight="1">
      <c r="A4" s="31" t="s">
        <v>108</v>
      </c>
      <c r="B4" s="32"/>
      <c r="C4" s="32"/>
      <c r="D4" s="32"/>
      <c r="E4" s="32"/>
      <c r="F4" s="32"/>
      <c r="G4" s="32"/>
      <c r="H4" s="32"/>
      <c r="I4" s="32"/>
      <c r="J4" s="32"/>
      <c r="K4" s="32"/>
      <c r="L4" s="32"/>
      <c r="M4" s="32"/>
      <c r="N4" s="32"/>
      <c r="O4" s="32"/>
      <c r="P4" s="32"/>
      <c r="Q4" s="32"/>
      <c r="R4" s="32"/>
      <c r="S4" s="34"/>
      <c r="T4" s="37" t="s">
        <v>110</v>
      </c>
      <c r="U4" s="32"/>
      <c r="V4" s="32"/>
      <c r="W4" s="32"/>
      <c r="X4" s="32"/>
      <c r="Y4" s="32"/>
      <c r="Z4" s="32"/>
      <c r="AA4" s="32"/>
      <c r="AB4" s="32"/>
      <c r="AC4" s="32"/>
      <c r="AD4" s="32"/>
      <c r="AE4" s="34"/>
    </row>
    <row r="5" ht="45.75" customHeight="1">
      <c r="A5" s="11" t="s">
        <v>11</v>
      </c>
      <c r="B5" s="11" t="s">
        <v>65</v>
      </c>
      <c r="C5" s="12" t="s">
        <v>66</v>
      </c>
      <c r="D5" s="12" t="s">
        <v>67</v>
      </c>
      <c r="E5" s="12" t="s">
        <v>68</v>
      </c>
      <c r="F5" s="12" t="s">
        <v>69</v>
      </c>
      <c r="G5" s="12" t="s">
        <v>71</v>
      </c>
      <c r="H5" s="62" t="s">
        <v>112</v>
      </c>
      <c r="I5" s="11" t="s">
        <v>72</v>
      </c>
      <c r="J5" s="12" t="s">
        <v>73</v>
      </c>
      <c r="K5" s="12" t="s">
        <v>74</v>
      </c>
      <c r="L5" s="12" t="s">
        <v>75</v>
      </c>
      <c r="M5" s="12" t="s">
        <v>76</v>
      </c>
      <c r="N5" s="12" t="s">
        <v>78</v>
      </c>
      <c r="O5" s="12" t="s">
        <v>79</v>
      </c>
      <c r="P5" s="12" t="s">
        <v>80</v>
      </c>
      <c r="Q5" s="12" t="s">
        <v>81</v>
      </c>
      <c r="R5" s="39" t="s">
        <v>82</v>
      </c>
      <c r="S5" s="12" t="s">
        <v>36</v>
      </c>
      <c r="T5" s="39" t="s">
        <v>113</v>
      </c>
      <c r="U5" s="39" t="s">
        <v>114</v>
      </c>
      <c r="V5" s="39" t="s">
        <v>115</v>
      </c>
      <c r="W5" s="39" t="s">
        <v>116</v>
      </c>
      <c r="X5" s="39" t="s">
        <v>117</v>
      </c>
      <c r="Y5" s="39" t="s">
        <v>118</v>
      </c>
      <c r="Z5" s="39" t="s">
        <v>119</v>
      </c>
      <c r="AA5" s="39" t="s">
        <v>120</v>
      </c>
      <c r="AB5" s="39" t="s">
        <v>121</v>
      </c>
      <c r="AC5" s="39" t="s">
        <v>122</v>
      </c>
      <c r="AD5" s="39" t="s">
        <v>123</v>
      </c>
      <c r="AE5" s="39" t="s">
        <v>124</v>
      </c>
    </row>
    <row r="6">
      <c r="A6" s="57">
        <v>1.0</v>
      </c>
      <c r="B6" s="40" t="str">
        <f>IF(C6="","","MD-"&amp;TEXT(ROW()-5,"000"))</f>
        <v>MD-001</v>
      </c>
      <c r="C6" s="19" t="s">
        <v>434</v>
      </c>
      <c r="D6" s="23"/>
      <c r="E6" s="42" t="s">
        <v>435</v>
      </c>
      <c r="F6" s="45" t="s">
        <v>436</v>
      </c>
      <c r="G6" s="19" t="s">
        <v>244</v>
      </c>
      <c r="H6" s="64" t="str">
        <f t="array" ref="H6:H1000">IFERROR(_xlfn.XLOOKUP(G6:G1000,'Người sử dụng'!$C$4:$C1000,'Người sử dụng'!$B$4:$B1000),"")</f>
        <v>E051LONG</v>
      </c>
      <c r="I6" s="40" t="str">
        <f t="array" ref="I6">IF(G6="","",IFERROR(INDEX('Người sử dụng'!$H$5:$H$140,MATCH(G6,'Người sử dụng'!$C$5:$C$140,0)),"Chưa có trong DS"))</f>
        <v>Đang làm</v>
      </c>
      <c r="J6" s="19" t="s">
        <v>441</v>
      </c>
      <c r="K6" s="19" t="s">
        <v>269</v>
      </c>
      <c r="L6" s="41" t="s">
        <v>268</v>
      </c>
      <c r="M6" s="19" t="s">
        <v>91</v>
      </c>
      <c r="N6" s="19" t="s">
        <v>368</v>
      </c>
      <c r="O6" s="19" t="s">
        <v>443</v>
      </c>
      <c r="P6" s="54">
        <v>46120.0</v>
      </c>
      <c r="Q6" s="42" t="s">
        <v>444</v>
      </c>
      <c r="R6" s="50" t="s">
        <v>96</v>
      </c>
      <c r="S6" s="42" t="s">
        <v>445</v>
      </c>
      <c r="T6" s="46"/>
      <c r="U6" s="46"/>
      <c r="V6" s="46"/>
      <c r="W6" s="46"/>
      <c r="X6" s="46"/>
      <c r="Y6" s="46"/>
      <c r="Z6" s="46"/>
      <c r="AA6" s="46"/>
      <c r="AB6" s="46"/>
      <c r="AC6" s="46"/>
      <c r="AD6" s="46"/>
      <c r="AE6" s="46"/>
    </row>
    <row r="7" ht="27.0" customHeight="1">
      <c r="A7" s="33">
        <f>IF(C7="","",ROW()-5)</f>
        <v>2</v>
      </c>
      <c r="B7" s="40" t="str">
        <f>IF(C7="","","TK-"&amp;TEXT(ROW()-5,"000"))</f>
        <v>TK-002</v>
      </c>
      <c r="C7" s="19" t="s">
        <v>447</v>
      </c>
      <c r="D7" s="23"/>
      <c r="E7" s="42" t="s">
        <v>448</v>
      </c>
      <c r="F7" s="53" t="s">
        <v>449</v>
      </c>
      <c r="G7" s="19" t="s">
        <v>244</v>
      </c>
      <c r="H7" s="19" t="s">
        <v>243</v>
      </c>
      <c r="I7" s="40" t="str">
        <f t="array" ref="I7">IF(G6="","",IFERROR(INDEX('Người sử dụng'!$H$5:$H$140,MATCH(G6,'Người sử dụng'!$C$5:$C$140,0)),"Chưa có trong DS"))</f>
        <v>Đang làm</v>
      </c>
      <c r="J7" s="19" t="s">
        <v>89</v>
      </c>
      <c r="K7" s="19" t="s">
        <v>451</v>
      </c>
      <c r="L7" s="41" t="s">
        <v>246</v>
      </c>
      <c r="M7" s="19" t="s">
        <v>91</v>
      </c>
      <c r="N7" s="19" t="s">
        <v>452</v>
      </c>
      <c r="O7" s="19" t="s">
        <v>143</v>
      </c>
      <c r="P7" s="54">
        <v>46280.0</v>
      </c>
      <c r="Q7" s="42" t="s">
        <v>453</v>
      </c>
      <c r="R7" s="50" t="s">
        <v>96</v>
      </c>
      <c r="S7" s="51"/>
      <c r="T7" s="46"/>
      <c r="U7" s="46"/>
      <c r="V7" s="46"/>
      <c r="W7" s="46"/>
      <c r="X7" s="46"/>
      <c r="Y7" s="46"/>
      <c r="Z7" s="46"/>
      <c r="AA7" s="46"/>
      <c r="AB7" s="46"/>
      <c r="AC7" s="46"/>
      <c r="AD7" s="46"/>
      <c r="AE7" s="46"/>
    </row>
    <row r="8">
      <c r="A8" s="57">
        <v>3.0</v>
      </c>
      <c r="B8" s="40" t="str">
        <f>IF(C9="","","TK-"&amp;TEXT(ROW()-5,"000"))</f>
        <v>TK-003</v>
      </c>
      <c r="C8" s="19" t="s">
        <v>455</v>
      </c>
      <c r="D8" s="23"/>
      <c r="E8" s="42" t="s">
        <v>456</v>
      </c>
      <c r="F8" s="65" t="s">
        <v>457</v>
      </c>
      <c r="G8" s="19" t="s">
        <v>244</v>
      </c>
      <c r="H8" s="19" t="s">
        <v>243</v>
      </c>
      <c r="I8" s="40" t="str">
        <f t="array" ref="I8">IF(G6="","",IFERROR(INDEX('Người sử dụng'!$H$5:$H$140,MATCH(G6,'Người sử dụng'!$C$5:$C$140,0)),"Chưa có trong DS"))</f>
        <v>Đang làm</v>
      </c>
      <c r="J8" s="19" t="s">
        <v>441</v>
      </c>
      <c r="K8" s="19" t="s">
        <v>460</v>
      </c>
      <c r="L8" s="23"/>
      <c r="M8" s="19"/>
      <c r="N8" s="19"/>
      <c r="O8" s="19" t="s">
        <v>143</v>
      </c>
      <c r="P8" s="54">
        <v>46286.0</v>
      </c>
      <c r="Q8" s="42" t="s">
        <v>461</v>
      </c>
      <c r="R8" s="50" t="s">
        <v>96</v>
      </c>
      <c r="S8" s="42" t="s">
        <v>462</v>
      </c>
      <c r="T8" s="46"/>
      <c r="U8" s="46"/>
      <c r="V8" s="46"/>
      <c r="W8" s="46"/>
      <c r="X8" s="46"/>
      <c r="Y8" s="46"/>
      <c r="Z8" s="46"/>
      <c r="AA8" s="46"/>
      <c r="AB8" s="46"/>
      <c r="AC8" s="46"/>
      <c r="AD8" s="46"/>
      <c r="AE8" s="46"/>
    </row>
    <row r="9" ht="25.5" customHeight="1">
      <c r="A9" s="33">
        <f>IF(C9="","",ROW()-5)</f>
        <v>4</v>
      </c>
      <c r="B9" s="40" t="str">
        <f t="shared" ref="B9:B11" si="1">IF(C9="","","TK-"&amp;TEXT(ROW()-5,"000"))</f>
        <v>TK-004</v>
      </c>
      <c r="C9" s="19" t="s">
        <v>464</v>
      </c>
      <c r="D9" s="23"/>
      <c r="E9" s="42" t="s">
        <v>465</v>
      </c>
      <c r="F9" s="45" t="s">
        <v>467</v>
      </c>
      <c r="G9" s="19" t="s">
        <v>244</v>
      </c>
      <c r="H9" s="19" t="s">
        <v>243</v>
      </c>
      <c r="I9" s="40" t="str">
        <f t="array" ref="I9">IF(G6="","",IFERROR(INDEX('Người sử dụng'!$H$5:$H$140,MATCH(G6,'Người sử dụng'!$C$5:$C$140,0)),"Chưa có trong DS"))</f>
        <v>Đang làm</v>
      </c>
      <c r="J9" s="19" t="s">
        <v>89</v>
      </c>
      <c r="K9" s="19" t="s">
        <v>460</v>
      </c>
      <c r="L9" s="41" t="s">
        <v>246</v>
      </c>
      <c r="M9" s="19" t="s">
        <v>91</v>
      </c>
      <c r="N9" s="19" t="s">
        <v>452</v>
      </c>
      <c r="O9" s="19" t="s">
        <v>92</v>
      </c>
      <c r="P9" s="54">
        <v>45925.0</v>
      </c>
      <c r="Q9" s="42" t="s">
        <v>469</v>
      </c>
      <c r="R9" s="50" t="s">
        <v>96</v>
      </c>
      <c r="S9" s="42" t="s">
        <v>470</v>
      </c>
      <c r="T9" s="46"/>
      <c r="U9" s="46"/>
      <c r="V9" s="46"/>
      <c r="W9" s="46"/>
      <c r="X9" s="46"/>
      <c r="Y9" s="46"/>
      <c r="Z9" s="46"/>
      <c r="AA9" s="46"/>
      <c r="AB9" s="46"/>
      <c r="AC9" s="46"/>
      <c r="AD9" s="46"/>
      <c r="AE9" s="46"/>
    </row>
    <row r="10">
      <c r="A10" s="57">
        <v>5.0</v>
      </c>
      <c r="B10" s="40" t="str">
        <f t="shared" si="1"/>
        <v>TK-005</v>
      </c>
      <c r="C10" s="19" t="s">
        <v>471</v>
      </c>
      <c r="D10" s="23"/>
      <c r="E10" s="42" t="s">
        <v>472</v>
      </c>
      <c r="F10" s="53" t="s">
        <v>473</v>
      </c>
      <c r="G10" s="19" t="s">
        <v>244</v>
      </c>
      <c r="H10" s="19" t="s">
        <v>243</v>
      </c>
      <c r="I10" s="40" t="str">
        <f t="array" ref="I10">IF(G6="","",IFERROR(INDEX('Người sử dụng'!$H$5:$H$140,MATCH(G6,'Người sử dụng'!$C$5:$C$140,0)),"Chưa có trong DS"))</f>
        <v>Đang làm</v>
      </c>
      <c r="J10" s="19" t="s">
        <v>89</v>
      </c>
      <c r="K10" s="19" t="s">
        <v>460</v>
      </c>
      <c r="L10" s="41" t="s">
        <v>246</v>
      </c>
      <c r="M10" s="19" t="s">
        <v>91</v>
      </c>
      <c r="N10" s="19" t="s">
        <v>452</v>
      </c>
      <c r="O10" s="19" t="s">
        <v>92</v>
      </c>
      <c r="P10" s="54">
        <v>46161.0</v>
      </c>
      <c r="Q10" s="42" t="s">
        <v>475</v>
      </c>
      <c r="R10" s="50" t="s">
        <v>96</v>
      </c>
      <c r="S10" s="42" t="s">
        <v>470</v>
      </c>
      <c r="T10" s="46"/>
      <c r="U10" s="46"/>
      <c r="V10" s="46"/>
      <c r="W10" s="46"/>
      <c r="X10" s="46"/>
      <c r="Y10" s="46"/>
      <c r="Z10" s="46"/>
      <c r="AA10" s="46"/>
      <c r="AB10" s="46"/>
      <c r="AC10" s="46"/>
      <c r="AD10" s="46"/>
      <c r="AE10" s="46"/>
    </row>
    <row r="11">
      <c r="A11" s="57">
        <v>6.0</v>
      </c>
      <c r="B11" s="40" t="str">
        <f t="shared" si="1"/>
        <v>TK-006</v>
      </c>
      <c r="C11" s="19" t="s">
        <v>477</v>
      </c>
      <c r="D11" s="23"/>
      <c r="E11" s="42" t="s">
        <v>478</v>
      </c>
      <c r="F11" s="66" t="s">
        <v>479</v>
      </c>
      <c r="G11" s="19" t="s">
        <v>244</v>
      </c>
      <c r="H11" s="19" t="s">
        <v>243</v>
      </c>
      <c r="I11" s="40" t="str">
        <f t="array" ref="I11">IF(G11="","",IFERROR(INDEX('Người sử dụng'!$H$5:$H$140,MATCH(G11,'Người sử dụng'!$C$5:$C$140,0)),"Chưa có trong DS"))</f>
        <v>Đang làm</v>
      </c>
      <c r="J11" s="19" t="s">
        <v>89</v>
      </c>
      <c r="K11" s="19" t="s">
        <v>451</v>
      </c>
      <c r="L11" s="41" t="s">
        <v>246</v>
      </c>
      <c r="M11" s="19" t="s">
        <v>91</v>
      </c>
      <c r="N11" s="19" t="s">
        <v>452</v>
      </c>
      <c r="O11" s="19" t="s">
        <v>143</v>
      </c>
      <c r="P11" s="54">
        <v>46217.0</v>
      </c>
      <c r="Q11" s="42" t="s">
        <v>482</v>
      </c>
      <c r="R11" s="50" t="s">
        <v>96</v>
      </c>
      <c r="S11" s="51"/>
      <c r="T11" s="46"/>
      <c r="U11" s="46"/>
      <c r="V11" s="46"/>
      <c r="W11" s="46"/>
      <c r="X11" s="46"/>
      <c r="Y11" s="46"/>
      <c r="Z11" s="46"/>
      <c r="AA11" s="46"/>
      <c r="AB11" s="46"/>
      <c r="AC11" s="46"/>
      <c r="AD11" s="46"/>
      <c r="AE11" s="46"/>
    </row>
    <row r="12" ht="42.75" customHeight="1">
      <c r="A12" s="57"/>
      <c r="B12" s="40"/>
      <c r="C12" s="24"/>
      <c r="D12" s="23"/>
      <c r="E12" s="51"/>
      <c r="F12" s="51"/>
      <c r="G12" s="24"/>
      <c r="H12" s="24"/>
      <c r="I12" s="40"/>
      <c r="J12" s="24"/>
      <c r="K12" s="24"/>
      <c r="L12" s="23"/>
      <c r="M12" s="24"/>
      <c r="N12" s="24"/>
      <c r="O12" s="24"/>
      <c r="P12" s="26"/>
      <c r="Q12" s="51"/>
      <c r="R12" s="46"/>
      <c r="S12" s="51"/>
      <c r="T12" s="46"/>
      <c r="U12" s="46"/>
      <c r="V12" s="46"/>
      <c r="W12" s="46"/>
      <c r="X12" s="46"/>
      <c r="Y12" s="46"/>
      <c r="Z12" s="46"/>
      <c r="AA12" s="46"/>
      <c r="AB12" s="46"/>
      <c r="AC12" s="46"/>
      <c r="AD12" s="46"/>
      <c r="AE12" s="46"/>
    </row>
    <row r="13">
      <c r="A13" s="57">
        <v>7.0</v>
      </c>
      <c r="B13" s="40" t="str">
        <f>IF(C6="","","MD-"&amp;TEXT(ROW()-5,"000"))</f>
        <v>MD-008</v>
      </c>
      <c r="C13" s="19" t="s">
        <v>434</v>
      </c>
      <c r="D13" s="23"/>
      <c r="E13" s="42" t="s">
        <v>435</v>
      </c>
      <c r="F13" s="45" t="s">
        <v>436</v>
      </c>
      <c r="G13" s="19" t="s">
        <v>257</v>
      </c>
      <c r="H13" s="19" t="s">
        <v>255</v>
      </c>
      <c r="I13" s="40" t="str">
        <f t="array" ref="I13">IF(G7="","",IFERROR(INDEX('Người sử dụng'!$H$5:$H$140,MATCH(G7,'Người sử dụng'!$C$5:$C$140,0)),"Chưa có trong DS"))</f>
        <v>Đang làm</v>
      </c>
      <c r="J13" s="19" t="s">
        <v>441</v>
      </c>
      <c r="K13" s="19" t="s">
        <v>486</v>
      </c>
      <c r="L13" s="41" t="s">
        <v>181</v>
      </c>
      <c r="M13" s="19" t="s">
        <v>91</v>
      </c>
      <c r="N13" s="19" t="s">
        <v>487</v>
      </c>
      <c r="O13" s="19" t="s">
        <v>143</v>
      </c>
      <c r="P13" s="54">
        <v>46120.0</v>
      </c>
      <c r="Q13" s="42" t="s">
        <v>444</v>
      </c>
      <c r="R13" s="50" t="s">
        <v>96</v>
      </c>
      <c r="S13" s="42" t="s">
        <v>488</v>
      </c>
      <c r="T13" s="46"/>
      <c r="U13" s="46"/>
      <c r="V13" s="46"/>
      <c r="W13" s="46"/>
      <c r="X13" s="46"/>
      <c r="Y13" s="46"/>
      <c r="Z13" s="46"/>
      <c r="AA13" s="46"/>
      <c r="AB13" s="46"/>
      <c r="AC13" s="46"/>
      <c r="AD13" s="46"/>
      <c r="AE13" s="46"/>
    </row>
    <row r="14">
      <c r="A14" s="57">
        <v>8.0</v>
      </c>
      <c r="B14" s="40" t="str">
        <f t="shared" ref="B14:B15" si="2">IF(C9="","","TK-"&amp;TEXT(ROW()-5,"000"))</f>
        <v>TK-009</v>
      </c>
      <c r="C14" s="19" t="s">
        <v>455</v>
      </c>
      <c r="D14" s="23"/>
      <c r="E14" s="42" t="s">
        <v>456</v>
      </c>
      <c r="F14" s="45" t="s">
        <v>489</v>
      </c>
      <c r="G14" s="19" t="s">
        <v>257</v>
      </c>
      <c r="H14" s="19" t="s">
        <v>255</v>
      </c>
      <c r="I14" s="40" t="str">
        <f t="array" ref="I14">IF(G14="","",IFERROR(INDEX('Người sử dụng'!$H$5:$H$140,MATCH(G14,'Người sử dụng'!$C$5:$C$140,0)),"Chưa có trong DS"))</f>
        <v>Đang làm</v>
      </c>
      <c r="J14" s="19" t="s">
        <v>89</v>
      </c>
      <c r="K14" s="19" t="s">
        <v>490</v>
      </c>
      <c r="L14" s="23"/>
      <c r="M14" s="19" t="s">
        <v>91</v>
      </c>
      <c r="N14" s="24"/>
      <c r="O14" s="19" t="s">
        <v>92</v>
      </c>
      <c r="P14" s="26"/>
      <c r="Q14" s="42" t="s">
        <v>491</v>
      </c>
      <c r="R14" s="50" t="s">
        <v>96</v>
      </c>
      <c r="S14" s="42" t="s">
        <v>470</v>
      </c>
      <c r="T14" s="46"/>
      <c r="U14" s="46"/>
      <c r="V14" s="46"/>
      <c r="W14" s="46"/>
      <c r="X14" s="46"/>
      <c r="Y14" s="46"/>
      <c r="Z14" s="46"/>
      <c r="AA14" s="46"/>
      <c r="AB14" s="46"/>
      <c r="AC14" s="46"/>
      <c r="AD14" s="46"/>
      <c r="AE14" s="46"/>
    </row>
    <row r="15">
      <c r="A15" s="57">
        <v>9.0</v>
      </c>
      <c r="B15" s="40" t="str">
        <f t="shared" si="2"/>
        <v>TK-010</v>
      </c>
      <c r="C15" s="19" t="s">
        <v>471</v>
      </c>
      <c r="D15" s="23"/>
      <c r="E15" s="42" t="s">
        <v>472</v>
      </c>
      <c r="F15" s="53" t="s">
        <v>473</v>
      </c>
      <c r="G15" s="19" t="s">
        <v>257</v>
      </c>
      <c r="H15" s="19" t="s">
        <v>255</v>
      </c>
      <c r="I15" s="40" t="str">
        <f t="array" ref="I15">IF(G15="","",IFERROR(INDEX('Người sử dụng'!$H$5:$H$140,MATCH(G15,'Người sử dụng'!$C$5:$C$140,0)),"Chưa có trong DS"))</f>
        <v>Đang làm</v>
      </c>
      <c r="J15" s="19" t="s">
        <v>441</v>
      </c>
      <c r="K15" s="19" t="s">
        <v>492</v>
      </c>
      <c r="L15" s="41" t="s">
        <v>493</v>
      </c>
      <c r="M15" s="19" t="s">
        <v>91</v>
      </c>
      <c r="N15" s="19" t="s">
        <v>487</v>
      </c>
      <c r="O15" s="19" t="s">
        <v>143</v>
      </c>
      <c r="P15" s="54">
        <v>46227.0</v>
      </c>
      <c r="Q15" s="42" t="s">
        <v>494</v>
      </c>
      <c r="R15" s="50" t="s">
        <v>96</v>
      </c>
      <c r="S15" s="42" t="s">
        <v>495</v>
      </c>
      <c r="T15" s="46"/>
      <c r="U15" s="46"/>
      <c r="V15" s="46"/>
      <c r="W15" s="46"/>
      <c r="X15" s="46"/>
      <c r="Y15" s="46"/>
      <c r="Z15" s="46"/>
      <c r="AA15" s="46"/>
      <c r="AB15" s="46"/>
      <c r="AC15" s="46"/>
      <c r="AD15" s="46"/>
      <c r="AE15" s="46"/>
    </row>
    <row r="16" ht="48.75" customHeight="1">
      <c r="A16" s="57">
        <v>10.0</v>
      </c>
      <c r="B16" s="40" t="str">
        <f t="shared" ref="B16:B205" si="3">IF(C16="","","TK-"&amp;TEXT(ROW()-5,"000"))</f>
        <v/>
      </c>
      <c r="C16" s="24"/>
      <c r="D16" s="23"/>
      <c r="E16" s="51"/>
      <c r="F16" s="51"/>
      <c r="G16" s="24"/>
      <c r="H16" s="24"/>
      <c r="I16" s="40" t="str">
        <f t="array" ref="I16">IF(G16="","",IFERROR(INDEX('Người sử dụng'!$H$5:$H$140,MATCH(G16,'Người sử dụng'!$C$5:$C$140,0)),"Chưa có trong DS"))</f>
        <v/>
      </c>
      <c r="J16" s="24"/>
      <c r="K16" s="24"/>
      <c r="L16" s="23"/>
      <c r="M16" s="24"/>
      <c r="N16" s="24"/>
      <c r="O16" s="24"/>
      <c r="P16" s="26"/>
      <c r="Q16" s="51"/>
      <c r="R16" s="46"/>
      <c r="S16" s="51"/>
      <c r="T16" s="46"/>
      <c r="U16" s="46"/>
      <c r="V16" s="46"/>
      <c r="W16" s="46"/>
      <c r="X16" s="46"/>
      <c r="Y16" s="46"/>
      <c r="Z16" s="46"/>
      <c r="AA16" s="46"/>
      <c r="AB16" s="46"/>
      <c r="AC16" s="46"/>
      <c r="AD16" s="46"/>
      <c r="AE16" s="46"/>
    </row>
    <row r="17">
      <c r="A17" s="57">
        <v>11.0</v>
      </c>
      <c r="B17" s="40" t="str">
        <f t="shared" si="3"/>
        <v>TK-012</v>
      </c>
      <c r="C17" s="19" t="s">
        <v>434</v>
      </c>
      <c r="D17" s="23"/>
      <c r="E17" s="42" t="s">
        <v>435</v>
      </c>
      <c r="F17" s="45" t="s">
        <v>436</v>
      </c>
      <c r="G17" s="19" t="s">
        <v>263</v>
      </c>
      <c r="H17" s="19" t="s">
        <v>262</v>
      </c>
      <c r="I17" s="40" t="str">
        <f t="array" ref="I17">IF(G17="","",IFERROR(INDEX('Người sử dụng'!$H$5:$H$140,MATCH(G17,'Người sử dụng'!$C$5:$C$140,0)),"Chưa có trong DS"))</f>
        <v>Đang làm</v>
      </c>
      <c r="J17" s="19" t="s">
        <v>441</v>
      </c>
      <c r="K17" s="19" t="s">
        <v>269</v>
      </c>
      <c r="L17" s="41" t="s">
        <v>268</v>
      </c>
      <c r="M17" s="19" t="s">
        <v>91</v>
      </c>
      <c r="N17" s="19" t="s">
        <v>368</v>
      </c>
      <c r="O17" s="19" t="s">
        <v>443</v>
      </c>
      <c r="P17" s="54">
        <v>46143.0</v>
      </c>
      <c r="Q17" s="42" t="s">
        <v>498</v>
      </c>
      <c r="R17" s="50" t="s">
        <v>96</v>
      </c>
      <c r="S17" s="42" t="s">
        <v>445</v>
      </c>
      <c r="T17" s="46"/>
      <c r="U17" s="46"/>
      <c r="V17" s="46"/>
      <c r="W17" s="46"/>
      <c r="X17" s="46"/>
      <c r="Y17" s="46"/>
      <c r="Z17" s="46"/>
      <c r="AA17" s="46"/>
      <c r="AB17" s="46"/>
      <c r="AC17" s="46"/>
      <c r="AD17" s="46"/>
      <c r="AE17" s="46"/>
    </row>
    <row r="18">
      <c r="A18" s="57">
        <v>12.0</v>
      </c>
      <c r="B18" s="40" t="str">
        <f t="shared" si="3"/>
        <v>TK-013</v>
      </c>
      <c r="C18" s="19" t="s">
        <v>471</v>
      </c>
      <c r="D18" s="23"/>
      <c r="E18" s="42" t="s">
        <v>472</v>
      </c>
      <c r="F18" s="45" t="s">
        <v>473</v>
      </c>
      <c r="G18" s="19" t="s">
        <v>263</v>
      </c>
      <c r="H18" s="19" t="s">
        <v>262</v>
      </c>
      <c r="I18" s="40" t="str">
        <f t="array" ref="I18">IF(G18="","",IFERROR(INDEX('Người sử dụng'!$H$5:$H$140,MATCH(G18,'Người sử dụng'!$C$5:$C$140,0)),"Chưa có trong DS"))</f>
        <v>Đang làm</v>
      </c>
      <c r="J18" s="19" t="s">
        <v>441</v>
      </c>
      <c r="K18" s="19" t="s">
        <v>500</v>
      </c>
      <c r="L18" s="23"/>
      <c r="M18" s="19" t="s">
        <v>91</v>
      </c>
      <c r="N18" s="19" t="s">
        <v>487</v>
      </c>
      <c r="O18" s="19" t="s">
        <v>143</v>
      </c>
      <c r="P18" s="54">
        <v>46143.0</v>
      </c>
      <c r="Q18" s="42" t="s">
        <v>494</v>
      </c>
      <c r="R18" s="50" t="s">
        <v>96</v>
      </c>
      <c r="S18" s="42" t="s">
        <v>501</v>
      </c>
      <c r="T18" s="46"/>
      <c r="U18" s="46"/>
      <c r="V18" s="46"/>
      <c r="W18" s="46"/>
      <c r="X18" s="46"/>
      <c r="Y18" s="46"/>
      <c r="Z18" s="46"/>
      <c r="AA18" s="46"/>
      <c r="AB18" s="46"/>
      <c r="AC18" s="46"/>
      <c r="AD18" s="46"/>
      <c r="AE18" s="46"/>
    </row>
    <row r="19" ht="19.5" customHeight="1">
      <c r="A19" s="57">
        <v>13.0</v>
      </c>
      <c r="B19" s="40" t="str">
        <f t="shared" si="3"/>
        <v>TK-014</v>
      </c>
      <c r="C19" s="19" t="s">
        <v>455</v>
      </c>
      <c r="D19" s="23"/>
      <c r="E19" s="42" t="s">
        <v>456</v>
      </c>
      <c r="F19" s="45" t="s">
        <v>489</v>
      </c>
      <c r="G19" s="19" t="s">
        <v>263</v>
      </c>
      <c r="H19" s="19" t="s">
        <v>262</v>
      </c>
      <c r="I19" s="40" t="str">
        <f t="array" ref="I19">IF(G19="","",IFERROR(INDEX('Người sử dụng'!$H$5:$H$140,MATCH(G19,'Người sử dụng'!$C$5:$C$140,0)),"Chưa có trong DS"))</f>
        <v>Đang làm</v>
      </c>
      <c r="J19" s="19" t="s">
        <v>89</v>
      </c>
      <c r="K19" s="19" t="s">
        <v>503</v>
      </c>
      <c r="L19" s="23"/>
      <c r="M19" s="19" t="s">
        <v>91</v>
      </c>
      <c r="N19" s="19" t="s">
        <v>504</v>
      </c>
      <c r="O19" s="19" t="s">
        <v>92</v>
      </c>
      <c r="P19" s="54">
        <v>46266.0</v>
      </c>
      <c r="Q19" s="42" t="s">
        <v>491</v>
      </c>
      <c r="R19" s="50" t="s">
        <v>96</v>
      </c>
      <c r="S19" s="42" t="s">
        <v>470</v>
      </c>
      <c r="T19" s="46"/>
      <c r="U19" s="46"/>
      <c r="V19" s="46"/>
      <c r="W19" s="46"/>
      <c r="X19" s="46"/>
      <c r="Y19" s="46"/>
      <c r="Z19" s="46"/>
      <c r="AA19" s="46"/>
      <c r="AB19" s="46"/>
      <c r="AC19" s="46"/>
      <c r="AD19" s="46"/>
      <c r="AE19" s="46"/>
    </row>
    <row r="20" ht="48.0" customHeight="1">
      <c r="A20" s="57">
        <v>14.0</v>
      </c>
      <c r="B20" s="40" t="str">
        <f t="shared" si="3"/>
        <v/>
      </c>
      <c r="C20" s="24"/>
      <c r="D20" s="23"/>
      <c r="E20" s="51"/>
      <c r="F20" s="51"/>
      <c r="G20" s="24"/>
      <c r="H20" s="24"/>
      <c r="I20" s="40" t="str">
        <f t="array" ref="I20">IF(G20="","",IFERROR(INDEX('Người sử dụng'!$H$5:$H$140,MATCH(G20,'Người sử dụng'!$C$5:$C$140,0)),"Chưa có trong DS"))</f>
        <v/>
      </c>
      <c r="J20" s="24"/>
      <c r="K20" s="24"/>
      <c r="L20" s="23"/>
      <c r="M20" s="24"/>
      <c r="N20" s="24"/>
      <c r="O20" s="24"/>
      <c r="P20" s="26"/>
      <c r="Q20" s="51"/>
      <c r="R20" s="46"/>
      <c r="S20" s="51"/>
      <c r="T20" s="46"/>
      <c r="U20" s="46"/>
      <c r="V20" s="46"/>
      <c r="W20" s="46"/>
      <c r="X20" s="46"/>
      <c r="Y20" s="46"/>
      <c r="Z20" s="46"/>
      <c r="AA20" s="46"/>
      <c r="AB20" s="46"/>
      <c r="AC20" s="46"/>
      <c r="AD20" s="46"/>
      <c r="AE20" s="46"/>
    </row>
    <row r="21" ht="15.75" customHeight="1">
      <c r="A21" s="57">
        <v>15.0</v>
      </c>
      <c r="B21" s="40" t="str">
        <f t="shared" si="3"/>
        <v>TK-016</v>
      </c>
      <c r="C21" s="19" t="s">
        <v>434</v>
      </c>
      <c r="D21" s="23"/>
      <c r="E21" s="42" t="s">
        <v>435</v>
      </c>
      <c r="F21" s="45" t="s">
        <v>436</v>
      </c>
      <c r="G21" s="19" t="s">
        <v>251</v>
      </c>
      <c r="H21" s="19" t="s">
        <v>250</v>
      </c>
      <c r="I21" s="40" t="str">
        <f t="array" ref="I21">IF(G21="","",IFERROR(INDEX('Người sử dụng'!$H$5:$H$140,MATCH(G21,'Người sử dụng'!$C$5:$C$140,0)),"Chưa có trong DS"))</f>
        <v>Đang làm</v>
      </c>
      <c r="J21" s="19" t="s">
        <v>441</v>
      </c>
      <c r="K21" s="19" t="s">
        <v>269</v>
      </c>
      <c r="L21" s="41" t="s">
        <v>508</v>
      </c>
      <c r="M21" s="19" t="s">
        <v>91</v>
      </c>
      <c r="N21" s="19" t="s">
        <v>368</v>
      </c>
      <c r="O21" s="19" t="s">
        <v>443</v>
      </c>
      <c r="P21" s="54">
        <v>46080.0</v>
      </c>
      <c r="Q21" s="42" t="s">
        <v>498</v>
      </c>
      <c r="R21" s="50" t="s">
        <v>96</v>
      </c>
      <c r="S21" s="42" t="s">
        <v>445</v>
      </c>
      <c r="T21" s="46"/>
      <c r="U21" s="46"/>
      <c r="V21" s="46"/>
      <c r="W21" s="46"/>
      <c r="X21" s="46"/>
      <c r="Y21" s="46"/>
      <c r="Z21" s="46"/>
      <c r="AA21" s="46"/>
      <c r="AB21" s="46"/>
      <c r="AC21" s="46"/>
      <c r="AD21" s="46"/>
      <c r="AE21" s="46"/>
    </row>
    <row r="22" ht="15.75" customHeight="1">
      <c r="A22" s="33">
        <f>IF(C27="","",ROW()-5)</f>
        <v>17</v>
      </c>
      <c r="B22" s="40" t="str">
        <f t="shared" si="3"/>
        <v>TK-017</v>
      </c>
      <c r="C22" s="19" t="s">
        <v>471</v>
      </c>
      <c r="D22" s="23"/>
      <c r="E22" s="42" t="s">
        <v>472</v>
      </c>
      <c r="F22" s="53" t="s">
        <v>473</v>
      </c>
      <c r="G22" s="19" t="s">
        <v>251</v>
      </c>
      <c r="H22" s="19" t="s">
        <v>250</v>
      </c>
      <c r="I22" s="40" t="str">
        <f t="array" ref="I22">IF(G22="","",IFERROR(INDEX('Người sử dụng'!$H$5:$H$140,MATCH(G22,'Người sử dụng'!$C$5:$C$140,0)),"Chưa có trong DS"))</f>
        <v>Đang làm</v>
      </c>
      <c r="J22" s="19" t="s">
        <v>441</v>
      </c>
      <c r="K22" s="19" t="s">
        <v>511</v>
      </c>
      <c r="L22" s="69" t="s">
        <v>512</v>
      </c>
      <c r="M22" s="19" t="s">
        <v>91</v>
      </c>
      <c r="N22" s="19" t="s">
        <v>487</v>
      </c>
      <c r="O22" s="19" t="s">
        <v>143</v>
      </c>
      <c r="P22" s="54">
        <v>46194.0</v>
      </c>
      <c r="Q22" s="42" t="s">
        <v>494</v>
      </c>
      <c r="R22" s="50" t="s">
        <v>96</v>
      </c>
      <c r="S22" s="42" t="s">
        <v>513</v>
      </c>
      <c r="T22" s="46"/>
      <c r="U22" s="46"/>
      <c r="V22" s="46"/>
      <c r="W22" s="46"/>
      <c r="X22" s="46"/>
      <c r="Y22" s="46"/>
      <c r="Z22" s="46"/>
      <c r="AA22" s="46"/>
      <c r="AB22" s="46"/>
      <c r="AC22" s="46"/>
      <c r="AD22" s="46"/>
      <c r="AE22" s="46"/>
    </row>
    <row r="23" ht="44.25" customHeight="1">
      <c r="A23" s="57">
        <v>17.0</v>
      </c>
      <c r="B23" s="40" t="str">
        <f t="shared" si="3"/>
        <v/>
      </c>
      <c r="C23" s="24"/>
      <c r="D23" s="23"/>
      <c r="E23" s="51"/>
      <c r="F23" s="51"/>
      <c r="G23" s="24"/>
      <c r="H23" s="24"/>
      <c r="I23" s="40" t="str">
        <f t="array" ref="I23">IF(G23="","",IFERROR(INDEX('Người sử dụng'!$H$5:$H$140,MATCH(G23,'Người sử dụng'!$C$5:$C$140,0)),"Chưa có trong DS"))</f>
        <v/>
      </c>
      <c r="J23" s="24"/>
      <c r="K23" s="24"/>
      <c r="L23" s="23"/>
      <c r="M23" s="24"/>
      <c r="N23" s="24"/>
      <c r="O23" s="24"/>
      <c r="P23" s="26"/>
      <c r="Q23" s="51"/>
      <c r="R23" s="46"/>
      <c r="S23" s="51"/>
      <c r="T23" s="46"/>
      <c r="U23" s="46"/>
      <c r="V23" s="46"/>
      <c r="W23" s="46"/>
      <c r="X23" s="46"/>
      <c r="Y23" s="46"/>
      <c r="Z23" s="46"/>
      <c r="AA23" s="46"/>
      <c r="AB23" s="46"/>
      <c r="AC23" s="46"/>
      <c r="AD23" s="46"/>
      <c r="AE23" s="46"/>
    </row>
    <row r="24">
      <c r="A24" s="57">
        <v>18.0</v>
      </c>
      <c r="B24" s="40" t="str">
        <f t="shared" si="3"/>
        <v>TK-019</v>
      </c>
      <c r="C24" s="19" t="s">
        <v>434</v>
      </c>
      <c r="D24" s="23"/>
      <c r="E24" s="42" t="s">
        <v>435</v>
      </c>
      <c r="F24" s="45" t="s">
        <v>436</v>
      </c>
      <c r="G24" s="19" t="s">
        <v>259</v>
      </c>
      <c r="H24" s="19" t="s">
        <v>258</v>
      </c>
      <c r="I24" s="40" t="str">
        <f t="array" ref="I24">IF(G24="","",IFERROR(INDEX('Người sử dụng'!$H$5:$H$140,MATCH(G24,'Người sử dụng'!$C$5:$C$140,0)),"Chưa có trong DS"))</f>
        <v>Đang làm</v>
      </c>
      <c r="J24" s="19" t="s">
        <v>441</v>
      </c>
      <c r="K24" s="19" t="s">
        <v>486</v>
      </c>
      <c r="L24" s="41" t="s">
        <v>181</v>
      </c>
      <c r="M24" s="19" t="s">
        <v>91</v>
      </c>
      <c r="N24" s="19" t="s">
        <v>487</v>
      </c>
      <c r="O24" s="19" t="s">
        <v>143</v>
      </c>
      <c r="P24" s="54">
        <v>46123.0</v>
      </c>
      <c r="Q24" s="42" t="s">
        <v>444</v>
      </c>
      <c r="R24" s="50" t="s">
        <v>96</v>
      </c>
      <c r="S24" s="42" t="s">
        <v>488</v>
      </c>
      <c r="T24" s="46"/>
      <c r="U24" s="46"/>
      <c r="V24" s="46"/>
      <c r="W24" s="46"/>
      <c r="X24" s="46"/>
      <c r="Y24" s="46"/>
      <c r="Z24" s="46"/>
      <c r="AA24" s="46"/>
      <c r="AB24" s="46"/>
      <c r="AC24" s="46"/>
      <c r="AD24" s="46"/>
      <c r="AE24" s="46"/>
    </row>
    <row r="25" ht="15.75" customHeight="1">
      <c r="A25" s="57">
        <v>19.0</v>
      </c>
      <c r="B25" s="40" t="str">
        <f t="shared" si="3"/>
        <v>TK-020</v>
      </c>
      <c r="C25" s="19" t="s">
        <v>471</v>
      </c>
      <c r="D25" s="23"/>
      <c r="E25" s="42" t="s">
        <v>472</v>
      </c>
      <c r="F25" s="45" t="s">
        <v>473</v>
      </c>
      <c r="G25" s="19" t="s">
        <v>259</v>
      </c>
      <c r="H25" s="19" t="s">
        <v>258</v>
      </c>
      <c r="I25" s="40" t="str">
        <f t="array" ref="I25">IF(G25="","",IFERROR(INDEX('Người sử dụng'!$H$5:$H$140,MATCH(G25,'Người sử dụng'!$C$5:$C$140,0)),"Chưa có trong DS"))</f>
        <v>Đang làm</v>
      </c>
      <c r="J25" s="19" t="s">
        <v>441</v>
      </c>
      <c r="K25" s="19" t="s">
        <v>517</v>
      </c>
      <c r="L25" s="23"/>
      <c r="M25" s="19" t="s">
        <v>91</v>
      </c>
      <c r="N25" s="19" t="s">
        <v>487</v>
      </c>
      <c r="O25" s="19" t="s">
        <v>143</v>
      </c>
      <c r="P25" s="54">
        <v>46224.0</v>
      </c>
      <c r="Q25" s="42" t="s">
        <v>494</v>
      </c>
      <c r="R25" s="50" t="s">
        <v>96</v>
      </c>
      <c r="S25" s="42" t="s">
        <v>519</v>
      </c>
      <c r="T25" s="46"/>
      <c r="U25" s="46"/>
      <c r="V25" s="46"/>
      <c r="W25" s="46"/>
      <c r="X25" s="46"/>
      <c r="Y25" s="46"/>
      <c r="Z25" s="46"/>
      <c r="AA25" s="46"/>
      <c r="AB25" s="46"/>
      <c r="AC25" s="46"/>
      <c r="AD25" s="46"/>
      <c r="AE25" s="46"/>
    </row>
    <row r="26" ht="15.75" customHeight="1">
      <c r="A26" s="57">
        <v>20.0</v>
      </c>
      <c r="B26" s="40" t="str">
        <f t="shared" si="3"/>
        <v/>
      </c>
      <c r="C26" s="24"/>
      <c r="D26" s="23"/>
      <c r="E26" s="51"/>
      <c r="F26" s="51"/>
      <c r="G26" s="24"/>
      <c r="H26" s="24"/>
      <c r="I26" s="40" t="str">
        <f t="array" ref="I26">IF(G26="","",IFERROR(INDEX('Người sử dụng'!$H$5:$H$140,MATCH(G26,'Người sử dụng'!$C$5:$C$140,0)),"Chưa có trong DS"))</f>
        <v/>
      </c>
      <c r="J26" s="24"/>
      <c r="K26" s="24"/>
      <c r="L26" s="23"/>
      <c r="M26" s="24"/>
      <c r="N26" s="24"/>
      <c r="O26" s="24"/>
      <c r="P26" s="26"/>
      <c r="Q26" s="51"/>
      <c r="R26" s="46"/>
      <c r="S26" s="51"/>
      <c r="T26" s="46"/>
      <c r="U26" s="46"/>
      <c r="V26" s="46"/>
      <c r="W26" s="46"/>
      <c r="X26" s="46"/>
      <c r="Y26" s="46"/>
      <c r="Z26" s="46"/>
      <c r="AA26" s="46"/>
      <c r="AB26" s="46"/>
      <c r="AC26" s="46"/>
      <c r="AD26" s="46"/>
      <c r="AE26" s="46"/>
    </row>
    <row r="27" ht="15.75" customHeight="1">
      <c r="A27" s="57">
        <v>21.0</v>
      </c>
      <c r="B27" s="40" t="str">
        <f t="shared" si="3"/>
        <v>TK-022</v>
      </c>
      <c r="C27" s="19" t="s">
        <v>434</v>
      </c>
      <c r="D27" s="23"/>
      <c r="E27" s="42" t="s">
        <v>435</v>
      </c>
      <c r="F27" s="45" t="s">
        <v>436</v>
      </c>
      <c r="G27" s="19" t="s">
        <v>267</v>
      </c>
      <c r="H27" s="19" t="s">
        <v>266</v>
      </c>
      <c r="I27" s="40" t="str">
        <f t="array" ref="I27">IF(G27="","",IFERROR(INDEX('Người sử dụng'!$H$5:$H$140,MATCH(G27,'Người sử dụng'!$C$5:$C$140,0)),"Chưa có trong DS"))</f>
        <v>Thử việc</v>
      </c>
      <c r="J27" s="19" t="s">
        <v>441</v>
      </c>
      <c r="K27" s="19" t="s">
        <v>269</v>
      </c>
      <c r="L27" s="41" t="s">
        <v>508</v>
      </c>
      <c r="M27" s="24"/>
      <c r="N27" s="19" t="s">
        <v>368</v>
      </c>
      <c r="O27" s="19" t="s">
        <v>443</v>
      </c>
      <c r="P27" s="54">
        <v>46300.0</v>
      </c>
      <c r="Q27" s="42" t="s">
        <v>498</v>
      </c>
      <c r="R27" s="50" t="s">
        <v>96</v>
      </c>
      <c r="S27" s="42" t="s">
        <v>445</v>
      </c>
      <c r="T27" s="46"/>
      <c r="U27" s="46"/>
      <c r="V27" s="46"/>
      <c r="W27" s="46"/>
      <c r="X27" s="46"/>
      <c r="Y27" s="46"/>
      <c r="Z27" s="46"/>
      <c r="AA27" s="46"/>
      <c r="AB27" s="46"/>
      <c r="AC27" s="46"/>
      <c r="AD27" s="46"/>
      <c r="AE27" s="46"/>
    </row>
    <row r="28" ht="15.75" customHeight="1">
      <c r="A28" s="57">
        <v>22.0</v>
      </c>
      <c r="B28" s="40" t="str">
        <f t="shared" si="3"/>
        <v>TK-023</v>
      </c>
      <c r="C28" s="19" t="s">
        <v>471</v>
      </c>
      <c r="D28" s="23"/>
      <c r="E28" s="42" t="s">
        <v>472</v>
      </c>
      <c r="F28" s="45" t="s">
        <v>473</v>
      </c>
      <c r="G28" s="19" t="s">
        <v>267</v>
      </c>
      <c r="H28" s="19" t="s">
        <v>266</v>
      </c>
      <c r="I28" s="40" t="str">
        <f t="array" ref="I28">IF(G28="","",IFERROR(INDEX('Người sử dụng'!$H$5:$H$140,MATCH(G28,'Người sử dụng'!$C$5:$C$140,0)),"Chưa có trong DS"))</f>
        <v>Thử việc</v>
      </c>
      <c r="J28" s="19" t="s">
        <v>441</v>
      </c>
      <c r="K28" s="19" t="s">
        <v>523</v>
      </c>
      <c r="L28" s="23"/>
      <c r="M28" s="24"/>
      <c r="N28" s="19" t="s">
        <v>487</v>
      </c>
      <c r="O28" s="19" t="s">
        <v>143</v>
      </c>
      <c r="P28" s="54">
        <v>46300.0</v>
      </c>
      <c r="Q28" s="42" t="s">
        <v>494</v>
      </c>
      <c r="R28" s="50" t="s">
        <v>96</v>
      </c>
      <c r="S28" s="42" t="s">
        <v>501</v>
      </c>
      <c r="T28" s="46"/>
      <c r="U28" s="46"/>
      <c r="V28" s="46"/>
      <c r="W28" s="46"/>
      <c r="X28" s="46"/>
      <c r="Y28" s="46"/>
      <c r="Z28" s="46"/>
      <c r="AA28" s="46"/>
      <c r="AB28" s="46"/>
      <c r="AC28" s="46"/>
      <c r="AD28" s="46"/>
      <c r="AE28" s="46"/>
    </row>
    <row r="29" ht="15.75" customHeight="1">
      <c r="A29" s="57">
        <v>23.0</v>
      </c>
      <c r="B29" s="40" t="str">
        <f t="shared" si="3"/>
        <v/>
      </c>
      <c r="C29" s="24"/>
      <c r="D29" s="23"/>
      <c r="E29" s="51"/>
      <c r="F29" s="51"/>
      <c r="G29" s="19"/>
      <c r="H29" s="24"/>
      <c r="I29" s="40" t="str">
        <f t="array" ref="I29">IF(G29="","",IFERROR(INDEX('Người sử dụng'!$H$5:$H$140,MATCH(G29,'Người sử dụng'!$C$5:$C$140,0)),"Chưa có trong DS"))</f>
        <v/>
      </c>
      <c r="J29" s="24"/>
      <c r="K29" s="24"/>
      <c r="L29" s="23"/>
      <c r="M29" s="24"/>
      <c r="N29" s="24"/>
      <c r="O29" s="24"/>
      <c r="P29" s="26"/>
      <c r="Q29" s="51"/>
      <c r="R29" s="46"/>
      <c r="S29" s="51"/>
      <c r="T29" s="46"/>
      <c r="U29" s="46"/>
      <c r="V29" s="46"/>
      <c r="W29" s="46"/>
      <c r="X29" s="46"/>
      <c r="Y29" s="46"/>
      <c r="Z29" s="46"/>
      <c r="AA29" s="46"/>
      <c r="AB29" s="46"/>
      <c r="AC29" s="46"/>
      <c r="AD29" s="46"/>
      <c r="AE29" s="46"/>
    </row>
    <row r="30" ht="15.75" customHeight="1">
      <c r="A30" s="33" t="str">
        <f t="shared" ref="A30:A205" si="4">IF(C30="","",ROW()-5)</f>
        <v/>
      </c>
      <c r="B30" s="40" t="str">
        <f t="shared" si="3"/>
        <v/>
      </c>
      <c r="C30" s="24"/>
      <c r="D30" s="23"/>
      <c r="E30" s="51"/>
      <c r="F30" s="51"/>
      <c r="G30" s="24"/>
      <c r="H30" s="24"/>
      <c r="I30" s="40" t="str">
        <f t="array" ref="I30">IF(G30="","",IFERROR(INDEX('Người sử dụng'!$H$5:$H$140,MATCH(G30,'Người sử dụng'!$C$5:$C$140,0)),"Chưa có trong DS"))</f>
        <v/>
      </c>
      <c r="J30" s="24"/>
      <c r="K30" s="24"/>
      <c r="L30" s="23"/>
      <c r="M30" s="24"/>
      <c r="N30" s="24"/>
      <c r="O30" s="24"/>
      <c r="P30" s="26"/>
      <c r="Q30" s="51"/>
      <c r="R30" s="46"/>
      <c r="S30" s="51"/>
      <c r="T30" s="46"/>
      <c r="U30" s="46"/>
      <c r="V30" s="46"/>
      <c r="W30" s="46"/>
      <c r="X30" s="46"/>
      <c r="Y30" s="46"/>
      <c r="Z30" s="46"/>
      <c r="AA30" s="46"/>
      <c r="AB30" s="46"/>
      <c r="AC30" s="46"/>
      <c r="AD30" s="46"/>
      <c r="AE30" s="46"/>
    </row>
    <row r="31" ht="15.75" customHeight="1">
      <c r="A31" s="33" t="str">
        <f t="shared" si="4"/>
        <v/>
      </c>
      <c r="B31" s="40" t="str">
        <f t="shared" si="3"/>
        <v/>
      </c>
      <c r="C31" s="24"/>
      <c r="D31" s="23"/>
      <c r="E31" s="51"/>
      <c r="F31" s="51"/>
      <c r="G31" s="24"/>
      <c r="H31" s="24"/>
      <c r="I31" s="40" t="str">
        <f t="array" ref="I31">IF(G31="","",IFERROR(INDEX('Người sử dụng'!$H$5:$H$140,MATCH(G31,'Người sử dụng'!$C$5:$C$140,0)),"Chưa có trong DS"))</f>
        <v/>
      </c>
      <c r="J31" s="24"/>
      <c r="K31" s="24"/>
      <c r="L31" s="23"/>
      <c r="M31" s="24"/>
      <c r="N31" s="24"/>
      <c r="O31" s="24"/>
      <c r="P31" s="26"/>
      <c r="Q31" s="51"/>
      <c r="R31" s="46"/>
      <c r="S31" s="51"/>
      <c r="T31" s="46"/>
      <c r="U31" s="46"/>
      <c r="V31" s="46"/>
      <c r="W31" s="46"/>
      <c r="X31" s="46"/>
      <c r="Y31" s="46"/>
      <c r="Z31" s="46"/>
      <c r="AA31" s="46"/>
      <c r="AB31" s="46"/>
      <c r="AC31" s="46"/>
      <c r="AD31" s="46"/>
      <c r="AE31" s="46"/>
    </row>
    <row r="32" ht="15.75" customHeight="1">
      <c r="A32" s="33" t="str">
        <f t="shared" si="4"/>
        <v/>
      </c>
      <c r="B32" s="40" t="str">
        <f t="shared" si="3"/>
        <v/>
      </c>
      <c r="C32" s="24"/>
      <c r="D32" s="23"/>
      <c r="E32" s="51"/>
      <c r="F32" s="51"/>
      <c r="G32" s="24"/>
      <c r="H32" s="24"/>
      <c r="I32" s="40" t="str">
        <f t="array" ref="I32">IF(G32="","",IFERROR(INDEX('Người sử dụng'!$H$5:$H$140,MATCH(G32,'Người sử dụng'!$C$5:$C$140,0)),"Chưa có trong DS"))</f>
        <v/>
      </c>
      <c r="J32" s="24"/>
      <c r="K32" s="24"/>
      <c r="L32" s="23"/>
      <c r="M32" s="24"/>
      <c r="N32" s="24"/>
      <c r="O32" s="24"/>
      <c r="P32" s="26"/>
      <c r="Q32" s="51"/>
      <c r="R32" s="46"/>
      <c r="S32" s="51"/>
      <c r="T32" s="46"/>
      <c r="U32" s="46"/>
      <c r="V32" s="46"/>
      <c r="W32" s="46"/>
      <c r="X32" s="46"/>
      <c r="Y32" s="46"/>
      <c r="Z32" s="46"/>
      <c r="AA32" s="46"/>
      <c r="AB32" s="46"/>
      <c r="AC32" s="46"/>
      <c r="AD32" s="46"/>
      <c r="AE32" s="46"/>
    </row>
    <row r="33" ht="15.75" customHeight="1">
      <c r="A33" s="33" t="str">
        <f t="shared" si="4"/>
        <v/>
      </c>
      <c r="B33" s="40" t="str">
        <f t="shared" si="3"/>
        <v/>
      </c>
      <c r="C33" s="24"/>
      <c r="D33" s="23"/>
      <c r="E33" s="51"/>
      <c r="F33" s="51"/>
      <c r="G33" s="24"/>
      <c r="H33" s="24"/>
      <c r="I33" s="40" t="str">
        <f t="array" ref="I33">IF(G33="","",IFERROR(INDEX('Người sử dụng'!$H$5:$H$140,MATCH(G33,'Người sử dụng'!$C$5:$C$140,0)),"Chưa có trong DS"))</f>
        <v/>
      </c>
      <c r="J33" s="24"/>
      <c r="K33" s="24"/>
      <c r="L33" s="23"/>
      <c r="M33" s="24"/>
      <c r="N33" s="24"/>
      <c r="O33" s="24"/>
      <c r="P33" s="26"/>
      <c r="Q33" s="51"/>
      <c r="R33" s="46"/>
      <c r="S33" s="51"/>
      <c r="T33" s="46"/>
      <c r="U33" s="46"/>
      <c r="V33" s="46"/>
      <c r="W33" s="46"/>
      <c r="X33" s="46"/>
      <c r="Y33" s="46"/>
      <c r="Z33" s="46"/>
      <c r="AA33" s="46"/>
      <c r="AB33" s="46"/>
      <c r="AC33" s="46"/>
      <c r="AD33" s="46"/>
      <c r="AE33" s="46"/>
    </row>
    <row r="34" ht="15.75" customHeight="1">
      <c r="A34" s="33" t="str">
        <f t="shared" si="4"/>
        <v/>
      </c>
      <c r="B34" s="40" t="str">
        <f t="shared" si="3"/>
        <v/>
      </c>
      <c r="C34" s="24"/>
      <c r="D34" s="23"/>
      <c r="E34" s="51"/>
      <c r="F34" s="51"/>
      <c r="G34" s="24"/>
      <c r="H34" s="24"/>
      <c r="I34" s="40" t="str">
        <f t="array" ref="I34">IF(G34="","",IFERROR(INDEX('Người sử dụng'!$H$5:$H$140,MATCH(G34,'Người sử dụng'!$C$5:$C$140,0)),"Chưa có trong DS"))</f>
        <v/>
      </c>
      <c r="J34" s="24"/>
      <c r="K34" s="24"/>
      <c r="L34" s="23"/>
      <c r="M34" s="24"/>
      <c r="N34" s="24"/>
      <c r="O34" s="24"/>
      <c r="P34" s="26"/>
      <c r="Q34" s="51"/>
      <c r="R34" s="46"/>
      <c r="S34" s="51"/>
      <c r="T34" s="46"/>
      <c r="U34" s="46"/>
      <c r="V34" s="46"/>
      <c r="W34" s="46"/>
      <c r="X34" s="46"/>
      <c r="Y34" s="46"/>
      <c r="Z34" s="46"/>
      <c r="AA34" s="46"/>
      <c r="AB34" s="46"/>
      <c r="AC34" s="46"/>
      <c r="AD34" s="46"/>
      <c r="AE34" s="46"/>
    </row>
    <row r="35" ht="15.75" customHeight="1">
      <c r="A35" s="33" t="str">
        <f t="shared" si="4"/>
        <v/>
      </c>
      <c r="B35" s="40" t="str">
        <f t="shared" si="3"/>
        <v/>
      </c>
      <c r="C35" s="24"/>
      <c r="D35" s="23"/>
      <c r="E35" s="51"/>
      <c r="F35" s="51"/>
      <c r="G35" s="24"/>
      <c r="H35" s="24"/>
      <c r="I35" s="40" t="str">
        <f t="array" ref="I35">IF(G35="","",IFERROR(INDEX('Người sử dụng'!$H$5:$H$140,MATCH(G35,'Người sử dụng'!$C$5:$C$140,0)),"Chưa có trong DS"))</f>
        <v/>
      </c>
      <c r="J35" s="24"/>
      <c r="K35" s="24"/>
      <c r="L35" s="23"/>
      <c r="M35" s="24"/>
      <c r="N35" s="24"/>
      <c r="O35" s="24"/>
      <c r="P35" s="26"/>
      <c r="Q35" s="51"/>
      <c r="R35" s="46"/>
      <c r="S35" s="51"/>
      <c r="T35" s="46"/>
      <c r="U35" s="46"/>
      <c r="V35" s="46"/>
      <c r="W35" s="46"/>
      <c r="X35" s="46"/>
      <c r="Y35" s="46"/>
      <c r="Z35" s="46"/>
      <c r="AA35" s="46"/>
      <c r="AB35" s="46"/>
      <c r="AC35" s="46"/>
      <c r="AD35" s="46"/>
      <c r="AE35" s="46"/>
    </row>
    <row r="36" ht="15.75" customHeight="1">
      <c r="A36" s="33" t="str">
        <f t="shared" si="4"/>
        <v/>
      </c>
      <c r="B36" s="40" t="str">
        <f t="shared" si="3"/>
        <v/>
      </c>
      <c r="C36" s="24"/>
      <c r="D36" s="23"/>
      <c r="E36" s="51"/>
      <c r="F36" s="51"/>
      <c r="G36" s="24"/>
      <c r="H36" s="24"/>
      <c r="I36" s="40" t="str">
        <f t="array" ref="I36">IF(G36="","",IFERROR(INDEX('Người sử dụng'!$H$5:$H$140,MATCH(G36,'Người sử dụng'!$C$5:$C$140,0)),"Chưa có trong DS"))</f>
        <v/>
      </c>
      <c r="J36" s="24"/>
      <c r="K36" s="24"/>
      <c r="L36" s="23"/>
      <c r="M36" s="24"/>
      <c r="N36" s="24"/>
      <c r="O36" s="24"/>
      <c r="P36" s="26"/>
      <c r="Q36" s="51"/>
      <c r="R36" s="46"/>
      <c r="S36" s="51"/>
      <c r="T36" s="46"/>
      <c r="U36" s="46"/>
      <c r="V36" s="46"/>
      <c r="W36" s="46"/>
      <c r="X36" s="46"/>
      <c r="Y36" s="46"/>
      <c r="Z36" s="46"/>
      <c r="AA36" s="46"/>
      <c r="AB36" s="46"/>
      <c r="AC36" s="46"/>
      <c r="AD36" s="46"/>
      <c r="AE36" s="46"/>
    </row>
    <row r="37" ht="15.75" customHeight="1">
      <c r="A37" s="33" t="str">
        <f t="shared" si="4"/>
        <v/>
      </c>
      <c r="B37" s="40" t="str">
        <f t="shared" si="3"/>
        <v/>
      </c>
      <c r="C37" s="24"/>
      <c r="D37" s="23"/>
      <c r="E37" s="51"/>
      <c r="F37" s="51"/>
      <c r="G37" s="24"/>
      <c r="H37" s="24"/>
      <c r="I37" s="40" t="str">
        <f t="array" ref="I37">IF(G37="","",IFERROR(INDEX('Người sử dụng'!$H$5:$H$140,MATCH(G37,'Người sử dụng'!$C$5:$C$140,0)),"Chưa có trong DS"))</f>
        <v/>
      </c>
      <c r="J37" s="24"/>
      <c r="K37" s="24"/>
      <c r="L37" s="23"/>
      <c r="M37" s="24"/>
      <c r="N37" s="24"/>
      <c r="O37" s="24"/>
      <c r="P37" s="26"/>
      <c r="Q37" s="51"/>
      <c r="R37" s="46"/>
      <c r="S37" s="51"/>
      <c r="T37" s="46"/>
      <c r="U37" s="46"/>
      <c r="V37" s="46"/>
      <c r="W37" s="46"/>
      <c r="X37" s="46"/>
      <c r="Y37" s="46"/>
      <c r="Z37" s="46"/>
      <c r="AA37" s="46"/>
      <c r="AB37" s="46"/>
      <c r="AC37" s="46"/>
      <c r="AD37" s="46"/>
      <c r="AE37" s="46"/>
    </row>
    <row r="38" ht="15.75" customHeight="1">
      <c r="A38" s="33" t="str">
        <f t="shared" si="4"/>
        <v/>
      </c>
      <c r="B38" s="40" t="str">
        <f t="shared" si="3"/>
        <v/>
      </c>
      <c r="C38" s="24"/>
      <c r="D38" s="23"/>
      <c r="E38" s="51"/>
      <c r="F38" s="51"/>
      <c r="G38" s="24"/>
      <c r="H38" s="24"/>
      <c r="I38" s="40" t="str">
        <f t="array" ref="I38">IF(G38="","",IFERROR(INDEX('Người sử dụng'!$H$5:$H$140,MATCH(G38,'Người sử dụng'!$C$5:$C$140,0)),"Chưa có trong DS"))</f>
        <v/>
      </c>
      <c r="J38" s="24"/>
      <c r="K38" s="24"/>
      <c r="L38" s="23"/>
      <c r="M38" s="24"/>
      <c r="N38" s="24"/>
      <c r="O38" s="24"/>
      <c r="P38" s="26"/>
      <c r="Q38" s="51"/>
      <c r="R38" s="46"/>
      <c r="S38" s="51"/>
      <c r="T38" s="46"/>
      <c r="U38" s="46"/>
      <c r="V38" s="46"/>
      <c r="W38" s="46"/>
      <c r="X38" s="46"/>
      <c r="Y38" s="46"/>
      <c r="Z38" s="46"/>
      <c r="AA38" s="46"/>
      <c r="AB38" s="46"/>
      <c r="AC38" s="46"/>
      <c r="AD38" s="46"/>
      <c r="AE38" s="46"/>
    </row>
    <row r="39" ht="15.75" customHeight="1">
      <c r="A39" s="33" t="str">
        <f t="shared" si="4"/>
        <v/>
      </c>
      <c r="B39" s="40" t="str">
        <f t="shared" si="3"/>
        <v/>
      </c>
      <c r="C39" s="24"/>
      <c r="D39" s="23"/>
      <c r="E39" s="51"/>
      <c r="F39" s="51"/>
      <c r="G39" s="24"/>
      <c r="H39" s="24"/>
      <c r="I39" s="40" t="str">
        <f t="array" ref="I39">IF(G39="","",IFERROR(INDEX('Người sử dụng'!$H$5:$H$140,MATCH(G39,'Người sử dụng'!$C$5:$C$140,0)),"Chưa có trong DS"))</f>
        <v/>
      </c>
      <c r="J39" s="24"/>
      <c r="K39" s="24"/>
      <c r="L39" s="23"/>
      <c r="M39" s="24"/>
      <c r="N39" s="24"/>
      <c r="O39" s="24"/>
      <c r="P39" s="26"/>
      <c r="Q39" s="51"/>
      <c r="R39" s="46"/>
      <c r="S39" s="51"/>
      <c r="T39" s="46"/>
      <c r="U39" s="46"/>
      <c r="V39" s="46"/>
      <c r="W39" s="46"/>
      <c r="X39" s="46"/>
      <c r="Y39" s="46"/>
      <c r="Z39" s="46"/>
      <c r="AA39" s="46"/>
      <c r="AB39" s="46"/>
      <c r="AC39" s="46"/>
      <c r="AD39" s="46"/>
      <c r="AE39" s="46"/>
    </row>
    <row r="40" ht="15.75" customHeight="1">
      <c r="A40" s="33" t="str">
        <f t="shared" si="4"/>
        <v/>
      </c>
      <c r="B40" s="40" t="str">
        <f t="shared" si="3"/>
        <v/>
      </c>
      <c r="C40" s="24"/>
      <c r="D40" s="23"/>
      <c r="E40" s="51"/>
      <c r="F40" s="51"/>
      <c r="G40" s="24"/>
      <c r="H40" s="24"/>
      <c r="I40" s="40" t="str">
        <f t="array" ref="I40">IF(G40="","",IFERROR(INDEX('Người sử dụng'!$H$5:$H$140,MATCH(G40,'Người sử dụng'!$C$5:$C$140,0)),"Chưa có trong DS"))</f>
        <v/>
      </c>
      <c r="J40" s="24"/>
      <c r="K40" s="24"/>
      <c r="L40" s="23"/>
      <c r="M40" s="24"/>
      <c r="N40" s="24"/>
      <c r="O40" s="24"/>
      <c r="P40" s="26"/>
      <c r="Q40" s="51"/>
      <c r="R40" s="46"/>
      <c r="S40" s="51"/>
      <c r="T40" s="46"/>
      <c r="U40" s="46"/>
      <c r="V40" s="46"/>
      <c r="W40" s="46"/>
      <c r="X40" s="46"/>
      <c r="Y40" s="46"/>
      <c r="Z40" s="46"/>
      <c r="AA40" s="46"/>
      <c r="AB40" s="46"/>
      <c r="AC40" s="46"/>
      <c r="AD40" s="46"/>
      <c r="AE40" s="46"/>
    </row>
    <row r="41" ht="15.75" customHeight="1">
      <c r="A41" s="33" t="str">
        <f t="shared" si="4"/>
        <v/>
      </c>
      <c r="B41" s="40" t="str">
        <f t="shared" si="3"/>
        <v/>
      </c>
      <c r="C41" s="24"/>
      <c r="D41" s="23"/>
      <c r="E41" s="51"/>
      <c r="F41" s="51"/>
      <c r="G41" s="24"/>
      <c r="H41" s="24"/>
      <c r="I41" s="40" t="str">
        <f t="array" ref="I41">IF(G41="","",IFERROR(INDEX('Người sử dụng'!$H$5:$H$140,MATCH(G41,'Người sử dụng'!$C$5:$C$140,0)),"Chưa có trong DS"))</f>
        <v/>
      </c>
      <c r="J41" s="24"/>
      <c r="K41" s="24"/>
      <c r="L41" s="23"/>
      <c r="M41" s="24"/>
      <c r="N41" s="24"/>
      <c r="O41" s="24"/>
      <c r="P41" s="26"/>
      <c r="Q41" s="51"/>
      <c r="R41" s="46"/>
      <c r="S41" s="51"/>
      <c r="T41" s="46"/>
      <c r="U41" s="46"/>
      <c r="V41" s="46"/>
      <c r="W41" s="46"/>
      <c r="X41" s="46"/>
      <c r="Y41" s="46"/>
      <c r="Z41" s="46"/>
      <c r="AA41" s="46"/>
      <c r="AB41" s="46"/>
      <c r="AC41" s="46"/>
      <c r="AD41" s="46"/>
      <c r="AE41" s="46"/>
    </row>
    <row r="42" ht="15.75" customHeight="1">
      <c r="A42" s="33" t="str">
        <f t="shared" si="4"/>
        <v/>
      </c>
      <c r="B42" s="40" t="str">
        <f t="shared" si="3"/>
        <v/>
      </c>
      <c r="C42" s="24"/>
      <c r="D42" s="23"/>
      <c r="E42" s="51"/>
      <c r="F42" s="51"/>
      <c r="G42" s="24"/>
      <c r="H42" s="24"/>
      <c r="I42" s="40" t="str">
        <f t="array" ref="I42">IF(G42="","",IFERROR(INDEX('Người sử dụng'!$H$5:$H$140,MATCH(G42,'Người sử dụng'!$C$5:$C$140,0)),"Chưa có trong DS"))</f>
        <v/>
      </c>
      <c r="J42" s="24"/>
      <c r="K42" s="24"/>
      <c r="L42" s="23"/>
      <c r="M42" s="24"/>
      <c r="N42" s="24"/>
      <c r="O42" s="24"/>
      <c r="P42" s="26"/>
      <c r="Q42" s="51"/>
      <c r="R42" s="46"/>
      <c r="S42" s="51"/>
      <c r="T42" s="46"/>
      <c r="U42" s="46"/>
      <c r="V42" s="46"/>
      <c r="W42" s="46"/>
      <c r="X42" s="46"/>
      <c r="Y42" s="46"/>
      <c r="Z42" s="46"/>
      <c r="AA42" s="46"/>
      <c r="AB42" s="46"/>
      <c r="AC42" s="46"/>
      <c r="AD42" s="46"/>
      <c r="AE42" s="46"/>
    </row>
    <row r="43" ht="15.75" customHeight="1">
      <c r="A43" s="33" t="str">
        <f t="shared" si="4"/>
        <v/>
      </c>
      <c r="B43" s="40" t="str">
        <f t="shared" si="3"/>
        <v/>
      </c>
      <c r="C43" s="24"/>
      <c r="D43" s="23"/>
      <c r="E43" s="51"/>
      <c r="F43" s="51"/>
      <c r="G43" s="24"/>
      <c r="H43" s="24"/>
      <c r="I43" s="40" t="str">
        <f t="array" ref="I43">IF(G43="","",IFERROR(INDEX('Người sử dụng'!$H$5:$H$140,MATCH(G43,'Người sử dụng'!$C$5:$C$140,0)),"Chưa có trong DS"))</f>
        <v/>
      </c>
      <c r="J43" s="24"/>
      <c r="K43" s="24"/>
      <c r="L43" s="23"/>
      <c r="M43" s="24"/>
      <c r="N43" s="24"/>
      <c r="O43" s="24"/>
      <c r="P43" s="26"/>
      <c r="Q43" s="51"/>
      <c r="R43" s="46"/>
      <c r="S43" s="51"/>
      <c r="T43" s="46"/>
      <c r="U43" s="46"/>
      <c r="V43" s="46"/>
      <c r="W43" s="46"/>
      <c r="X43" s="46"/>
      <c r="Y43" s="46"/>
      <c r="Z43" s="46"/>
      <c r="AA43" s="46"/>
      <c r="AB43" s="46"/>
      <c r="AC43" s="46"/>
      <c r="AD43" s="46"/>
      <c r="AE43" s="46"/>
    </row>
    <row r="44" ht="15.75" customHeight="1">
      <c r="A44" s="33" t="str">
        <f t="shared" si="4"/>
        <v/>
      </c>
      <c r="B44" s="40" t="str">
        <f t="shared" si="3"/>
        <v/>
      </c>
      <c r="C44" s="24"/>
      <c r="D44" s="23"/>
      <c r="E44" s="51"/>
      <c r="F44" s="51"/>
      <c r="G44" s="24"/>
      <c r="H44" s="24"/>
      <c r="I44" s="40" t="str">
        <f t="array" ref="I44">IF(G44="","",IFERROR(INDEX('Người sử dụng'!$H$5:$H$140,MATCH(G44,'Người sử dụng'!$C$5:$C$140,0)),"Chưa có trong DS"))</f>
        <v/>
      </c>
      <c r="J44" s="24"/>
      <c r="K44" s="24"/>
      <c r="L44" s="23"/>
      <c r="M44" s="24"/>
      <c r="N44" s="24"/>
      <c r="O44" s="24"/>
      <c r="P44" s="26"/>
      <c r="Q44" s="51"/>
      <c r="R44" s="46"/>
      <c r="S44" s="51"/>
      <c r="T44" s="46"/>
      <c r="U44" s="46"/>
      <c r="V44" s="46"/>
      <c r="W44" s="46"/>
      <c r="X44" s="46"/>
      <c r="Y44" s="46"/>
      <c r="Z44" s="46"/>
      <c r="AA44" s="46"/>
      <c r="AB44" s="46"/>
      <c r="AC44" s="46"/>
      <c r="AD44" s="46"/>
      <c r="AE44" s="46"/>
    </row>
    <row r="45" ht="15.75" customHeight="1">
      <c r="A45" s="33" t="str">
        <f t="shared" si="4"/>
        <v/>
      </c>
      <c r="B45" s="40" t="str">
        <f t="shared" si="3"/>
        <v/>
      </c>
      <c r="C45" s="24"/>
      <c r="D45" s="23"/>
      <c r="E45" s="51"/>
      <c r="F45" s="51"/>
      <c r="G45" s="24"/>
      <c r="H45" s="24"/>
      <c r="I45" s="40" t="str">
        <f t="array" ref="I45">IF(G45="","",IFERROR(INDEX('Người sử dụng'!$H$5:$H$140,MATCH(G45,'Người sử dụng'!$C$5:$C$140,0)),"Chưa có trong DS"))</f>
        <v/>
      </c>
      <c r="J45" s="24"/>
      <c r="K45" s="24"/>
      <c r="L45" s="23"/>
      <c r="M45" s="24"/>
      <c r="N45" s="24"/>
      <c r="O45" s="24"/>
      <c r="P45" s="26"/>
      <c r="Q45" s="51"/>
      <c r="R45" s="46"/>
      <c r="S45" s="51"/>
      <c r="T45" s="46"/>
      <c r="U45" s="46"/>
      <c r="V45" s="46"/>
      <c r="W45" s="46"/>
      <c r="X45" s="46"/>
      <c r="Y45" s="46"/>
      <c r="Z45" s="46"/>
      <c r="AA45" s="46"/>
      <c r="AB45" s="46"/>
      <c r="AC45" s="46"/>
      <c r="AD45" s="46"/>
      <c r="AE45" s="46"/>
    </row>
    <row r="46" ht="15.75" customHeight="1">
      <c r="A46" s="33" t="str">
        <f t="shared" si="4"/>
        <v/>
      </c>
      <c r="B46" s="40" t="str">
        <f t="shared" si="3"/>
        <v/>
      </c>
      <c r="C46" s="24"/>
      <c r="D46" s="23"/>
      <c r="E46" s="51"/>
      <c r="F46" s="51"/>
      <c r="G46" s="24"/>
      <c r="H46" s="24"/>
      <c r="I46" s="40" t="str">
        <f t="array" ref="I46">IF(G46="","",IFERROR(INDEX('Người sử dụng'!$H$5:$H$140,MATCH(G46,'Người sử dụng'!$C$5:$C$140,0)),"Chưa có trong DS"))</f>
        <v/>
      </c>
      <c r="J46" s="24"/>
      <c r="K46" s="24"/>
      <c r="L46" s="23"/>
      <c r="M46" s="24"/>
      <c r="N46" s="24"/>
      <c r="O46" s="24"/>
      <c r="P46" s="26"/>
      <c r="Q46" s="51"/>
      <c r="R46" s="46"/>
      <c r="S46" s="51"/>
      <c r="T46" s="46"/>
      <c r="U46" s="46"/>
      <c r="V46" s="46"/>
      <c r="W46" s="46"/>
      <c r="X46" s="46"/>
      <c r="Y46" s="46"/>
      <c r="Z46" s="46"/>
      <c r="AA46" s="46"/>
      <c r="AB46" s="46"/>
      <c r="AC46" s="46"/>
      <c r="AD46" s="46"/>
      <c r="AE46" s="46"/>
    </row>
    <row r="47" ht="15.75" customHeight="1">
      <c r="A47" s="33" t="str">
        <f t="shared" si="4"/>
        <v/>
      </c>
      <c r="B47" s="40" t="str">
        <f t="shared" si="3"/>
        <v/>
      </c>
      <c r="C47" s="24"/>
      <c r="D47" s="23"/>
      <c r="E47" s="51"/>
      <c r="F47" s="51"/>
      <c r="G47" s="24"/>
      <c r="H47" s="24"/>
      <c r="I47" s="40" t="str">
        <f t="array" ref="I47">IF(G47="","",IFERROR(INDEX('Người sử dụng'!$H$5:$H$140,MATCH(G47,'Người sử dụng'!$C$5:$C$140,0)),"Chưa có trong DS"))</f>
        <v/>
      </c>
      <c r="J47" s="24"/>
      <c r="K47" s="24"/>
      <c r="L47" s="23"/>
      <c r="M47" s="24"/>
      <c r="N47" s="24"/>
      <c r="O47" s="24"/>
      <c r="P47" s="26"/>
      <c r="Q47" s="51"/>
      <c r="R47" s="46"/>
      <c r="S47" s="51"/>
      <c r="T47" s="46"/>
      <c r="U47" s="46"/>
      <c r="V47" s="46"/>
      <c r="W47" s="46"/>
      <c r="X47" s="46"/>
      <c r="Y47" s="46"/>
      <c r="Z47" s="46"/>
      <c r="AA47" s="46"/>
      <c r="AB47" s="46"/>
      <c r="AC47" s="46"/>
      <c r="AD47" s="46"/>
      <c r="AE47" s="46"/>
    </row>
    <row r="48" ht="15.75" customHeight="1">
      <c r="A48" s="33" t="str">
        <f t="shared" si="4"/>
        <v/>
      </c>
      <c r="B48" s="40" t="str">
        <f t="shared" si="3"/>
        <v/>
      </c>
      <c r="C48" s="24"/>
      <c r="D48" s="23"/>
      <c r="E48" s="51"/>
      <c r="F48" s="51"/>
      <c r="G48" s="24"/>
      <c r="H48" s="24"/>
      <c r="I48" s="40" t="str">
        <f t="array" ref="I48">IF(G48="","",IFERROR(INDEX('Người sử dụng'!$H$5:$H$140,MATCH(G48,'Người sử dụng'!$C$5:$C$140,0)),"Chưa có trong DS"))</f>
        <v/>
      </c>
      <c r="J48" s="24"/>
      <c r="K48" s="24"/>
      <c r="L48" s="23"/>
      <c r="M48" s="24"/>
      <c r="N48" s="24"/>
      <c r="O48" s="24"/>
      <c r="P48" s="26"/>
      <c r="Q48" s="51"/>
      <c r="R48" s="46"/>
      <c r="S48" s="51"/>
      <c r="T48" s="46"/>
      <c r="U48" s="46"/>
      <c r="V48" s="46"/>
      <c r="W48" s="46"/>
      <c r="X48" s="46"/>
      <c r="Y48" s="46"/>
      <c r="Z48" s="46"/>
      <c r="AA48" s="46"/>
      <c r="AB48" s="46"/>
      <c r="AC48" s="46"/>
      <c r="AD48" s="46"/>
      <c r="AE48" s="46"/>
    </row>
    <row r="49" ht="15.75" customHeight="1">
      <c r="A49" s="33" t="str">
        <f t="shared" si="4"/>
        <v/>
      </c>
      <c r="B49" s="40" t="str">
        <f t="shared" si="3"/>
        <v/>
      </c>
      <c r="C49" s="24"/>
      <c r="D49" s="23"/>
      <c r="E49" s="51"/>
      <c r="F49" s="51"/>
      <c r="G49" s="24"/>
      <c r="H49" s="24"/>
      <c r="I49" s="40" t="str">
        <f t="array" ref="I49">IF(G49="","",IFERROR(INDEX('Người sử dụng'!$H$5:$H$140,MATCH(G49,'Người sử dụng'!$C$5:$C$140,0)),"Chưa có trong DS"))</f>
        <v/>
      </c>
      <c r="J49" s="24"/>
      <c r="K49" s="24"/>
      <c r="L49" s="23"/>
      <c r="M49" s="24"/>
      <c r="N49" s="24"/>
      <c r="O49" s="24"/>
      <c r="P49" s="26"/>
      <c r="Q49" s="51"/>
      <c r="R49" s="46"/>
      <c r="S49" s="51"/>
      <c r="T49" s="46"/>
      <c r="U49" s="46"/>
      <c r="V49" s="46"/>
      <c r="W49" s="46"/>
      <c r="X49" s="46"/>
      <c r="Y49" s="46"/>
      <c r="Z49" s="46"/>
      <c r="AA49" s="46"/>
      <c r="AB49" s="46"/>
      <c r="AC49" s="46"/>
      <c r="AD49" s="46"/>
      <c r="AE49" s="46"/>
    </row>
    <row r="50" ht="15.75" customHeight="1">
      <c r="A50" s="33" t="str">
        <f t="shared" si="4"/>
        <v/>
      </c>
      <c r="B50" s="40" t="str">
        <f t="shared" si="3"/>
        <v/>
      </c>
      <c r="C50" s="24"/>
      <c r="D50" s="23"/>
      <c r="E50" s="51"/>
      <c r="F50" s="51"/>
      <c r="G50" s="24"/>
      <c r="H50" s="24"/>
      <c r="I50" s="40" t="str">
        <f t="array" ref="I50">IF(G50="","",IFERROR(INDEX('Người sử dụng'!$H$5:$H$140,MATCH(G50,'Người sử dụng'!$C$5:$C$140,0)),"Chưa có trong DS"))</f>
        <v/>
      </c>
      <c r="J50" s="24"/>
      <c r="K50" s="24"/>
      <c r="L50" s="23"/>
      <c r="M50" s="24"/>
      <c r="N50" s="24"/>
      <c r="O50" s="24"/>
      <c r="P50" s="26"/>
      <c r="Q50" s="51"/>
      <c r="R50" s="46"/>
      <c r="S50" s="51"/>
      <c r="T50" s="46"/>
      <c r="U50" s="46"/>
      <c r="V50" s="46"/>
      <c r="W50" s="46"/>
      <c r="X50" s="46"/>
      <c r="Y50" s="46"/>
      <c r="Z50" s="46"/>
      <c r="AA50" s="46"/>
      <c r="AB50" s="46"/>
      <c r="AC50" s="46"/>
      <c r="AD50" s="46"/>
      <c r="AE50" s="46"/>
    </row>
    <row r="51" ht="15.75" customHeight="1">
      <c r="A51" s="33" t="str">
        <f t="shared" si="4"/>
        <v/>
      </c>
      <c r="B51" s="40" t="str">
        <f t="shared" si="3"/>
        <v/>
      </c>
      <c r="C51" s="24"/>
      <c r="D51" s="23"/>
      <c r="E51" s="51"/>
      <c r="F51" s="51"/>
      <c r="G51" s="24"/>
      <c r="H51" s="24"/>
      <c r="I51" s="40" t="str">
        <f t="array" ref="I51">IF(G51="","",IFERROR(INDEX('Người sử dụng'!$H$5:$H$140,MATCH(G51,'Người sử dụng'!$C$5:$C$140,0)),"Chưa có trong DS"))</f>
        <v/>
      </c>
      <c r="J51" s="24"/>
      <c r="K51" s="24"/>
      <c r="L51" s="23"/>
      <c r="M51" s="24"/>
      <c r="N51" s="24"/>
      <c r="O51" s="24"/>
      <c r="P51" s="26"/>
      <c r="Q51" s="51"/>
      <c r="R51" s="46"/>
      <c r="S51" s="51"/>
      <c r="T51" s="46"/>
      <c r="U51" s="46"/>
      <c r="V51" s="46"/>
      <c r="W51" s="46"/>
      <c r="X51" s="46"/>
      <c r="Y51" s="46"/>
      <c r="Z51" s="46"/>
      <c r="AA51" s="46"/>
      <c r="AB51" s="46"/>
      <c r="AC51" s="46"/>
      <c r="AD51" s="46"/>
      <c r="AE51" s="46"/>
    </row>
    <row r="52" ht="15.75" customHeight="1">
      <c r="A52" s="33" t="str">
        <f t="shared" si="4"/>
        <v/>
      </c>
      <c r="B52" s="40" t="str">
        <f t="shared" si="3"/>
        <v/>
      </c>
      <c r="C52" s="24"/>
      <c r="D52" s="23"/>
      <c r="E52" s="51"/>
      <c r="F52" s="51"/>
      <c r="G52" s="24"/>
      <c r="H52" s="24"/>
      <c r="I52" s="40" t="str">
        <f t="array" ref="I52">IF(G52="","",IFERROR(INDEX('Người sử dụng'!$H$5:$H$140,MATCH(G52,'Người sử dụng'!$C$5:$C$140,0)),"Chưa có trong DS"))</f>
        <v/>
      </c>
      <c r="J52" s="24"/>
      <c r="K52" s="24"/>
      <c r="L52" s="23"/>
      <c r="M52" s="24"/>
      <c r="N52" s="24"/>
      <c r="O52" s="24"/>
      <c r="P52" s="26"/>
      <c r="Q52" s="51"/>
      <c r="R52" s="46"/>
      <c r="S52" s="51"/>
      <c r="T52" s="46"/>
      <c r="U52" s="46"/>
      <c r="V52" s="46"/>
      <c r="W52" s="46"/>
      <c r="X52" s="46"/>
      <c r="Y52" s="46"/>
      <c r="Z52" s="46"/>
      <c r="AA52" s="46"/>
      <c r="AB52" s="46"/>
      <c r="AC52" s="46"/>
      <c r="AD52" s="46"/>
      <c r="AE52" s="46"/>
    </row>
    <row r="53" ht="15.75" customHeight="1">
      <c r="A53" s="40" t="str">
        <f t="shared" si="4"/>
        <v/>
      </c>
      <c r="B53" s="40" t="str">
        <f t="shared" si="3"/>
        <v/>
      </c>
      <c r="C53" s="24"/>
      <c r="D53" s="23"/>
      <c r="E53" s="51"/>
      <c r="F53" s="51"/>
      <c r="G53" s="24"/>
      <c r="H53" s="24"/>
      <c r="I53" s="40" t="str">
        <f t="array" ref="I53">IF(G53="","",IFERROR(INDEX('Người sử dụng'!$H$5:$H$140,MATCH(G53,'Người sử dụng'!$C$5:$C$140,0)),"Chưa có trong DS"))</f>
        <v/>
      </c>
      <c r="J53" s="24"/>
      <c r="K53" s="24"/>
      <c r="L53" s="23"/>
      <c r="M53" s="24"/>
      <c r="N53" s="24"/>
      <c r="O53" s="24"/>
      <c r="P53" s="26"/>
      <c r="Q53" s="51"/>
      <c r="R53" s="46"/>
      <c r="S53" s="51"/>
      <c r="T53" s="46"/>
      <c r="U53" s="46"/>
      <c r="V53" s="46"/>
      <c r="W53" s="46"/>
      <c r="X53" s="46"/>
      <c r="Y53" s="46"/>
      <c r="Z53" s="46"/>
      <c r="AA53" s="46"/>
      <c r="AB53" s="46"/>
      <c r="AC53" s="46"/>
      <c r="AD53" s="46"/>
      <c r="AE53" s="46"/>
    </row>
    <row r="54" ht="15.75" customHeight="1">
      <c r="A54" s="40" t="str">
        <f t="shared" si="4"/>
        <v/>
      </c>
      <c r="B54" s="40" t="str">
        <f t="shared" si="3"/>
        <v/>
      </c>
      <c r="C54" s="24"/>
      <c r="D54" s="23"/>
      <c r="E54" s="51"/>
      <c r="F54" s="51"/>
      <c r="G54" s="24"/>
      <c r="H54" s="24"/>
      <c r="I54" s="40" t="str">
        <f t="array" ref="I54">IF(G54="","",IFERROR(INDEX('Người sử dụng'!$H$5:$H$140,MATCH(G54,'Người sử dụng'!$C$5:$C$140,0)),"Chưa có trong DS"))</f>
        <v/>
      </c>
      <c r="J54" s="24"/>
      <c r="K54" s="24"/>
      <c r="L54" s="23"/>
      <c r="M54" s="24"/>
      <c r="N54" s="24"/>
      <c r="O54" s="24"/>
      <c r="P54" s="26"/>
      <c r="Q54" s="51"/>
      <c r="R54" s="46"/>
      <c r="S54" s="51"/>
      <c r="T54" s="46"/>
      <c r="U54" s="46"/>
      <c r="V54" s="46"/>
      <c r="W54" s="46"/>
      <c r="X54" s="46"/>
      <c r="Y54" s="46"/>
      <c r="Z54" s="46"/>
      <c r="AA54" s="46"/>
      <c r="AB54" s="46"/>
      <c r="AC54" s="46"/>
      <c r="AD54" s="46"/>
      <c r="AE54" s="46"/>
    </row>
    <row r="55" ht="15.75" customHeight="1">
      <c r="A55" s="40" t="str">
        <f t="shared" si="4"/>
        <v/>
      </c>
      <c r="B55" s="40" t="str">
        <f t="shared" si="3"/>
        <v/>
      </c>
      <c r="C55" s="24"/>
      <c r="D55" s="23"/>
      <c r="E55" s="51"/>
      <c r="F55" s="51"/>
      <c r="G55" s="24"/>
      <c r="H55" s="24"/>
      <c r="I55" s="40" t="str">
        <f t="array" ref="I55">IF(G55="","",IFERROR(INDEX('Người sử dụng'!$H$5:$H$140,MATCH(G55,'Người sử dụng'!$C$5:$C$140,0)),"Chưa có trong DS"))</f>
        <v/>
      </c>
      <c r="J55" s="24"/>
      <c r="K55" s="24"/>
      <c r="L55" s="23"/>
      <c r="M55" s="24"/>
      <c r="N55" s="24"/>
      <c r="O55" s="24"/>
      <c r="P55" s="26"/>
      <c r="Q55" s="51"/>
      <c r="R55" s="46"/>
      <c r="S55" s="51"/>
      <c r="T55" s="46"/>
      <c r="U55" s="46"/>
      <c r="V55" s="46"/>
      <c r="W55" s="46"/>
      <c r="X55" s="46"/>
      <c r="Y55" s="46"/>
      <c r="Z55" s="46"/>
      <c r="AA55" s="46"/>
      <c r="AB55" s="46"/>
      <c r="AC55" s="46"/>
      <c r="AD55" s="46"/>
      <c r="AE55" s="46"/>
    </row>
    <row r="56" ht="15.75" customHeight="1">
      <c r="A56" s="40" t="str">
        <f t="shared" si="4"/>
        <v/>
      </c>
      <c r="B56" s="40" t="str">
        <f t="shared" si="3"/>
        <v/>
      </c>
      <c r="C56" s="24"/>
      <c r="D56" s="23"/>
      <c r="E56" s="51"/>
      <c r="F56" s="51"/>
      <c r="G56" s="24"/>
      <c r="H56" s="24"/>
      <c r="I56" s="40" t="str">
        <f t="array" ref="I56">IF(G56="","",IFERROR(INDEX('Người sử dụng'!$H$5:$H$140,MATCH(G56,'Người sử dụng'!$C$5:$C$140,0)),"Chưa có trong DS"))</f>
        <v/>
      </c>
      <c r="J56" s="24"/>
      <c r="K56" s="24"/>
      <c r="L56" s="23"/>
      <c r="M56" s="24"/>
      <c r="N56" s="24"/>
      <c r="O56" s="24"/>
      <c r="P56" s="26"/>
      <c r="Q56" s="51"/>
      <c r="R56" s="46"/>
      <c r="S56" s="51"/>
      <c r="T56" s="46"/>
      <c r="U56" s="46"/>
      <c r="V56" s="46"/>
      <c r="W56" s="46"/>
      <c r="X56" s="46"/>
      <c r="Y56" s="46"/>
      <c r="Z56" s="46"/>
      <c r="AA56" s="46"/>
      <c r="AB56" s="46"/>
      <c r="AC56" s="46"/>
      <c r="AD56" s="46"/>
      <c r="AE56" s="46"/>
    </row>
    <row r="57" ht="15.75" customHeight="1">
      <c r="A57" s="40" t="str">
        <f t="shared" si="4"/>
        <v/>
      </c>
      <c r="B57" s="40" t="str">
        <f t="shared" si="3"/>
        <v/>
      </c>
      <c r="C57" s="24"/>
      <c r="D57" s="23"/>
      <c r="E57" s="51"/>
      <c r="F57" s="51"/>
      <c r="G57" s="24"/>
      <c r="H57" s="24"/>
      <c r="I57" s="40" t="str">
        <f t="array" ref="I57">IF(G57="","",IFERROR(INDEX('Người sử dụng'!$H$5:$H$140,MATCH(G57,'Người sử dụng'!$C$5:$C$140,0)),"Chưa có trong DS"))</f>
        <v/>
      </c>
      <c r="J57" s="24"/>
      <c r="K57" s="24"/>
      <c r="L57" s="23"/>
      <c r="M57" s="24"/>
      <c r="N57" s="24"/>
      <c r="O57" s="24"/>
      <c r="P57" s="26"/>
      <c r="Q57" s="51"/>
      <c r="R57" s="46"/>
      <c r="S57" s="51"/>
      <c r="T57" s="46"/>
      <c r="U57" s="46"/>
      <c r="V57" s="46"/>
      <c r="W57" s="46"/>
      <c r="X57" s="46"/>
      <c r="Y57" s="46"/>
      <c r="Z57" s="46"/>
      <c r="AA57" s="46"/>
      <c r="AB57" s="46"/>
      <c r="AC57" s="46"/>
      <c r="AD57" s="46"/>
      <c r="AE57" s="46"/>
    </row>
    <row r="58" ht="15.75" customHeight="1">
      <c r="A58" s="40" t="str">
        <f t="shared" si="4"/>
        <v/>
      </c>
      <c r="B58" s="40" t="str">
        <f t="shared" si="3"/>
        <v/>
      </c>
      <c r="C58" s="24"/>
      <c r="D58" s="23"/>
      <c r="E58" s="51"/>
      <c r="F58" s="51"/>
      <c r="G58" s="24"/>
      <c r="H58" s="24"/>
      <c r="I58" s="40" t="str">
        <f t="array" ref="I58">IF(G58="","",IFERROR(INDEX('Người sử dụng'!$H$5:$H$140,MATCH(G58,'Người sử dụng'!$C$5:$C$140,0)),"Chưa có trong DS"))</f>
        <v/>
      </c>
      <c r="J58" s="24"/>
      <c r="K58" s="24"/>
      <c r="L58" s="23"/>
      <c r="M58" s="24"/>
      <c r="N58" s="24"/>
      <c r="O58" s="24"/>
      <c r="P58" s="26"/>
      <c r="Q58" s="51"/>
      <c r="R58" s="46"/>
      <c r="S58" s="51"/>
      <c r="T58" s="46"/>
      <c r="U58" s="46"/>
      <c r="V58" s="46"/>
      <c r="W58" s="46"/>
      <c r="X58" s="46"/>
      <c r="Y58" s="46"/>
      <c r="Z58" s="46"/>
      <c r="AA58" s="46"/>
      <c r="AB58" s="46"/>
      <c r="AC58" s="46"/>
      <c r="AD58" s="46"/>
      <c r="AE58" s="46"/>
    </row>
    <row r="59" ht="15.75" customHeight="1">
      <c r="A59" s="40" t="str">
        <f t="shared" si="4"/>
        <v/>
      </c>
      <c r="B59" s="40" t="str">
        <f t="shared" si="3"/>
        <v/>
      </c>
      <c r="C59" s="24"/>
      <c r="D59" s="23"/>
      <c r="E59" s="51"/>
      <c r="F59" s="51"/>
      <c r="G59" s="24"/>
      <c r="H59" s="24"/>
      <c r="I59" s="40" t="str">
        <f t="array" ref="I59">IF(G59="","",IFERROR(INDEX('Người sử dụng'!$H$5:$H$140,MATCH(G59,'Người sử dụng'!$C$5:$C$140,0)),"Chưa có trong DS"))</f>
        <v/>
      </c>
      <c r="J59" s="24"/>
      <c r="K59" s="24"/>
      <c r="L59" s="23"/>
      <c r="M59" s="24"/>
      <c r="N59" s="24"/>
      <c r="O59" s="24"/>
      <c r="P59" s="26"/>
      <c r="Q59" s="51"/>
      <c r="R59" s="46"/>
      <c r="S59" s="51"/>
      <c r="T59" s="46"/>
      <c r="U59" s="46"/>
      <c r="V59" s="46"/>
      <c r="W59" s="46"/>
      <c r="X59" s="46"/>
      <c r="Y59" s="46"/>
      <c r="Z59" s="46"/>
      <c r="AA59" s="46"/>
      <c r="AB59" s="46"/>
      <c r="AC59" s="46"/>
      <c r="AD59" s="46"/>
      <c r="AE59" s="46"/>
    </row>
    <row r="60" ht="15.75" customHeight="1">
      <c r="A60" s="40" t="str">
        <f t="shared" si="4"/>
        <v/>
      </c>
      <c r="B60" s="40" t="str">
        <f t="shared" si="3"/>
        <v/>
      </c>
      <c r="C60" s="24"/>
      <c r="D60" s="23"/>
      <c r="E60" s="51"/>
      <c r="F60" s="51"/>
      <c r="G60" s="24"/>
      <c r="H60" s="24"/>
      <c r="I60" s="40" t="str">
        <f t="array" ref="I60">IF(G60="","",IFERROR(INDEX('Người sử dụng'!$H$5:$H$140,MATCH(G60,'Người sử dụng'!$C$5:$C$140,0)),"Chưa có trong DS"))</f>
        <v/>
      </c>
      <c r="J60" s="24"/>
      <c r="K60" s="24"/>
      <c r="L60" s="23"/>
      <c r="M60" s="24"/>
      <c r="N60" s="24"/>
      <c r="O60" s="24"/>
      <c r="P60" s="26"/>
      <c r="Q60" s="51"/>
      <c r="R60" s="46"/>
      <c r="S60" s="51"/>
      <c r="T60" s="46"/>
      <c r="U60" s="46"/>
      <c r="V60" s="46"/>
      <c r="W60" s="46"/>
      <c r="X60" s="46"/>
      <c r="Y60" s="46"/>
      <c r="Z60" s="46"/>
      <c r="AA60" s="46"/>
      <c r="AB60" s="46"/>
      <c r="AC60" s="46"/>
      <c r="AD60" s="46"/>
      <c r="AE60" s="46"/>
    </row>
    <row r="61" ht="15.75" customHeight="1">
      <c r="A61" s="40" t="str">
        <f t="shared" si="4"/>
        <v/>
      </c>
      <c r="B61" s="40" t="str">
        <f t="shared" si="3"/>
        <v/>
      </c>
      <c r="C61" s="24"/>
      <c r="D61" s="23"/>
      <c r="E61" s="51"/>
      <c r="F61" s="51"/>
      <c r="G61" s="24"/>
      <c r="H61" s="24"/>
      <c r="I61" s="40" t="str">
        <f t="array" ref="I61">IF(G61="","",IFERROR(INDEX('Người sử dụng'!$H$5:$H$140,MATCH(G61,'Người sử dụng'!$C$5:$C$140,0)),"Chưa có trong DS"))</f>
        <v/>
      </c>
      <c r="J61" s="24"/>
      <c r="K61" s="24"/>
      <c r="L61" s="23"/>
      <c r="M61" s="24"/>
      <c r="N61" s="24"/>
      <c r="O61" s="24"/>
      <c r="P61" s="26"/>
      <c r="Q61" s="51"/>
      <c r="R61" s="46"/>
      <c r="S61" s="51"/>
      <c r="T61" s="46"/>
      <c r="U61" s="46"/>
      <c r="V61" s="46"/>
      <c r="W61" s="46"/>
      <c r="X61" s="46"/>
      <c r="Y61" s="46"/>
      <c r="Z61" s="46"/>
      <c r="AA61" s="46"/>
      <c r="AB61" s="46"/>
      <c r="AC61" s="46"/>
      <c r="AD61" s="46"/>
      <c r="AE61" s="46"/>
    </row>
    <row r="62" ht="15.75" customHeight="1">
      <c r="A62" s="40" t="str">
        <f t="shared" si="4"/>
        <v/>
      </c>
      <c r="B62" s="40" t="str">
        <f t="shared" si="3"/>
        <v/>
      </c>
      <c r="C62" s="24"/>
      <c r="D62" s="23"/>
      <c r="E62" s="51"/>
      <c r="F62" s="51"/>
      <c r="G62" s="24"/>
      <c r="H62" s="24"/>
      <c r="I62" s="40" t="str">
        <f t="array" ref="I62">IF(G62="","",IFERROR(INDEX('Người sử dụng'!$H$5:$H$140,MATCH(G62,'Người sử dụng'!$C$5:$C$140,0)),"Chưa có trong DS"))</f>
        <v/>
      </c>
      <c r="J62" s="24"/>
      <c r="K62" s="24"/>
      <c r="L62" s="23"/>
      <c r="M62" s="24"/>
      <c r="N62" s="24"/>
      <c r="O62" s="24"/>
      <c r="P62" s="26"/>
      <c r="Q62" s="51"/>
      <c r="R62" s="46"/>
      <c r="S62" s="51"/>
      <c r="T62" s="46"/>
      <c r="U62" s="46"/>
      <c r="V62" s="46"/>
      <c r="W62" s="46"/>
      <c r="X62" s="46"/>
      <c r="Y62" s="46"/>
      <c r="Z62" s="46"/>
      <c r="AA62" s="46"/>
      <c r="AB62" s="46"/>
      <c r="AC62" s="46"/>
      <c r="AD62" s="46"/>
      <c r="AE62" s="46"/>
    </row>
    <row r="63" ht="15.75" customHeight="1">
      <c r="A63" s="40" t="str">
        <f t="shared" si="4"/>
        <v/>
      </c>
      <c r="B63" s="40" t="str">
        <f t="shared" si="3"/>
        <v/>
      </c>
      <c r="C63" s="24"/>
      <c r="D63" s="23"/>
      <c r="E63" s="51"/>
      <c r="F63" s="51"/>
      <c r="G63" s="24"/>
      <c r="H63" s="24"/>
      <c r="I63" s="40" t="str">
        <f t="array" ref="I63">IF(G63="","",IFERROR(INDEX('Người sử dụng'!$H$5:$H$140,MATCH(G63,'Người sử dụng'!$C$5:$C$140,0)),"Chưa có trong DS"))</f>
        <v/>
      </c>
      <c r="J63" s="24"/>
      <c r="K63" s="24"/>
      <c r="L63" s="23"/>
      <c r="M63" s="24"/>
      <c r="N63" s="24"/>
      <c r="O63" s="24"/>
      <c r="P63" s="26"/>
      <c r="Q63" s="51"/>
      <c r="R63" s="46"/>
      <c r="S63" s="51"/>
      <c r="T63" s="46"/>
      <c r="U63" s="46"/>
      <c r="V63" s="46"/>
      <c r="W63" s="46"/>
      <c r="X63" s="46"/>
      <c r="Y63" s="46"/>
      <c r="Z63" s="46"/>
      <c r="AA63" s="46"/>
      <c r="AB63" s="46"/>
      <c r="AC63" s="46"/>
      <c r="AD63" s="46"/>
      <c r="AE63" s="46"/>
    </row>
    <row r="64" ht="15.75" customHeight="1">
      <c r="A64" s="40" t="str">
        <f t="shared" si="4"/>
        <v/>
      </c>
      <c r="B64" s="40" t="str">
        <f t="shared" si="3"/>
        <v/>
      </c>
      <c r="C64" s="24"/>
      <c r="D64" s="23"/>
      <c r="E64" s="51"/>
      <c r="F64" s="51"/>
      <c r="G64" s="24"/>
      <c r="H64" s="24"/>
      <c r="I64" s="40" t="str">
        <f t="array" ref="I64">IF(G64="","",IFERROR(INDEX('Người sử dụng'!$H$5:$H$140,MATCH(G64,'Người sử dụng'!$C$5:$C$140,0)),"Chưa có trong DS"))</f>
        <v/>
      </c>
      <c r="J64" s="24"/>
      <c r="K64" s="24"/>
      <c r="L64" s="23"/>
      <c r="M64" s="24"/>
      <c r="N64" s="24"/>
      <c r="O64" s="24"/>
      <c r="P64" s="26"/>
      <c r="Q64" s="51"/>
      <c r="R64" s="46"/>
      <c r="S64" s="51"/>
      <c r="T64" s="46"/>
      <c r="U64" s="46"/>
      <c r="V64" s="46"/>
      <c r="W64" s="46"/>
      <c r="X64" s="46"/>
      <c r="Y64" s="46"/>
      <c r="Z64" s="46"/>
      <c r="AA64" s="46"/>
      <c r="AB64" s="46"/>
      <c r="AC64" s="46"/>
      <c r="AD64" s="46"/>
      <c r="AE64" s="46"/>
    </row>
    <row r="65" ht="15.75" customHeight="1">
      <c r="A65" s="40" t="str">
        <f t="shared" si="4"/>
        <v/>
      </c>
      <c r="B65" s="40" t="str">
        <f t="shared" si="3"/>
        <v/>
      </c>
      <c r="C65" s="24"/>
      <c r="D65" s="23"/>
      <c r="E65" s="51"/>
      <c r="F65" s="51"/>
      <c r="G65" s="24"/>
      <c r="H65" s="24"/>
      <c r="I65" s="40" t="str">
        <f t="array" ref="I65">IF(G65="","",IFERROR(INDEX('Người sử dụng'!$H$5:$H$140,MATCH(G65,'Người sử dụng'!$C$5:$C$140,0)),"Chưa có trong DS"))</f>
        <v/>
      </c>
      <c r="J65" s="24"/>
      <c r="K65" s="24"/>
      <c r="L65" s="23"/>
      <c r="M65" s="24"/>
      <c r="N65" s="24"/>
      <c r="O65" s="24"/>
      <c r="P65" s="26"/>
      <c r="Q65" s="51"/>
      <c r="R65" s="46"/>
      <c r="S65" s="51"/>
      <c r="T65" s="46"/>
      <c r="U65" s="46"/>
      <c r="V65" s="46"/>
      <c r="W65" s="46"/>
      <c r="X65" s="46"/>
      <c r="Y65" s="46"/>
      <c r="Z65" s="46"/>
      <c r="AA65" s="46"/>
      <c r="AB65" s="46"/>
      <c r="AC65" s="46"/>
      <c r="AD65" s="46"/>
      <c r="AE65" s="46"/>
    </row>
    <row r="66" ht="15.75" customHeight="1">
      <c r="A66" s="40" t="str">
        <f t="shared" si="4"/>
        <v/>
      </c>
      <c r="B66" s="40" t="str">
        <f t="shared" si="3"/>
        <v/>
      </c>
      <c r="C66" s="24"/>
      <c r="D66" s="23"/>
      <c r="E66" s="51"/>
      <c r="F66" s="51"/>
      <c r="G66" s="24"/>
      <c r="H66" s="24"/>
      <c r="I66" s="40" t="str">
        <f t="array" ref="I66">IF(G66="","",IFERROR(INDEX('Người sử dụng'!$H$5:$H$140,MATCH(G66,'Người sử dụng'!$C$5:$C$140,0)),"Chưa có trong DS"))</f>
        <v/>
      </c>
      <c r="J66" s="24"/>
      <c r="K66" s="24"/>
      <c r="L66" s="23"/>
      <c r="M66" s="24"/>
      <c r="N66" s="24"/>
      <c r="O66" s="24"/>
      <c r="P66" s="26"/>
      <c r="Q66" s="51"/>
      <c r="R66" s="46"/>
      <c r="S66" s="51"/>
      <c r="T66" s="46"/>
      <c r="U66" s="46"/>
      <c r="V66" s="46"/>
      <c r="W66" s="46"/>
      <c r="X66" s="46"/>
      <c r="Y66" s="46"/>
      <c r="Z66" s="46"/>
      <c r="AA66" s="46"/>
      <c r="AB66" s="46"/>
      <c r="AC66" s="46"/>
      <c r="AD66" s="46"/>
      <c r="AE66" s="46"/>
    </row>
    <row r="67" ht="15.75" customHeight="1">
      <c r="A67" s="40" t="str">
        <f t="shared" si="4"/>
        <v/>
      </c>
      <c r="B67" s="40" t="str">
        <f t="shared" si="3"/>
        <v/>
      </c>
      <c r="C67" s="24"/>
      <c r="D67" s="23"/>
      <c r="E67" s="51"/>
      <c r="F67" s="51"/>
      <c r="G67" s="24"/>
      <c r="H67" s="24"/>
      <c r="I67" s="40" t="str">
        <f t="array" ref="I67">IF(G67="","",IFERROR(INDEX('Người sử dụng'!$H$5:$H$140,MATCH(G67,'Người sử dụng'!$C$5:$C$140,0)),"Chưa có trong DS"))</f>
        <v/>
      </c>
      <c r="J67" s="24"/>
      <c r="K67" s="24"/>
      <c r="L67" s="23"/>
      <c r="M67" s="24"/>
      <c r="N67" s="24"/>
      <c r="O67" s="24"/>
      <c r="P67" s="26"/>
      <c r="Q67" s="51"/>
      <c r="R67" s="46"/>
      <c r="S67" s="51"/>
      <c r="T67" s="46"/>
      <c r="U67" s="46"/>
      <c r="V67" s="46"/>
      <c r="W67" s="46"/>
      <c r="X67" s="46"/>
      <c r="Y67" s="46"/>
      <c r="Z67" s="46"/>
      <c r="AA67" s="46"/>
      <c r="AB67" s="46"/>
      <c r="AC67" s="46"/>
      <c r="AD67" s="46"/>
      <c r="AE67" s="46"/>
    </row>
    <row r="68" ht="15.75" customHeight="1">
      <c r="A68" s="40" t="str">
        <f t="shared" si="4"/>
        <v/>
      </c>
      <c r="B68" s="40" t="str">
        <f t="shared" si="3"/>
        <v/>
      </c>
      <c r="C68" s="24"/>
      <c r="D68" s="23"/>
      <c r="E68" s="51"/>
      <c r="F68" s="51"/>
      <c r="G68" s="24"/>
      <c r="H68" s="24"/>
      <c r="I68" s="40" t="str">
        <f t="array" ref="I68">IF(G68="","",IFERROR(INDEX('Người sử dụng'!$H$5:$H$140,MATCH(G68,'Người sử dụng'!$C$5:$C$140,0)),"Chưa có trong DS"))</f>
        <v/>
      </c>
      <c r="J68" s="24"/>
      <c r="K68" s="24"/>
      <c r="L68" s="23"/>
      <c r="M68" s="24"/>
      <c r="N68" s="24"/>
      <c r="O68" s="24"/>
      <c r="P68" s="26"/>
      <c r="Q68" s="51"/>
      <c r="R68" s="46"/>
      <c r="S68" s="51"/>
      <c r="T68" s="46"/>
      <c r="U68" s="46"/>
      <c r="V68" s="46"/>
      <c r="W68" s="46"/>
      <c r="X68" s="46"/>
      <c r="Y68" s="46"/>
      <c r="Z68" s="46"/>
      <c r="AA68" s="46"/>
      <c r="AB68" s="46"/>
      <c r="AC68" s="46"/>
      <c r="AD68" s="46"/>
      <c r="AE68" s="46"/>
    </row>
    <row r="69" ht="15.75" customHeight="1">
      <c r="A69" s="40" t="str">
        <f t="shared" si="4"/>
        <v/>
      </c>
      <c r="B69" s="40" t="str">
        <f t="shared" si="3"/>
        <v/>
      </c>
      <c r="C69" s="24"/>
      <c r="D69" s="23"/>
      <c r="E69" s="51"/>
      <c r="F69" s="51"/>
      <c r="G69" s="24"/>
      <c r="H69" s="24"/>
      <c r="I69" s="40" t="str">
        <f t="array" ref="I69">IF(G69="","",IFERROR(INDEX('Người sử dụng'!$H$5:$H$140,MATCH(G69,'Người sử dụng'!$C$5:$C$140,0)),"Chưa có trong DS"))</f>
        <v/>
      </c>
      <c r="J69" s="24"/>
      <c r="K69" s="24"/>
      <c r="L69" s="23"/>
      <c r="M69" s="24"/>
      <c r="N69" s="24"/>
      <c r="O69" s="24"/>
      <c r="P69" s="26"/>
      <c r="Q69" s="51"/>
      <c r="R69" s="46"/>
      <c r="S69" s="51"/>
      <c r="T69" s="46"/>
      <c r="U69" s="46"/>
      <c r="V69" s="46"/>
      <c r="W69" s="46"/>
      <c r="X69" s="46"/>
      <c r="Y69" s="46"/>
      <c r="Z69" s="46"/>
      <c r="AA69" s="46"/>
      <c r="AB69" s="46"/>
      <c r="AC69" s="46"/>
      <c r="AD69" s="46"/>
      <c r="AE69" s="46"/>
    </row>
    <row r="70" ht="15.75" customHeight="1">
      <c r="A70" s="40" t="str">
        <f t="shared" si="4"/>
        <v/>
      </c>
      <c r="B70" s="40" t="str">
        <f t="shared" si="3"/>
        <v/>
      </c>
      <c r="C70" s="24"/>
      <c r="D70" s="23"/>
      <c r="E70" s="51"/>
      <c r="F70" s="51"/>
      <c r="G70" s="24"/>
      <c r="H70" s="24"/>
      <c r="I70" s="40" t="str">
        <f t="array" ref="I70">IF(G70="","",IFERROR(INDEX('Người sử dụng'!$H$5:$H$140,MATCH(G70,'Người sử dụng'!$C$5:$C$140,0)),"Chưa có trong DS"))</f>
        <v/>
      </c>
      <c r="J70" s="24"/>
      <c r="K70" s="24"/>
      <c r="L70" s="23"/>
      <c r="M70" s="24"/>
      <c r="N70" s="24"/>
      <c r="O70" s="24"/>
      <c r="P70" s="26"/>
      <c r="Q70" s="51"/>
      <c r="R70" s="46"/>
      <c r="S70" s="51"/>
      <c r="T70" s="46"/>
      <c r="U70" s="46"/>
      <c r="V70" s="46"/>
      <c r="W70" s="46"/>
      <c r="X70" s="46"/>
      <c r="Y70" s="46"/>
      <c r="Z70" s="46"/>
      <c r="AA70" s="46"/>
      <c r="AB70" s="46"/>
      <c r="AC70" s="46"/>
      <c r="AD70" s="46"/>
      <c r="AE70" s="46"/>
    </row>
    <row r="71" ht="15.75" customHeight="1">
      <c r="A71" s="40" t="str">
        <f t="shared" si="4"/>
        <v/>
      </c>
      <c r="B71" s="40" t="str">
        <f t="shared" si="3"/>
        <v/>
      </c>
      <c r="C71" s="24"/>
      <c r="D71" s="23"/>
      <c r="E71" s="51"/>
      <c r="F71" s="51"/>
      <c r="G71" s="24"/>
      <c r="H71" s="24"/>
      <c r="I71" s="40" t="str">
        <f t="array" ref="I71">IF(G71="","",IFERROR(INDEX('Người sử dụng'!$H$5:$H$140,MATCH(G71,'Người sử dụng'!$C$5:$C$140,0)),"Chưa có trong DS"))</f>
        <v/>
      </c>
      <c r="J71" s="24"/>
      <c r="K71" s="24"/>
      <c r="L71" s="23"/>
      <c r="M71" s="24"/>
      <c r="N71" s="24"/>
      <c r="O71" s="24"/>
      <c r="P71" s="26"/>
      <c r="Q71" s="51"/>
      <c r="R71" s="46"/>
      <c r="S71" s="51"/>
      <c r="T71" s="46"/>
      <c r="U71" s="46"/>
      <c r="V71" s="46"/>
      <c r="W71" s="46"/>
      <c r="X71" s="46"/>
      <c r="Y71" s="46"/>
      <c r="Z71" s="46"/>
      <c r="AA71" s="46"/>
      <c r="AB71" s="46"/>
      <c r="AC71" s="46"/>
      <c r="AD71" s="46"/>
      <c r="AE71" s="46"/>
    </row>
    <row r="72" ht="15.75" customHeight="1">
      <c r="A72" s="40" t="str">
        <f t="shared" si="4"/>
        <v/>
      </c>
      <c r="B72" s="40" t="str">
        <f t="shared" si="3"/>
        <v/>
      </c>
      <c r="C72" s="24"/>
      <c r="D72" s="23"/>
      <c r="E72" s="51"/>
      <c r="F72" s="51"/>
      <c r="G72" s="24"/>
      <c r="H72" s="24"/>
      <c r="I72" s="40" t="str">
        <f t="array" ref="I72">IF(G72="","",IFERROR(INDEX('Người sử dụng'!$H$5:$H$140,MATCH(G72,'Người sử dụng'!$C$5:$C$140,0)),"Chưa có trong DS"))</f>
        <v/>
      </c>
      <c r="J72" s="24"/>
      <c r="K72" s="24"/>
      <c r="L72" s="23"/>
      <c r="M72" s="24"/>
      <c r="N72" s="24"/>
      <c r="O72" s="24"/>
      <c r="P72" s="26"/>
      <c r="Q72" s="51"/>
      <c r="R72" s="46"/>
      <c r="S72" s="51"/>
      <c r="T72" s="46"/>
      <c r="U72" s="46"/>
      <c r="V72" s="46"/>
      <c r="W72" s="46"/>
      <c r="X72" s="46"/>
      <c r="Y72" s="46"/>
      <c r="Z72" s="46"/>
      <c r="AA72" s="46"/>
      <c r="AB72" s="46"/>
      <c r="AC72" s="46"/>
      <c r="AD72" s="46"/>
      <c r="AE72" s="46"/>
    </row>
    <row r="73" ht="15.75" customHeight="1">
      <c r="A73" s="40" t="str">
        <f t="shared" si="4"/>
        <v/>
      </c>
      <c r="B73" s="40" t="str">
        <f t="shared" si="3"/>
        <v/>
      </c>
      <c r="C73" s="24"/>
      <c r="D73" s="23"/>
      <c r="E73" s="51"/>
      <c r="F73" s="51"/>
      <c r="G73" s="24"/>
      <c r="H73" s="24"/>
      <c r="I73" s="40" t="str">
        <f t="array" ref="I73">IF(G73="","",IFERROR(INDEX('Người sử dụng'!$H$5:$H$140,MATCH(G73,'Người sử dụng'!$C$5:$C$140,0)),"Chưa có trong DS"))</f>
        <v/>
      </c>
      <c r="J73" s="24"/>
      <c r="K73" s="24"/>
      <c r="L73" s="23"/>
      <c r="M73" s="24"/>
      <c r="N73" s="24"/>
      <c r="O73" s="24"/>
      <c r="P73" s="26"/>
      <c r="Q73" s="51"/>
      <c r="R73" s="46"/>
      <c r="S73" s="51"/>
      <c r="T73" s="46"/>
      <c r="U73" s="46"/>
      <c r="V73" s="46"/>
      <c r="W73" s="46"/>
      <c r="X73" s="46"/>
      <c r="Y73" s="46"/>
      <c r="Z73" s="46"/>
      <c r="AA73" s="46"/>
      <c r="AB73" s="46"/>
      <c r="AC73" s="46"/>
      <c r="AD73" s="46"/>
      <c r="AE73" s="46"/>
    </row>
    <row r="74" ht="15.75" customHeight="1">
      <c r="A74" s="40" t="str">
        <f t="shared" si="4"/>
        <v/>
      </c>
      <c r="B74" s="40" t="str">
        <f t="shared" si="3"/>
        <v/>
      </c>
      <c r="C74" s="24"/>
      <c r="D74" s="23"/>
      <c r="E74" s="51"/>
      <c r="F74" s="51"/>
      <c r="G74" s="24"/>
      <c r="H74" s="24"/>
      <c r="I74" s="40" t="str">
        <f t="array" ref="I74">IF(G74="","",IFERROR(INDEX('Người sử dụng'!$H$5:$H$140,MATCH(G74,'Người sử dụng'!$C$5:$C$140,0)),"Chưa có trong DS"))</f>
        <v/>
      </c>
      <c r="J74" s="24"/>
      <c r="K74" s="24"/>
      <c r="L74" s="23"/>
      <c r="M74" s="24"/>
      <c r="N74" s="24"/>
      <c r="O74" s="24"/>
      <c r="P74" s="26"/>
      <c r="Q74" s="51"/>
      <c r="R74" s="46"/>
      <c r="S74" s="51"/>
      <c r="T74" s="46"/>
      <c r="U74" s="46"/>
      <c r="V74" s="46"/>
      <c r="W74" s="46"/>
      <c r="X74" s="46"/>
      <c r="Y74" s="46"/>
      <c r="Z74" s="46"/>
      <c r="AA74" s="46"/>
      <c r="AB74" s="46"/>
      <c r="AC74" s="46"/>
      <c r="AD74" s="46"/>
      <c r="AE74" s="46"/>
    </row>
    <row r="75" ht="15.75" customHeight="1">
      <c r="A75" s="40" t="str">
        <f t="shared" si="4"/>
        <v/>
      </c>
      <c r="B75" s="40" t="str">
        <f t="shared" si="3"/>
        <v/>
      </c>
      <c r="C75" s="24"/>
      <c r="D75" s="23"/>
      <c r="E75" s="51"/>
      <c r="F75" s="51"/>
      <c r="G75" s="24"/>
      <c r="H75" s="24"/>
      <c r="I75" s="40" t="str">
        <f t="array" ref="I75">IF(G75="","",IFERROR(INDEX('Người sử dụng'!$H$5:$H$140,MATCH(G75,'Người sử dụng'!$C$5:$C$140,0)),"Chưa có trong DS"))</f>
        <v/>
      </c>
      <c r="J75" s="24"/>
      <c r="K75" s="24"/>
      <c r="L75" s="23"/>
      <c r="M75" s="24"/>
      <c r="N75" s="24"/>
      <c r="O75" s="24"/>
      <c r="P75" s="26"/>
      <c r="Q75" s="51"/>
      <c r="R75" s="46"/>
      <c r="S75" s="51"/>
      <c r="T75" s="46"/>
      <c r="U75" s="46"/>
      <c r="V75" s="46"/>
      <c r="W75" s="46"/>
      <c r="X75" s="46"/>
      <c r="Y75" s="46"/>
      <c r="Z75" s="46"/>
      <c r="AA75" s="46"/>
      <c r="AB75" s="46"/>
      <c r="AC75" s="46"/>
      <c r="AD75" s="46"/>
      <c r="AE75" s="46"/>
    </row>
    <row r="76" ht="15.75" customHeight="1">
      <c r="A76" s="40" t="str">
        <f t="shared" si="4"/>
        <v/>
      </c>
      <c r="B76" s="40" t="str">
        <f t="shared" si="3"/>
        <v/>
      </c>
      <c r="C76" s="24"/>
      <c r="D76" s="23"/>
      <c r="E76" s="51"/>
      <c r="F76" s="51"/>
      <c r="G76" s="24"/>
      <c r="H76" s="24"/>
      <c r="I76" s="40" t="str">
        <f t="array" ref="I76">IF(G76="","",IFERROR(INDEX('Người sử dụng'!$H$5:$H$140,MATCH(G76,'Người sử dụng'!$C$5:$C$140,0)),"Chưa có trong DS"))</f>
        <v/>
      </c>
      <c r="J76" s="24"/>
      <c r="K76" s="24"/>
      <c r="L76" s="23"/>
      <c r="M76" s="24"/>
      <c r="N76" s="24"/>
      <c r="O76" s="24"/>
      <c r="P76" s="26"/>
      <c r="Q76" s="51"/>
      <c r="R76" s="46"/>
      <c r="S76" s="51"/>
      <c r="T76" s="46"/>
      <c r="U76" s="46"/>
      <c r="V76" s="46"/>
      <c r="W76" s="46"/>
      <c r="X76" s="46"/>
      <c r="Y76" s="46"/>
      <c r="Z76" s="46"/>
      <c r="AA76" s="46"/>
      <c r="AB76" s="46"/>
      <c r="AC76" s="46"/>
      <c r="AD76" s="46"/>
      <c r="AE76" s="46"/>
    </row>
    <row r="77" ht="15.75" customHeight="1">
      <c r="A77" s="40" t="str">
        <f t="shared" si="4"/>
        <v/>
      </c>
      <c r="B77" s="40" t="str">
        <f t="shared" si="3"/>
        <v/>
      </c>
      <c r="C77" s="24"/>
      <c r="D77" s="23"/>
      <c r="E77" s="51"/>
      <c r="F77" s="51"/>
      <c r="G77" s="24"/>
      <c r="H77" s="24"/>
      <c r="I77" s="40" t="str">
        <f t="array" ref="I77">IF(G77="","",IFERROR(INDEX('Người sử dụng'!$H$5:$H$140,MATCH(G77,'Người sử dụng'!$C$5:$C$140,0)),"Chưa có trong DS"))</f>
        <v/>
      </c>
      <c r="J77" s="24"/>
      <c r="K77" s="24"/>
      <c r="L77" s="23"/>
      <c r="M77" s="24"/>
      <c r="N77" s="24"/>
      <c r="O77" s="24"/>
      <c r="P77" s="26"/>
      <c r="Q77" s="51"/>
      <c r="R77" s="46"/>
      <c r="S77" s="51"/>
      <c r="T77" s="46"/>
      <c r="U77" s="46"/>
      <c r="V77" s="46"/>
      <c r="W77" s="46"/>
      <c r="X77" s="46"/>
      <c r="Y77" s="46"/>
      <c r="Z77" s="46"/>
      <c r="AA77" s="46"/>
      <c r="AB77" s="46"/>
      <c r="AC77" s="46"/>
      <c r="AD77" s="46"/>
      <c r="AE77" s="46"/>
    </row>
    <row r="78" ht="15.75" customHeight="1">
      <c r="A78" s="40" t="str">
        <f t="shared" si="4"/>
        <v/>
      </c>
      <c r="B78" s="40" t="str">
        <f t="shared" si="3"/>
        <v/>
      </c>
      <c r="C78" s="24"/>
      <c r="D78" s="23"/>
      <c r="E78" s="51"/>
      <c r="F78" s="51"/>
      <c r="G78" s="24"/>
      <c r="H78" s="24"/>
      <c r="I78" s="40" t="str">
        <f t="array" ref="I78">IF(G78="","",IFERROR(INDEX('Người sử dụng'!$H$5:$H$140,MATCH(G78,'Người sử dụng'!$C$5:$C$140,0)),"Chưa có trong DS"))</f>
        <v/>
      </c>
      <c r="J78" s="24"/>
      <c r="K78" s="24"/>
      <c r="L78" s="23"/>
      <c r="M78" s="24"/>
      <c r="N78" s="24"/>
      <c r="O78" s="24"/>
      <c r="P78" s="26"/>
      <c r="Q78" s="51"/>
      <c r="R78" s="46"/>
      <c r="S78" s="51"/>
      <c r="T78" s="46"/>
      <c r="U78" s="46"/>
      <c r="V78" s="46"/>
      <c r="W78" s="46"/>
      <c r="X78" s="46"/>
      <c r="Y78" s="46"/>
      <c r="Z78" s="46"/>
      <c r="AA78" s="46"/>
      <c r="AB78" s="46"/>
      <c r="AC78" s="46"/>
      <c r="AD78" s="46"/>
      <c r="AE78" s="46"/>
    </row>
    <row r="79" ht="15.75" customHeight="1">
      <c r="A79" s="40" t="str">
        <f t="shared" si="4"/>
        <v/>
      </c>
      <c r="B79" s="40" t="str">
        <f t="shared" si="3"/>
        <v/>
      </c>
      <c r="C79" s="24"/>
      <c r="D79" s="23"/>
      <c r="E79" s="51"/>
      <c r="F79" s="51"/>
      <c r="G79" s="24"/>
      <c r="H79" s="24"/>
      <c r="I79" s="40" t="str">
        <f t="array" ref="I79">IF(G79="","",IFERROR(INDEX('Người sử dụng'!$H$5:$H$140,MATCH(G79,'Người sử dụng'!$C$5:$C$140,0)),"Chưa có trong DS"))</f>
        <v/>
      </c>
      <c r="J79" s="24"/>
      <c r="K79" s="24"/>
      <c r="L79" s="23"/>
      <c r="M79" s="24"/>
      <c r="N79" s="24"/>
      <c r="O79" s="24"/>
      <c r="P79" s="26"/>
      <c r="Q79" s="51"/>
      <c r="R79" s="46"/>
      <c r="S79" s="51"/>
      <c r="T79" s="46"/>
      <c r="U79" s="46"/>
      <c r="V79" s="46"/>
      <c r="W79" s="46"/>
      <c r="X79" s="46"/>
      <c r="Y79" s="46"/>
      <c r="Z79" s="46"/>
      <c r="AA79" s="46"/>
      <c r="AB79" s="46"/>
      <c r="AC79" s="46"/>
      <c r="AD79" s="46"/>
      <c r="AE79" s="46"/>
    </row>
    <row r="80" ht="15.75" customHeight="1">
      <c r="A80" s="40" t="str">
        <f t="shared" si="4"/>
        <v/>
      </c>
      <c r="B80" s="40" t="str">
        <f t="shared" si="3"/>
        <v/>
      </c>
      <c r="C80" s="24"/>
      <c r="D80" s="23"/>
      <c r="E80" s="51"/>
      <c r="F80" s="51"/>
      <c r="G80" s="24"/>
      <c r="H80" s="24"/>
      <c r="I80" s="40" t="str">
        <f t="array" ref="I80">IF(G80="","",IFERROR(INDEX('Người sử dụng'!$H$5:$H$140,MATCH(G80,'Người sử dụng'!$C$5:$C$140,0)),"Chưa có trong DS"))</f>
        <v/>
      </c>
      <c r="J80" s="24"/>
      <c r="K80" s="24"/>
      <c r="L80" s="23"/>
      <c r="M80" s="24"/>
      <c r="N80" s="24"/>
      <c r="O80" s="24"/>
      <c r="P80" s="26"/>
      <c r="Q80" s="51"/>
      <c r="R80" s="46"/>
      <c r="S80" s="51"/>
      <c r="T80" s="46"/>
      <c r="U80" s="46"/>
      <c r="V80" s="46"/>
      <c r="W80" s="46"/>
      <c r="X80" s="46"/>
      <c r="Y80" s="46"/>
      <c r="Z80" s="46"/>
      <c r="AA80" s="46"/>
      <c r="AB80" s="46"/>
      <c r="AC80" s="46"/>
      <c r="AD80" s="46"/>
      <c r="AE80" s="46"/>
    </row>
    <row r="81" ht="15.75" customHeight="1">
      <c r="A81" s="40" t="str">
        <f t="shared" si="4"/>
        <v/>
      </c>
      <c r="B81" s="40" t="str">
        <f t="shared" si="3"/>
        <v/>
      </c>
      <c r="C81" s="24"/>
      <c r="D81" s="23"/>
      <c r="E81" s="51"/>
      <c r="F81" s="51"/>
      <c r="G81" s="24"/>
      <c r="H81" s="24"/>
      <c r="I81" s="40" t="str">
        <f t="array" ref="I81">IF(G81="","",IFERROR(INDEX('Người sử dụng'!$H$5:$H$140,MATCH(G81,'Người sử dụng'!$C$5:$C$140,0)),"Chưa có trong DS"))</f>
        <v/>
      </c>
      <c r="J81" s="24"/>
      <c r="K81" s="24"/>
      <c r="L81" s="23"/>
      <c r="M81" s="24"/>
      <c r="N81" s="24"/>
      <c r="O81" s="24"/>
      <c r="P81" s="26"/>
      <c r="Q81" s="51"/>
      <c r="R81" s="46"/>
      <c r="S81" s="51"/>
      <c r="T81" s="46"/>
      <c r="U81" s="46"/>
      <c r="V81" s="46"/>
      <c r="W81" s="46"/>
      <c r="X81" s="46"/>
      <c r="Y81" s="46"/>
      <c r="Z81" s="46"/>
      <c r="AA81" s="46"/>
      <c r="AB81" s="46"/>
      <c r="AC81" s="46"/>
      <c r="AD81" s="46"/>
      <c r="AE81" s="46"/>
    </row>
    <row r="82" ht="15.75" customHeight="1">
      <c r="A82" s="40" t="str">
        <f t="shared" si="4"/>
        <v/>
      </c>
      <c r="B82" s="40" t="str">
        <f t="shared" si="3"/>
        <v/>
      </c>
      <c r="C82" s="24"/>
      <c r="D82" s="23"/>
      <c r="E82" s="51"/>
      <c r="F82" s="51"/>
      <c r="G82" s="24"/>
      <c r="H82" s="24"/>
      <c r="I82" s="40" t="str">
        <f t="array" ref="I82">IF(G82="","",IFERROR(INDEX('Người sử dụng'!$H$5:$H$140,MATCH(G82,'Người sử dụng'!$C$5:$C$140,0)),"Chưa có trong DS"))</f>
        <v/>
      </c>
      <c r="J82" s="24"/>
      <c r="K82" s="24"/>
      <c r="L82" s="23"/>
      <c r="M82" s="24"/>
      <c r="N82" s="24"/>
      <c r="O82" s="24"/>
      <c r="P82" s="26"/>
      <c r="Q82" s="51"/>
      <c r="R82" s="46"/>
      <c r="S82" s="51"/>
      <c r="T82" s="46"/>
      <c r="U82" s="46"/>
      <c r="V82" s="46"/>
      <c r="W82" s="46"/>
      <c r="X82" s="46"/>
      <c r="Y82" s="46"/>
      <c r="Z82" s="46"/>
      <c r="AA82" s="46"/>
      <c r="AB82" s="46"/>
      <c r="AC82" s="46"/>
      <c r="AD82" s="46"/>
      <c r="AE82" s="46"/>
    </row>
    <row r="83" ht="15.75" customHeight="1">
      <c r="A83" s="40" t="str">
        <f t="shared" si="4"/>
        <v/>
      </c>
      <c r="B83" s="40" t="str">
        <f t="shared" si="3"/>
        <v/>
      </c>
      <c r="C83" s="24"/>
      <c r="D83" s="23"/>
      <c r="E83" s="51"/>
      <c r="F83" s="51"/>
      <c r="G83" s="24"/>
      <c r="H83" s="24"/>
      <c r="I83" s="40" t="str">
        <f t="array" ref="I83">IF(G83="","",IFERROR(INDEX('Người sử dụng'!$H$5:$H$140,MATCH(G83,'Người sử dụng'!$C$5:$C$140,0)),"Chưa có trong DS"))</f>
        <v/>
      </c>
      <c r="J83" s="24"/>
      <c r="K83" s="24"/>
      <c r="L83" s="23"/>
      <c r="M83" s="24"/>
      <c r="N83" s="24"/>
      <c r="O83" s="24"/>
      <c r="P83" s="26"/>
      <c r="Q83" s="51"/>
      <c r="R83" s="46"/>
      <c r="S83" s="51"/>
      <c r="T83" s="46"/>
      <c r="U83" s="46"/>
      <c r="V83" s="46"/>
      <c r="W83" s="46"/>
      <c r="X83" s="46"/>
      <c r="Y83" s="46"/>
      <c r="Z83" s="46"/>
      <c r="AA83" s="46"/>
      <c r="AB83" s="46"/>
      <c r="AC83" s="46"/>
      <c r="AD83" s="46"/>
      <c r="AE83" s="46"/>
    </row>
    <row r="84" ht="15.75" customHeight="1">
      <c r="A84" s="40" t="str">
        <f t="shared" si="4"/>
        <v/>
      </c>
      <c r="B84" s="40" t="str">
        <f t="shared" si="3"/>
        <v/>
      </c>
      <c r="C84" s="24"/>
      <c r="D84" s="23"/>
      <c r="E84" s="51"/>
      <c r="F84" s="51"/>
      <c r="G84" s="24"/>
      <c r="H84" s="24"/>
      <c r="I84" s="40" t="str">
        <f t="array" ref="I84">IF(G84="","",IFERROR(INDEX('Người sử dụng'!$H$5:$H$140,MATCH(G84,'Người sử dụng'!$C$5:$C$140,0)),"Chưa có trong DS"))</f>
        <v/>
      </c>
      <c r="J84" s="24"/>
      <c r="K84" s="24"/>
      <c r="L84" s="23"/>
      <c r="M84" s="24"/>
      <c r="N84" s="24"/>
      <c r="O84" s="24"/>
      <c r="P84" s="26"/>
      <c r="Q84" s="51"/>
      <c r="R84" s="46"/>
      <c r="S84" s="51"/>
      <c r="T84" s="46"/>
      <c r="U84" s="46"/>
      <c r="V84" s="46"/>
      <c r="W84" s="46"/>
      <c r="X84" s="46"/>
      <c r="Y84" s="46"/>
      <c r="Z84" s="46"/>
      <c r="AA84" s="46"/>
      <c r="AB84" s="46"/>
      <c r="AC84" s="46"/>
      <c r="AD84" s="46"/>
      <c r="AE84" s="46"/>
    </row>
    <row r="85" ht="15.75" customHeight="1">
      <c r="A85" s="40" t="str">
        <f t="shared" si="4"/>
        <v/>
      </c>
      <c r="B85" s="40" t="str">
        <f t="shared" si="3"/>
        <v/>
      </c>
      <c r="C85" s="24"/>
      <c r="D85" s="23"/>
      <c r="E85" s="51"/>
      <c r="F85" s="51"/>
      <c r="G85" s="24"/>
      <c r="H85" s="24"/>
      <c r="I85" s="40" t="str">
        <f t="array" ref="I85">IF(G85="","",IFERROR(INDEX('Người sử dụng'!$H$5:$H$140,MATCH(G85,'Người sử dụng'!$C$5:$C$140,0)),"Chưa có trong DS"))</f>
        <v/>
      </c>
      <c r="J85" s="24"/>
      <c r="K85" s="24"/>
      <c r="L85" s="23"/>
      <c r="M85" s="24"/>
      <c r="N85" s="24"/>
      <c r="O85" s="24"/>
      <c r="P85" s="26"/>
      <c r="Q85" s="51"/>
      <c r="R85" s="46"/>
      <c r="S85" s="51"/>
      <c r="T85" s="46"/>
      <c r="U85" s="46"/>
      <c r="V85" s="46"/>
      <c r="W85" s="46"/>
      <c r="X85" s="46"/>
      <c r="Y85" s="46"/>
      <c r="Z85" s="46"/>
      <c r="AA85" s="46"/>
      <c r="AB85" s="46"/>
      <c r="AC85" s="46"/>
      <c r="AD85" s="46"/>
      <c r="AE85" s="46"/>
    </row>
    <row r="86" ht="15.75" customHeight="1">
      <c r="A86" s="40" t="str">
        <f t="shared" si="4"/>
        <v/>
      </c>
      <c r="B86" s="40" t="str">
        <f t="shared" si="3"/>
        <v/>
      </c>
      <c r="C86" s="24"/>
      <c r="D86" s="23"/>
      <c r="E86" s="51"/>
      <c r="F86" s="51"/>
      <c r="G86" s="24"/>
      <c r="H86" s="24"/>
      <c r="I86" s="40" t="str">
        <f t="array" ref="I86">IF(G86="","",IFERROR(INDEX('Người sử dụng'!$H$5:$H$140,MATCH(G86,'Người sử dụng'!$C$5:$C$140,0)),"Chưa có trong DS"))</f>
        <v/>
      </c>
      <c r="J86" s="24"/>
      <c r="K86" s="24"/>
      <c r="L86" s="23"/>
      <c r="M86" s="24"/>
      <c r="N86" s="24"/>
      <c r="O86" s="24"/>
      <c r="P86" s="26"/>
      <c r="Q86" s="51"/>
      <c r="R86" s="46"/>
      <c r="S86" s="51"/>
      <c r="T86" s="46"/>
      <c r="U86" s="46"/>
      <c r="V86" s="46"/>
      <c r="W86" s="46"/>
      <c r="X86" s="46"/>
      <c r="Y86" s="46"/>
      <c r="Z86" s="46"/>
      <c r="AA86" s="46"/>
      <c r="AB86" s="46"/>
      <c r="AC86" s="46"/>
      <c r="AD86" s="46"/>
      <c r="AE86" s="46"/>
    </row>
    <row r="87" ht="15.75" customHeight="1">
      <c r="A87" s="40" t="str">
        <f t="shared" si="4"/>
        <v/>
      </c>
      <c r="B87" s="40" t="str">
        <f t="shared" si="3"/>
        <v/>
      </c>
      <c r="C87" s="24"/>
      <c r="D87" s="23"/>
      <c r="E87" s="51"/>
      <c r="F87" s="51"/>
      <c r="G87" s="24"/>
      <c r="H87" s="24"/>
      <c r="I87" s="40" t="str">
        <f t="array" ref="I87">IF(G87="","",IFERROR(INDEX('Người sử dụng'!$H$5:$H$140,MATCH(G87,'Người sử dụng'!$C$5:$C$140,0)),"Chưa có trong DS"))</f>
        <v/>
      </c>
      <c r="J87" s="24"/>
      <c r="K87" s="24"/>
      <c r="L87" s="23"/>
      <c r="M87" s="24"/>
      <c r="N87" s="24"/>
      <c r="O87" s="24"/>
      <c r="P87" s="26"/>
      <c r="Q87" s="51"/>
      <c r="R87" s="46"/>
      <c r="S87" s="51"/>
      <c r="T87" s="46"/>
      <c r="U87" s="46"/>
      <c r="V87" s="46"/>
      <c r="W87" s="46"/>
      <c r="X87" s="46"/>
      <c r="Y87" s="46"/>
      <c r="Z87" s="46"/>
      <c r="AA87" s="46"/>
      <c r="AB87" s="46"/>
      <c r="AC87" s="46"/>
      <c r="AD87" s="46"/>
      <c r="AE87" s="46"/>
    </row>
    <row r="88" ht="15.75" customHeight="1">
      <c r="A88" s="40" t="str">
        <f t="shared" si="4"/>
        <v/>
      </c>
      <c r="B88" s="40" t="str">
        <f t="shared" si="3"/>
        <v/>
      </c>
      <c r="C88" s="24"/>
      <c r="D88" s="23"/>
      <c r="E88" s="51"/>
      <c r="F88" s="51"/>
      <c r="G88" s="24"/>
      <c r="H88" s="24"/>
      <c r="I88" s="40" t="str">
        <f t="array" ref="I88">IF(G88="","",IFERROR(INDEX('Người sử dụng'!$H$5:$H$140,MATCH(G88,'Người sử dụng'!$C$5:$C$140,0)),"Chưa có trong DS"))</f>
        <v/>
      </c>
      <c r="J88" s="24"/>
      <c r="K88" s="24"/>
      <c r="L88" s="23"/>
      <c r="M88" s="24"/>
      <c r="N88" s="24"/>
      <c r="O88" s="24"/>
      <c r="P88" s="26"/>
      <c r="Q88" s="51"/>
      <c r="R88" s="46"/>
      <c r="S88" s="51"/>
      <c r="T88" s="46"/>
      <c r="U88" s="46"/>
      <c r="V88" s="46"/>
      <c r="W88" s="46"/>
      <c r="X88" s="46"/>
      <c r="Y88" s="46"/>
      <c r="Z88" s="46"/>
      <c r="AA88" s="46"/>
      <c r="AB88" s="46"/>
      <c r="AC88" s="46"/>
      <c r="AD88" s="46"/>
      <c r="AE88" s="46"/>
    </row>
    <row r="89" ht="15.75" customHeight="1">
      <c r="A89" s="40" t="str">
        <f t="shared" si="4"/>
        <v/>
      </c>
      <c r="B89" s="40" t="str">
        <f t="shared" si="3"/>
        <v/>
      </c>
      <c r="C89" s="24"/>
      <c r="D89" s="23"/>
      <c r="E89" s="51"/>
      <c r="F89" s="51"/>
      <c r="G89" s="24"/>
      <c r="H89" s="24"/>
      <c r="I89" s="40" t="str">
        <f t="array" ref="I89">IF(G89="","",IFERROR(INDEX('Người sử dụng'!$H$5:$H$140,MATCH(G89,'Người sử dụng'!$C$5:$C$140,0)),"Chưa có trong DS"))</f>
        <v/>
      </c>
      <c r="J89" s="24"/>
      <c r="K89" s="24"/>
      <c r="L89" s="23"/>
      <c r="M89" s="24"/>
      <c r="N89" s="24"/>
      <c r="O89" s="24"/>
      <c r="P89" s="26"/>
      <c r="Q89" s="51"/>
      <c r="R89" s="46"/>
      <c r="S89" s="51"/>
      <c r="T89" s="46"/>
      <c r="U89" s="46"/>
      <c r="V89" s="46"/>
      <c r="W89" s="46"/>
      <c r="X89" s="46"/>
      <c r="Y89" s="46"/>
      <c r="Z89" s="46"/>
      <c r="AA89" s="46"/>
      <c r="AB89" s="46"/>
      <c r="AC89" s="46"/>
      <c r="AD89" s="46"/>
      <c r="AE89" s="46"/>
    </row>
    <row r="90" ht="15.75" customHeight="1">
      <c r="A90" s="40" t="str">
        <f t="shared" si="4"/>
        <v/>
      </c>
      <c r="B90" s="40" t="str">
        <f t="shared" si="3"/>
        <v/>
      </c>
      <c r="C90" s="24"/>
      <c r="D90" s="23"/>
      <c r="E90" s="51"/>
      <c r="F90" s="51"/>
      <c r="G90" s="24"/>
      <c r="H90" s="24"/>
      <c r="I90" s="40" t="str">
        <f t="array" ref="I90">IF(G90="","",IFERROR(INDEX('Người sử dụng'!$H$5:$H$140,MATCH(G90,'Người sử dụng'!$C$5:$C$140,0)),"Chưa có trong DS"))</f>
        <v/>
      </c>
      <c r="J90" s="24"/>
      <c r="K90" s="24"/>
      <c r="L90" s="23"/>
      <c r="M90" s="24"/>
      <c r="N90" s="24"/>
      <c r="O90" s="24"/>
      <c r="P90" s="26"/>
      <c r="Q90" s="51"/>
      <c r="R90" s="46"/>
      <c r="S90" s="51"/>
      <c r="T90" s="46"/>
      <c r="U90" s="46"/>
      <c r="V90" s="46"/>
      <c r="W90" s="46"/>
      <c r="X90" s="46"/>
      <c r="Y90" s="46"/>
      <c r="Z90" s="46"/>
      <c r="AA90" s="46"/>
      <c r="AB90" s="46"/>
      <c r="AC90" s="46"/>
      <c r="AD90" s="46"/>
      <c r="AE90" s="46"/>
    </row>
    <row r="91" ht="15.75" customHeight="1">
      <c r="A91" s="40" t="str">
        <f t="shared" si="4"/>
        <v/>
      </c>
      <c r="B91" s="40" t="str">
        <f t="shared" si="3"/>
        <v/>
      </c>
      <c r="C91" s="24"/>
      <c r="D91" s="23"/>
      <c r="E91" s="51"/>
      <c r="F91" s="51"/>
      <c r="G91" s="24"/>
      <c r="H91" s="24"/>
      <c r="I91" s="40" t="str">
        <f t="array" ref="I91">IF(G91="","",IFERROR(INDEX('Người sử dụng'!$H$5:$H$140,MATCH(G91,'Người sử dụng'!$C$5:$C$140,0)),"Chưa có trong DS"))</f>
        <v/>
      </c>
      <c r="J91" s="24"/>
      <c r="K91" s="24"/>
      <c r="L91" s="23"/>
      <c r="M91" s="24"/>
      <c r="N91" s="24"/>
      <c r="O91" s="24"/>
      <c r="P91" s="26"/>
      <c r="Q91" s="51"/>
      <c r="R91" s="46"/>
      <c r="S91" s="51"/>
      <c r="T91" s="46"/>
      <c r="U91" s="46"/>
      <c r="V91" s="46"/>
      <c r="W91" s="46"/>
      <c r="X91" s="46"/>
      <c r="Y91" s="46"/>
      <c r="Z91" s="46"/>
      <c r="AA91" s="46"/>
      <c r="AB91" s="46"/>
      <c r="AC91" s="46"/>
      <c r="AD91" s="46"/>
      <c r="AE91" s="46"/>
    </row>
    <row r="92" ht="15.75" customHeight="1">
      <c r="A92" s="40" t="str">
        <f t="shared" si="4"/>
        <v/>
      </c>
      <c r="B92" s="40" t="str">
        <f t="shared" si="3"/>
        <v/>
      </c>
      <c r="C92" s="24"/>
      <c r="D92" s="23"/>
      <c r="E92" s="51"/>
      <c r="F92" s="51"/>
      <c r="G92" s="24"/>
      <c r="H92" s="24"/>
      <c r="I92" s="40" t="str">
        <f t="array" ref="I92">IF(G92="","",IFERROR(INDEX('Người sử dụng'!$H$5:$H$140,MATCH(G92,'Người sử dụng'!$C$5:$C$140,0)),"Chưa có trong DS"))</f>
        <v/>
      </c>
      <c r="J92" s="24"/>
      <c r="K92" s="24"/>
      <c r="L92" s="23"/>
      <c r="M92" s="24"/>
      <c r="N92" s="24"/>
      <c r="O92" s="24"/>
      <c r="P92" s="26"/>
      <c r="Q92" s="51"/>
      <c r="R92" s="46"/>
      <c r="S92" s="51"/>
      <c r="T92" s="46"/>
      <c r="U92" s="46"/>
      <c r="V92" s="46"/>
      <c r="W92" s="46"/>
      <c r="X92" s="46"/>
      <c r="Y92" s="46"/>
      <c r="Z92" s="46"/>
      <c r="AA92" s="46"/>
      <c r="AB92" s="46"/>
      <c r="AC92" s="46"/>
      <c r="AD92" s="46"/>
      <c r="AE92" s="46"/>
    </row>
    <row r="93" ht="15.75" customHeight="1">
      <c r="A93" s="40" t="str">
        <f t="shared" si="4"/>
        <v/>
      </c>
      <c r="B93" s="40" t="str">
        <f t="shared" si="3"/>
        <v/>
      </c>
      <c r="C93" s="24"/>
      <c r="D93" s="23"/>
      <c r="E93" s="51"/>
      <c r="F93" s="51"/>
      <c r="G93" s="24"/>
      <c r="H93" s="24"/>
      <c r="I93" s="40" t="str">
        <f t="array" ref="I93">IF(G93="","",IFERROR(INDEX('Người sử dụng'!$H$5:$H$140,MATCH(G93,'Người sử dụng'!$C$5:$C$140,0)),"Chưa có trong DS"))</f>
        <v/>
      </c>
      <c r="J93" s="24"/>
      <c r="K93" s="24"/>
      <c r="L93" s="23"/>
      <c r="M93" s="24"/>
      <c r="N93" s="24"/>
      <c r="O93" s="24"/>
      <c r="P93" s="26"/>
      <c r="Q93" s="51"/>
      <c r="R93" s="46"/>
      <c r="S93" s="51"/>
      <c r="T93" s="46"/>
      <c r="U93" s="46"/>
      <c r="V93" s="46"/>
      <c r="W93" s="46"/>
      <c r="X93" s="46"/>
      <c r="Y93" s="46"/>
      <c r="Z93" s="46"/>
      <c r="AA93" s="46"/>
      <c r="AB93" s="46"/>
      <c r="AC93" s="46"/>
      <c r="AD93" s="46"/>
      <c r="AE93" s="46"/>
    </row>
    <row r="94" ht="15.75" customHeight="1">
      <c r="A94" s="40" t="str">
        <f t="shared" si="4"/>
        <v/>
      </c>
      <c r="B94" s="40" t="str">
        <f t="shared" si="3"/>
        <v/>
      </c>
      <c r="C94" s="24"/>
      <c r="D94" s="23"/>
      <c r="E94" s="51"/>
      <c r="F94" s="51"/>
      <c r="G94" s="24"/>
      <c r="H94" s="24"/>
      <c r="I94" s="40" t="str">
        <f t="array" ref="I94">IF(G94="","",IFERROR(INDEX('Người sử dụng'!$H$5:$H$140,MATCH(G94,'Người sử dụng'!$C$5:$C$140,0)),"Chưa có trong DS"))</f>
        <v/>
      </c>
      <c r="J94" s="24"/>
      <c r="K94" s="24"/>
      <c r="L94" s="23"/>
      <c r="M94" s="24"/>
      <c r="N94" s="24"/>
      <c r="O94" s="24"/>
      <c r="P94" s="26"/>
      <c r="Q94" s="51"/>
      <c r="R94" s="46"/>
      <c r="S94" s="51"/>
      <c r="T94" s="46"/>
      <c r="U94" s="46"/>
      <c r="V94" s="46"/>
      <c r="W94" s="46"/>
      <c r="X94" s="46"/>
      <c r="Y94" s="46"/>
      <c r="Z94" s="46"/>
      <c r="AA94" s="46"/>
      <c r="AB94" s="46"/>
      <c r="AC94" s="46"/>
      <c r="AD94" s="46"/>
      <c r="AE94" s="46"/>
    </row>
    <row r="95" ht="15.75" customHeight="1">
      <c r="A95" s="40" t="str">
        <f t="shared" si="4"/>
        <v/>
      </c>
      <c r="B95" s="40" t="str">
        <f t="shared" si="3"/>
        <v/>
      </c>
      <c r="C95" s="24"/>
      <c r="D95" s="23"/>
      <c r="E95" s="51"/>
      <c r="F95" s="51"/>
      <c r="G95" s="24"/>
      <c r="H95" s="24"/>
      <c r="I95" s="40" t="str">
        <f t="array" ref="I95">IF(G95="","",IFERROR(INDEX('Người sử dụng'!$H$5:$H$140,MATCH(G95,'Người sử dụng'!$C$5:$C$140,0)),"Chưa có trong DS"))</f>
        <v/>
      </c>
      <c r="J95" s="24"/>
      <c r="K95" s="24"/>
      <c r="L95" s="23"/>
      <c r="M95" s="24"/>
      <c r="N95" s="24"/>
      <c r="O95" s="24"/>
      <c r="P95" s="26"/>
      <c r="Q95" s="51"/>
      <c r="R95" s="46"/>
      <c r="S95" s="51"/>
      <c r="T95" s="46"/>
      <c r="U95" s="46"/>
      <c r="V95" s="46"/>
      <c r="W95" s="46"/>
      <c r="X95" s="46"/>
      <c r="Y95" s="46"/>
      <c r="Z95" s="46"/>
      <c r="AA95" s="46"/>
      <c r="AB95" s="46"/>
      <c r="AC95" s="46"/>
      <c r="AD95" s="46"/>
      <c r="AE95" s="46"/>
    </row>
    <row r="96" ht="15.75" customHeight="1">
      <c r="A96" s="40" t="str">
        <f t="shared" si="4"/>
        <v/>
      </c>
      <c r="B96" s="40" t="str">
        <f t="shared" si="3"/>
        <v/>
      </c>
      <c r="C96" s="24"/>
      <c r="D96" s="23"/>
      <c r="E96" s="51"/>
      <c r="F96" s="51"/>
      <c r="G96" s="24"/>
      <c r="H96" s="24"/>
      <c r="I96" s="40" t="str">
        <f t="array" ref="I96">IF(G96="","",IFERROR(INDEX('Người sử dụng'!$H$5:$H$140,MATCH(G96,'Người sử dụng'!$C$5:$C$140,0)),"Chưa có trong DS"))</f>
        <v/>
      </c>
      <c r="J96" s="24"/>
      <c r="K96" s="24"/>
      <c r="L96" s="23"/>
      <c r="M96" s="24"/>
      <c r="N96" s="24"/>
      <c r="O96" s="24"/>
      <c r="P96" s="26"/>
      <c r="Q96" s="51"/>
      <c r="R96" s="46"/>
      <c r="S96" s="51"/>
      <c r="T96" s="46"/>
      <c r="U96" s="46"/>
      <c r="V96" s="46"/>
      <c r="W96" s="46"/>
      <c r="X96" s="46"/>
      <c r="Y96" s="46"/>
      <c r="Z96" s="46"/>
      <c r="AA96" s="46"/>
      <c r="AB96" s="46"/>
      <c r="AC96" s="46"/>
      <c r="AD96" s="46"/>
      <c r="AE96" s="46"/>
    </row>
    <row r="97" ht="15.75" customHeight="1">
      <c r="A97" s="40" t="str">
        <f t="shared" si="4"/>
        <v/>
      </c>
      <c r="B97" s="40" t="str">
        <f t="shared" si="3"/>
        <v/>
      </c>
      <c r="C97" s="24"/>
      <c r="D97" s="23"/>
      <c r="E97" s="51"/>
      <c r="F97" s="51"/>
      <c r="G97" s="24"/>
      <c r="H97" s="24"/>
      <c r="I97" s="40" t="str">
        <f t="array" ref="I97">IF(G97="","",IFERROR(INDEX('Người sử dụng'!$H$5:$H$140,MATCH(G97,'Người sử dụng'!$C$5:$C$140,0)),"Chưa có trong DS"))</f>
        <v/>
      </c>
      <c r="J97" s="24"/>
      <c r="K97" s="24"/>
      <c r="L97" s="23"/>
      <c r="M97" s="24"/>
      <c r="N97" s="24"/>
      <c r="O97" s="24"/>
      <c r="P97" s="26"/>
      <c r="Q97" s="51"/>
      <c r="R97" s="46"/>
      <c r="S97" s="51"/>
      <c r="T97" s="46"/>
      <c r="U97" s="46"/>
      <c r="V97" s="46"/>
      <c r="W97" s="46"/>
      <c r="X97" s="46"/>
      <c r="Y97" s="46"/>
      <c r="Z97" s="46"/>
      <c r="AA97" s="46"/>
      <c r="AB97" s="46"/>
      <c r="AC97" s="46"/>
      <c r="AD97" s="46"/>
      <c r="AE97" s="46"/>
    </row>
    <row r="98" ht="15.75" customHeight="1">
      <c r="A98" s="40" t="str">
        <f t="shared" si="4"/>
        <v/>
      </c>
      <c r="B98" s="40" t="str">
        <f t="shared" si="3"/>
        <v/>
      </c>
      <c r="C98" s="24"/>
      <c r="D98" s="23"/>
      <c r="E98" s="51"/>
      <c r="F98" s="51"/>
      <c r="G98" s="24"/>
      <c r="H98" s="24"/>
      <c r="I98" s="40" t="str">
        <f t="array" ref="I98">IF(G98="","",IFERROR(INDEX('Người sử dụng'!$H$5:$H$140,MATCH(G98,'Người sử dụng'!$C$5:$C$140,0)),"Chưa có trong DS"))</f>
        <v/>
      </c>
      <c r="J98" s="24"/>
      <c r="K98" s="24"/>
      <c r="L98" s="23"/>
      <c r="M98" s="24"/>
      <c r="N98" s="24"/>
      <c r="O98" s="24"/>
      <c r="P98" s="26"/>
      <c r="Q98" s="51"/>
      <c r="R98" s="46"/>
      <c r="S98" s="51"/>
      <c r="T98" s="46"/>
      <c r="U98" s="46"/>
      <c r="V98" s="46"/>
      <c r="W98" s="46"/>
      <c r="X98" s="46"/>
      <c r="Y98" s="46"/>
      <c r="Z98" s="46"/>
      <c r="AA98" s="46"/>
      <c r="AB98" s="46"/>
      <c r="AC98" s="46"/>
      <c r="AD98" s="46"/>
      <c r="AE98" s="46"/>
    </row>
    <row r="99" ht="15.75" customHeight="1">
      <c r="A99" s="40" t="str">
        <f t="shared" si="4"/>
        <v/>
      </c>
      <c r="B99" s="40" t="str">
        <f t="shared" si="3"/>
        <v/>
      </c>
      <c r="C99" s="24"/>
      <c r="D99" s="23"/>
      <c r="E99" s="51"/>
      <c r="F99" s="51"/>
      <c r="G99" s="24"/>
      <c r="H99" s="24"/>
      <c r="I99" s="40" t="str">
        <f t="array" ref="I99">IF(G99="","",IFERROR(INDEX('Người sử dụng'!$H$5:$H$140,MATCH(G99,'Người sử dụng'!$C$5:$C$140,0)),"Chưa có trong DS"))</f>
        <v/>
      </c>
      <c r="J99" s="24"/>
      <c r="K99" s="24"/>
      <c r="L99" s="23"/>
      <c r="M99" s="24"/>
      <c r="N99" s="24"/>
      <c r="O99" s="24"/>
      <c r="P99" s="26"/>
      <c r="Q99" s="51"/>
      <c r="R99" s="46"/>
      <c r="S99" s="51"/>
      <c r="T99" s="46"/>
      <c r="U99" s="46"/>
      <c r="V99" s="46"/>
      <c r="W99" s="46"/>
      <c r="X99" s="46"/>
      <c r="Y99" s="46"/>
      <c r="Z99" s="46"/>
      <c r="AA99" s="46"/>
      <c r="AB99" s="46"/>
      <c r="AC99" s="46"/>
      <c r="AD99" s="46"/>
      <c r="AE99" s="46"/>
    </row>
    <row r="100" ht="15.75" customHeight="1">
      <c r="A100" s="40" t="str">
        <f t="shared" si="4"/>
        <v/>
      </c>
      <c r="B100" s="40" t="str">
        <f t="shared" si="3"/>
        <v/>
      </c>
      <c r="C100" s="24"/>
      <c r="D100" s="23"/>
      <c r="E100" s="51"/>
      <c r="F100" s="51"/>
      <c r="G100" s="24"/>
      <c r="H100" s="24"/>
      <c r="I100" s="40" t="str">
        <f t="array" ref="I100">IF(G100="","",IFERROR(INDEX('Người sử dụng'!$H$5:$H$140,MATCH(G100,'Người sử dụng'!$C$5:$C$140,0)),"Chưa có trong DS"))</f>
        <v/>
      </c>
      <c r="J100" s="24"/>
      <c r="K100" s="24"/>
      <c r="L100" s="23"/>
      <c r="M100" s="24"/>
      <c r="N100" s="24"/>
      <c r="O100" s="24"/>
      <c r="P100" s="26"/>
      <c r="Q100" s="51"/>
      <c r="R100" s="46"/>
      <c r="S100" s="51"/>
      <c r="T100" s="46"/>
      <c r="U100" s="46"/>
      <c r="V100" s="46"/>
      <c r="W100" s="46"/>
      <c r="X100" s="46"/>
      <c r="Y100" s="46"/>
      <c r="Z100" s="46"/>
      <c r="AA100" s="46"/>
      <c r="AB100" s="46"/>
      <c r="AC100" s="46"/>
      <c r="AD100" s="46"/>
      <c r="AE100" s="46"/>
    </row>
    <row r="101" ht="15.75" customHeight="1">
      <c r="A101" s="40" t="str">
        <f t="shared" si="4"/>
        <v/>
      </c>
      <c r="B101" s="40" t="str">
        <f t="shared" si="3"/>
        <v/>
      </c>
      <c r="C101" s="24"/>
      <c r="D101" s="23"/>
      <c r="E101" s="51"/>
      <c r="F101" s="51"/>
      <c r="G101" s="24"/>
      <c r="H101" s="24"/>
      <c r="I101" s="40" t="str">
        <f t="array" ref="I101">IF(G101="","",IFERROR(INDEX('Người sử dụng'!$H$5:$H$140,MATCH(G101,'Người sử dụng'!$C$5:$C$140,0)),"Chưa có trong DS"))</f>
        <v/>
      </c>
      <c r="J101" s="24"/>
      <c r="K101" s="24"/>
      <c r="L101" s="23"/>
      <c r="M101" s="24"/>
      <c r="N101" s="24"/>
      <c r="O101" s="24"/>
      <c r="P101" s="26"/>
      <c r="Q101" s="51"/>
      <c r="R101" s="46"/>
      <c r="S101" s="51"/>
      <c r="T101" s="46"/>
      <c r="U101" s="46"/>
      <c r="V101" s="46"/>
      <c r="W101" s="46"/>
      <c r="X101" s="46"/>
      <c r="Y101" s="46"/>
      <c r="Z101" s="46"/>
      <c r="AA101" s="46"/>
      <c r="AB101" s="46"/>
      <c r="AC101" s="46"/>
      <c r="AD101" s="46"/>
      <c r="AE101" s="46"/>
    </row>
    <row r="102" ht="15.75" customHeight="1">
      <c r="A102" s="40" t="str">
        <f t="shared" si="4"/>
        <v/>
      </c>
      <c r="B102" s="40" t="str">
        <f t="shared" si="3"/>
        <v/>
      </c>
      <c r="C102" s="24"/>
      <c r="D102" s="23"/>
      <c r="E102" s="51"/>
      <c r="F102" s="51"/>
      <c r="G102" s="24"/>
      <c r="H102" s="24"/>
      <c r="I102" s="40" t="str">
        <f t="array" ref="I102">IF(G102="","",IFERROR(INDEX('Người sử dụng'!$H$5:$H$140,MATCH(G102,'Người sử dụng'!$C$5:$C$140,0)),"Chưa có trong DS"))</f>
        <v/>
      </c>
      <c r="J102" s="24"/>
      <c r="K102" s="24"/>
      <c r="L102" s="23"/>
      <c r="M102" s="24"/>
      <c r="N102" s="24"/>
      <c r="O102" s="24"/>
      <c r="P102" s="26"/>
      <c r="Q102" s="51"/>
      <c r="R102" s="46"/>
      <c r="S102" s="51"/>
      <c r="T102" s="46"/>
      <c r="U102" s="46"/>
      <c r="V102" s="46"/>
      <c r="W102" s="46"/>
      <c r="X102" s="46"/>
      <c r="Y102" s="46"/>
      <c r="Z102" s="46"/>
      <c r="AA102" s="46"/>
      <c r="AB102" s="46"/>
      <c r="AC102" s="46"/>
      <c r="AD102" s="46"/>
      <c r="AE102" s="46"/>
    </row>
    <row r="103" ht="15.75" customHeight="1">
      <c r="A103" s="40" t="str">
        <f t="shared" si="4"/>
        <v/>
      </c>
      <c r="B103" s="40" t="str">
        <f t="shared" si="3"/>
        <v/>
      </c>
      <c r="C103" s="24"/>
      <c r="D103" s="23"/>
      <c r="E103" s="51"/>
      <c r="F103" s="51"/>
      <c r="G103" s="24"/>
      <c r="H103" s="24"/>
      <c r="I103" s="40" t="str">
        <f t="array" ref="I103">IF(G103="","",IFERROR(INDEX('Người sử dụng'!$H$5:$H$140,MATCH(G103,'Người sử dụng'!$C$5:$C$140,0)),"Chưa có trong DS"))</f>
        <v/>
      </c>
      <c r="J103" s="24"/>
      <c r="K103" s="24"/>
      <c r="L103" s="23"/>
      <c r="M103" s="24"/>
      <c r="N103" s="24"/>
      <c r="O103" s="24"/>
      <c r="P103" s="26"/>
      <c r="Q103" s="51"/>
      <c r="R103" s="46"/>
      <c r="S103" s="51"/>
      <c r="T103" s="46"/>
      <c r="U103" s="46"/>
      <c r="V103" s="46"/>
      <c r="W103" s="46"/>
      <c r="X103" s="46"/>
      <c r="Y103" s="46"/>
      <c r="Z103" s="46"/>
      <c r="AA103" s="46"/>
      <c r="AB103" s="46"/>
      <c r="AC103" s="46"/>
      <c r="AD103" s="46"/>
      <c r="AE103" s="46"/>
    </row>
    <row r="104" ht="15.75" customHeight="1">
      <c r="A104" s="40" t="str">
        <f t="shared" si="4"/>
        <v/>
      </c>
      <c r="B104" s="40" t="str">
        <f t="shared" si="3"/>
        <v/>
      </c>
      <c r="C104" s="24"/>
      <c r="D104" s="23"/>
      <c r="E104" s="51"/>
      <c r="F104" s="51"/>
      <c r="G104" s="24"/>
      <c r="H104" s="24"/>
      <c r="I104" s="40" t="str">
        <f t="array" ref="I104">IF(G104="","",IFERROR(INDEX('Người sử dụng'!$H$5:$H$140,MATCH(G104,'Người sử dụng'!$C$5:$C$140,0)),"Chưa có trong DS"))</f>
        <v/>
      </c>
      <c r="J104" s="24"/>
      <c r="K104" s="24"/>
      <c r="L104" s="23"/>
      <c r="M104" s="24"/>
      <c r="N104" s="24"/>
      <c r="O104" s="24"/>
      <c r="P104" s="26"/>
      <c r="Q104" s="51"/>
      <c r="R104" s="46"/>
      <c r="S104" s="51"/>
      <c r="T104" s="46"/>
      <c r="U104" s="46"/>
      <c r="V104" s="46"/>
      <c r="W104" s="46"/>
      <c r="X104" s="46"/>
      <c r="Y104" s="46"/>
      <c r="Z104" s="46"/>
      <c r="AA104" s="46"/>
      <c r="AB104" s="46"/>
      <c r="AC104" s="46"/>
      <c r="AD104" s="46"/>
      <c r="AE104" s="46"/>
    </row>
    <row r="105" ht="15.75" customHeight="1">
      <c r="A105" s="40" t="str">
        <f t="shared" si="4"/>
        <v/>
      </c>
      <c r="B105" s="40" t="str">
        <f t="shared" si="3"/>
        <v/>
      </c>
      <c r="C105" s="24"/>
      <c r="D105" s="23"/>
      <c r="E105" s="51"/>
      <c r="F105" s="51"/>
      <c r="G105" s="24"/>
      <c r="H105" s="24"/>
      <c r="I105" s="40" t="str">
        <f t="array" ref="I105">IF(G105="","",IFERROR(INDEX('Người sử dụng'!$H$5:$H$140,MATCH(G105,'Người sử dụng'!$C$5:$C$140,0)),"Chưa có trong DS"))</f>
        <v/>
      </c>
      <c r="J105" s="24"/>
      <c r="K105" s="24"/>
      <c r="L105" s="23"/>
      <c r="M105" s="24"/>
      <c r="N105" s="24"/>
      <c r="O105" s="24"/>
      <c r="P105" s="26"/>
      <c r="Q105" s="51"/>
      <c r="R105" s="46"/>
      <c r="S105" s="51"/>
      <c r="T105" s="46"/>
      <c r="U105" s="46"/>
      <c r="V105" s="46"/>
      <c r="W105" s="46"/>
      <c r="X105" s="46"/>
      <c r="Y105" s="46"/>
      <c r="Z105" s="46"/>
      <c r="AA105" s="46"/>
      <c r="AB105" s="46"/>
      <c r="AC105" s="46"/>
      <c r="AD105" s="46"/>
      <c r="AE105" s="46"/>
    </row>
    <row r="106" ht="15.75" customHeight="1">
      <c r="A106" s="40" t="str">
        <f t="shared" si="4"/>
        <v/>
      </c>
      <c r="B106" s="40" t="str">
        <f t="shared" si="3"/>
        <v/>
      </c>
      <c r="C106" s="24"/>
      <c r="D106" s="23"/>
      <c r="E106" s="51"/>
      <c r="F106" s="51"/>
      <c r="G106" s="24"/>
      <c r="H106" s="24"/>
      <c r="I106" s="40" t="str">
        <f t="array" ref="I106">IF(G106="","",IFERROR(INDEX('Người sử dụng'!$H$5:$H$140,MATCH(G106,'Người sử dụng'!$C$5:$C$140,0)),"Chưa có trong DS"))</f>
        <v/>
      </c>
      <c r="J106" s="24"/>
      <c r="K106" s="24"/>
      <c r="L106" s="23"/>
      <c r="M106" s="24"/>
      <c r="N106" s="24"/>
      <c r="O106" s="24"/>
      <c r="P106" s="26"/>
      <c r="Q106" s="51"/>
      <c r="R106" s="46"/>
      <c r="S106" s="51"/>
      <c r="T106" s="46"/>
      <c r="U106" s="46"/>
      <c r="V106" s="46"/>
      <c r="W106" s="46"/>
      <c r="X106" s="46"/>
      <c r="Y106" s="46"/>
      <c r="Z106" s="46"/>
      <c r="AA106" s="46"/>
      <c r="AB106" s="46"/>
      <c r="AC106" s="46"/>
      <c r="AD106" s="46"/>
      <c r="AE106" s="46"/>
    </row>
    <row r="107" ht="15.75" customHeight="1">
      <c r="A107" s="40" t="str">
        <f t="shared" si="4"/>
        <v/>
      </c>
      <c r="B107" s="40" t="str">
        <f t="shared" si="3"/>
        <v/>
      </c>
      <c r="C107" s="24"/>
      <c r="D107" s="23"/>
      <c r="E107" s="51"/>
      <c r="F107" s="51"/>
      <c r="G107" s="24"/>
      <c r="H107" s="24"/>
      <c r="I107" s="40" t="str">
        <f t="array" ref="I107">IF(G107="","",IFERROR(INDEX('Người sử dụng'!$H$5:$H$140,MATCH(G107,'Người sử dụng'!$C$5:$C$140,0)),"Chưa có trong DS"))</f>
        <v/>
      </c>
      <c r="J107" s="24"/>
      <c r="K107" s="24"/>
      <c r="L107" s="23"/>
      <c r="M107" s="24"/>
      <c r="N107" s="24"/>
      <c r="O107" s="24"/>
      <c r="P107" s="26"/>
      <c r="Q107" s="51"/>
      <c r="R107" s="46"/>
      <c r="S107" s="51"/>
      <c r="T107" s="46"/>
      <c r="U107" s="46"/>
      <c r="V107" s="46"/>
      <c r="W107" s="46"/>
      <c r="X107" s="46"/>
      <c r="Y107" s="46"/>
      <c r="Z107" s="46"/>
      <c r="AA107" s="46"/>
      <c r="AB107" s="46"/>
      <c r="AC107" s="46"/>
      <c r="AD107" s="46"/>
      <c r="AE107" s="46"/>
    </row>
    <row r="108" ht="15.75" customHeight="1">
      <c r="A108" s="40" t="str">
        <f t="shared" si="4"/>
        <v/>
      </c>
      <c r="B108" s="40" t="str">
        <f t="shared" si="3"/>
        <v/>
      </c>
      <c r="C108" s="24"/>
      <c r="D108" s="23"/>
      <c r="E108" s="51"/>
      <c r="F108" s="51"/>
      <c r="G108" s="24"/>
      <c r="H108" s="24"/>
      <c r="I108" s="40" t="str">
        <f t="array" ref="I108">IF(G108="","",IFERROR(INDEX('Người sử dụng'!$H$5:$H$140,MATCH(G108,'Người sử dụng'!$C$5:$C$140,0)),"Chưa có trong DS"))</f>
        <v/>
      </c>
      <c r="J108" s="24"/>
      <c r="K108" s="24"/>
      <c r="L108" s="23"/>
      <c r="M108" s="24"/>
      <c r="N108" s="24"/>
      <c r="O108" s="24"/>
      <c r="P108" s="26"/>
      <c r="Q108" s="51"/>
      <c r="R108" s="46"/>
      <c r="S108" s="51"/>
      <c r="T108" s="46"/>
      <c r="U108" s="46"/>
      <c r="V108" s="46"/>
      <c r="W108" s="46"/>
      <c r="X108" s="46"/>
      <c r="Y108" s="46"/>
      <c r="Z108" s="46"/>
      <c r="AA108" s="46"/>
      <c r="AB108" s="46"/>
      <c r="AC108" s="46"/>
      <c r="AD108" s="46"/>
      <c r="AE108" s="46"/>
    </row>
    <row r="109" ht="15.75" customHeight="1">
      <c r="A109" s="40" t="str">
        <f t="shared" si="4"/>
        <v/>
      </c>
      <c r="B109" s="40" t="str">
        <f t="shared" si="3"/>
        <v/>
      </c>
      <c r="C109" s="24"/>
      <c r="D109" s="23"/>
      <c r="E109" s="51"/>
      <c r="F109" s="51"/>
      <c r="G109" s="24"/>
      <c r="H109" s="24"/>
      <c r="I109" s="40" t="str">
        <f t="array" ref="I109">IF(G109="","",IFERROR(INDEX('Người sử dụng'!$H$5:$H$140,MATCH(G109,'Người sử dụng'!$C$5:$C$140,0)),"Chưa có trong DS"))</f>
        <v/>
      </c>
      <c r="J109" s="24"/>
      <c r="K109" s="24"/>
      <c r="L109" s="23"/>
      <c r="M109" s="24"/>
      <c r="N109" s="24"/>
      <c r="O109" s="24"/>
      <c r="P109" s="26"/>
      <c r="Q109" s="51"/>
      <c r="R109" s="46"/>
      <c r="S109" s="51"/>
      <c r="T109" s="46"/>
      <c r="U109" s="46"/>
      <c r="V109" s="46"/>
      <c r="W109" s="46"/>
      <c r="X109" s="46"/>
      <c r="Y109" s="46"/>
      <c r="Z109" s="46"/>
      <c r="AA109" s="46"/>
      <c r="AB109" s="46"/>
      <c r="AC109" s="46"/>
      <c r="AD109" s="46"/>
      <c r="AE109" s="46"/>
    </row>
    <row r="110" ht="15.75" customHeight="1">
      <c r="A110" s="40" t="str">
        <f t="shared" si="4"/>
        <v/>
      </c>
      <c r="B110" s="40" t="str">
        <f t="shared" si="3"/>
        <v/>
      </c>
      <c r="C110" s="24"/>
      <c r="D110" s="23"/>
      <c r="E110" s="51"/>
      <c r="F110" s="51"/>
      <c r="G110" s="24"/>
      <c r="H110" s="24"/>
      <c r="I110" s="40" t="str">
        <f t="array" ref="I110">IF(G110="","",IFERROR(INDEX('Người sử dụng'!$H$5:$H$140,MATCH(G110,'Người sử dụng'!$C$5:$C$140,0)),"Chưa có trong DS"))</f>
        <v/>
      </c>
      <c r="J110" s="24"/>
      <c r="K110" s="24"/>
      <c r="L110" s="23"/>
      <c r="M110" s="24"/>
      <c r="N110" s="24"/>
      <c r="O110" s="24"/>
      <c r="P110" s="26"/>
      <c r="Q110" s="51"/>
      <c r="R110" s="46"/>
      <c r="S110" s="51"/>
      <c r="T110" s="46"/>
      <c r="U110" s="46"/>
      <c r="V110" s="46"/>
      <c r="W110" s="46"/>
      <c r="X110" s="46"/>
      <c r="Y110" s="46"/>
      <c r="Z110" s="46"/>
      <c r="AA110" s="46"/>
      <c r="AB110" s="46"/>
      <c r="AC110" s="46"/>
      <c r="AD110" s="46"/>
      <c r="AE110" s="46"/>
    </row>
    <row r="111" ht="15.75" customHeight="1">
      <c r="A111" s="40" t="str">
        <f t="shared" si="4"/>
        <v/>
      </c>
      <c r="B111" s="40" t="str">
        <f t="shared" si="3"/>
        <v/>
      </c>
      <c r="C111" s="24"/>
      <c r="D111" s="23"/>
      <c r="E111" s="51"/>
      <c r="F111" s="51"/>
      <c r="G111" s="24"/>
      <c r="H111" s="24"/>
      <c r="I111" s="40" t="str">
        <f t="array" ref="I111">IF(G111="","",IFERROR(INDEX('Người sử dụng'!$H$5:$H$140,MATCH(G111,'Người sử dụng'!$C$5:$C$140,0)),"Chưa có trong DS"))</f>
        <v/>
      </c>
      <c r="J111" s="24"/>
      <c r="K111" s="24"/>
      <c r="L111" s="23"/>
      <c r="M111" s="24"/>
      <c r="N111" s="24"/>
      <c r="O111" s="24"/>
      <c r="P111" s="26"/>
      <c r="Q111" s="51"/>
      <c r="R111" s="46"/>
      <c r="S111" s="51"/>
      <c r="T111" s="46"/>
      <c r="U111" s="46"/>
      <c r="V111" s="46"/>
      <c r="W111" s="46"/>
      <c r="X111" s="46"/>
      <c r="Y111" s="46"/>
      <c r="Z111" s="46"/>
      <c r="AA111" s="46"/>
      <c r="AB111" s="46"/>
      <c r="AC111" s="46"/>
      <c r="AD111" s="46"/>
      <c r="AE111" s="46"/>
    </row>
    <row r="112" ht="15.75" customHeight="1">
      <c r="A112" s="40" t="str">
        <f t="shared" si="4"/>
        <v/>
      </c>
      <c r="B112" s="40" t="str">
        <f t="shared" si="3"/>
        <v/>
      </c>
      <c r="C112" s="24"/>
      <c r="D112" s="23"/>
      <c r="E112" s="51"/>
      <c r="F112" s="51"/>
      <c r="G112" s="24"/>
      <c r="H112" s="24"/>
      <c r="I112" s="40" t="str">
        <f t="array" ref="I112">IF(G112="","",IFERROR(INDEX('Người sử dụng'!$H$5:$H$140,MATCH(G112,'Người sử dụng'!$C$5:$C$140,0)),"Chưa có trong DS"))</f>
        <v/>
      </c>
      <c r="J112" s="24"/>
      <c r="K112" s="24"/>
      <c r="L112" s="23"/>
      <c r="M112" s="24"/>
      <c r="N112" s="24"/>
      <c r="O112" s="24"/>
      <c r="P112" s="26"/>
      <c r="Q112" s="51"/>
      <c r="R112" s="46"/>
      <c r="S112" s="51"/>
      <c r="T112" s="46"/>
      <c r="U112" s="46"/>
      <c r="V112" s="46"/>
      <c r="W112" s="46"/>
      <c r="X112" s="46"/>
      <c r="Y112" s="46"/>
      <c r="Z112" s="46"/>
      <c r="AA112" s="46"/>
      <c r="AB112" s="46"/>
      <c r="AC112" s="46"/>
      <c r="AD112" s="46"/>
      <c r="AE112" s="46"/>
    </row>
    <row r="113" ht="15.75" customHeight="1">
      <c r="A113" s="40" t="str">
        <f t="shared" si="4"/>
        <v/>
      </c>
      <c r="B113" s="40" t="str">
        <f t="shared" si="3"/>
        <v/>
      </c>
      <c r="C113" s="24"/>
      <c r="D113" s="23"/>
      <c r="E113" s="51"/>
      <c r="F113" s="51"/>
      <c r="G113" s="24"/>
      <c r="H113" s="24"/>
      <c r="I113" s="40" t="str">
        <f t="array" ref="I113">IF(G113="","",IFERROR(INDEX('Người sử dụng'!$H$5:$H$140,MATCH(G113,'Người sử dụng'!$C$5:$C$140,0)),"Chưa có trong DS"))</f>
        <v/>
      </c>
      <c r="J113" s="24"/>
      <c r="K113" s="24"/>
      <c r="L113" s="23"/>
      <c r="M113" s="24"/>
      <c r="N113" s="24"/>
      <c r="O113" s="24"/>
      <c r="P113" s="26"/>
      <c r="Q113" s="51"/>
      <c r="R113" s="46"/>
      <c r="S113" s="51"/>
      <c r="T113" s="46"/>
      <c r="U113" s="46"/>
      <c r="V113" s="46"/>
      <c r="W113" s="46"/>
      <c r="X113" s="46"/>
      <c r="Y113" s="46"/>
      <c r="Z113" s="46"/>
      <c r="AA113" s="46"/>
      <c r="AB113" s="46"/>
      <c r="AC113" s="46"/>
      <c r="AD113" s="46"/>
      <c r="AE113" s="46"/>
    </row>
    <row r="114" ht="15.75" customHeight="1">
      <c r="A114" s="40" t="str">
        <f t="shared" si="4"/>
        <v/>
      </c>
      <c r="B114" s="40" t="str">
        <f t="shared" si="3"/>
        <v/>
      </c>
      <c r="C114" s="24"/>
      <c r="D114" s="23"/>
      <c r="E114" s="51"/>
      <c r="F114" s="51"/>
      <c r="G114" s="24"/>
      <c r="H114" s="24"/>
      <c r="I114" s="40" t="str">
        <f t="array" ref="I114">IF(G114="","",IFERROR(INDEX('Người sử dụng'!$H$5:$H$140,MATCH(G114,'Người sử dụng'!$C$5:$C$140,0)),"Chưa có trong DS"))</f>
        <v/>
      </c>
      <c r="J114" s="24"/>
      <c r="K114" s="24"/>
      <c r="L114" s="23"/>
      <c r="M114" s="24"/>
      <c r="N114" s="24"/>
      <c r="O114" s="24"/>
      <c r="P114" s="26"/>
      <c r="Q114" s="51"/>
      <c r="R114" s="46"/>
      <c r="S114" s="51"/>
      <c r="T114" s="46"/>
      <c r="U114" s="46"/>
      <c r="V114" s="46"/>
      <c r="W114" s="46"/>
      <c r="X114" s="46"/>
      <c r="Y114" s="46"/>
      <c r="Z114" s="46"/>
      <c r="AA114" s="46"/>
      <c r="AB114" s="46"/>
      <c r="AC114" s="46"/>
      <c r="AD114" s="46"/>
      <c r="AE114" s="46"/>
    </row>
    <row r="115" ht="15.75" customHeight="1">
      <c r="A115" s="40" t="str">
        <f t="shared" si="4"/>
        <v/>
      </c>
      <c r="B115" s="40" t="str">
        <f t="shared" si="3"/>
        <v/>
      </c>
      <c r="C115" s="24"/>
      <c r="D115" s="23"/>
      <c r="E115" s="51"/>
      <c r="F115" s="51"/>
      <c r="G115" s="24"/>
      <c r="H115" s="24"/>
      <c r="I115" s="40" t="str">
        <f t="array" ref="I115">IF(G115="","",IFERROR(INDEX('Người sử dụng'!$H$5:$H$140,MATCH(G115,'Người sử dụng'!$C$5:$C$140,0)),"Chưa có trong DS"))</f>
        <v/>
      </c>
      <c r="J115" s="24"/>
      <c r="K115" s="24"/>
      <c r="L115" s="23"/>
      <c r="M115" s="24"/>
      <c r="N115" s="24"/>
      <c r="O115" s="24"/>
      <c r="P115" s="26"/>
      <c r="Q115" s="51"/>
      <c r="R115" s="46"/>
      <c r="S115" s="51"/>
      <c r="T115" s="46"/>
      <c r="U115" s="46"/>
      <c r="V115" s="46"/>
      <c r="W115" s="46"/>
      <c r="X115" s="46"/>
      <c r="Y115" s="46"/>
      <c r="Z115" s="46"/>
      <c r="AA115" s="46"/>
      <c r="AB115" s="46"/>
      <c r="AC115" s="46"/>
      <c r="AD115" s="46"/>
      <c r="AE115" s="46"/>
    </row>
    <row r="116" ht="15.75" customHeight="1">
      <c r="A116" s="40" t="str">
        <f t="shared" si="4"/>
        <v/>
      </c>
      <c r="B116" s="40" t="str">
        <f t="shared" si="3"/>
        <v/>
      </c>
      <c r="C116" s="24"/>
      <c r="D116" s="23"/>
      <c r="E116" s="51"/>
      <c r="F116" s="51"/>
      <c r="G116" s="24"/>
      <c r="H116" s="24"/>
      <c r="I116" s="40" t="str">
        <f t="array" ref="I116">IF(G116="","",IFERROR(INDEX('Người sử dụng'!$H$5:$H$140,MATCH(G116,'Người sử dụng'!$C$5:$C$140,0)),"Chưa có trong DS"))</f>
        <v/>
      </c>
      <c r="J116" s="24"/>
      <c r="K116" s="24"/>
      <c r="L116" s="23"/>
      <c r="M116" s="24"/>
      <c r="N116" s="24"/>
      <c r="O116" s="24"/>
      <c r="P116" s="26"/>
      <c r="Q116" s="51"/>
      <c r="R116" s="46"/>
      <c r="S116" s="51"/>
      <c r="T116" s="46"/>
      <c r="U116" s="46"/>
      <c r="V116" s="46"/>
      <c r="W116" s="46"/>
      <c r="X116" s="46"/>
      <c r="Y116" s="46"/>
      <c r="Z116" s="46"/>
      <c r="AA116" s="46"/>
      <c r="AB116" s="46"/>
      <c r="AC116" s="46"/>
      <c r="AD116" s="46"/>
      <c r="AE116" s="46"/>
    </row>
    <row r="117" ht="15.75" customHeight="1">
      <c r="A117" s="40" t="str">
        <f t="shared" si="4"/>
        <v/>
      </c>
      <c r="B117" s="40" t="str">
        <f t="shared" si="3"/>
        <v/>
      </c>
      <c r="C117" s="24"/>
      <c r="D117" s="23"/>
      <c r="E117" s="51"/>
      <c r="F117" s="51"/>
      <c r="G117" s="24"/>
      <c r="H117" s="24"/>
      <c r="I117" s="40" t="str">
        <f t="array" ref="I117">IF(G117="","",IFERROR(INDEX('Người sử dụng'!$H$5:$H$140,MATCH(G117,'Người sử dụng'!$C$5:$C$140,0)),"Chưa có trong DS"))</f>
        <v/>
      </c>
      <c r="J117" s="24"/>
      <c r="K117" s="24"/>
      <c r="L117" s="23"/>
      <c r="M117" s="24"/>
      <c r="N117" s="24"/>
      <c r="O117" s="24"/>
      <c r="P117" s="26"/>
      <c r="Q117" s="51"/>
      <c r="R117" s="46"/>
      <c r="S117" s="51"/>
      <c r="T117" s="46"/>
      <c r="U117" s="46"/>
      <c r="V117" s="46"/>
      <c r="W117" s="46"/>
      <c r="X117" s="46"/>
      <c r="Y117" s="46"/>
      <c r="Z117" s="46"/>
      <c r="AA117" s="46"/>
      <c r="AB117" s="46"/>
      <c r="AC117" s="46"/>
      <c r="AD117" s="46"/>
      <c r="AE117" s="46"/>
    </row>
    <row r="118" ht="15.75" customHeight="1">
      <c r="A118" s="40" t="str">
        <f t="shared" si="4"/>
        <v/>
      </c>
      <c r="B118" s="40" t="str">
        <f t="shared" si="3"/>
        <v/>
      </c>
      <c r="C118" s="24"/>
      <c r="D118" s="23"/>
      <c r="E118" s="51"/>
      <c r="F118" s="51"/>
      <c r="G118" s="24"/>
      <c r="H118" s="24"/>
      <c r="I118" s="40" t="str">
        <f t="array" ref="I118">IF(G118="","",IFERROR(INDEX('Người sử dụng'!$H$5:$H$140,MATCH(G118,'Người sử dụng'!$C$5:$C$140,0)),"Chưa có trong DS"))</f>
        <v/>
      </c>
      <c r="J118" s="24"/>
      <c r="K118" s="24"/>
      <c r="L118" s="23"/>
      <c r="M118" s="24"/>
      <c r="N118" s="24"/>
      <c r="O118" s="24"/>
      <c r="P118" s="26"/>
      <c r="Q118" s="51"/>
      <c r="R118" s="46"/>
      <c r="S118" s="51"/>
      <c r="T118" s="46"/>
      <c r="U118" s="46"/>
      <c r="V118" s="46"/>
      <c r="W118" s="46"/>
      <c r="X118" s="46"/>
      <c r="Y118" s="46"/>
      <c r="Z118" s="46"/>
      <c r="AA118" s="46"/>
      <c r="AB118" s="46"/>
      <c r="AC118" s="46"/>
      <c r="AD118" s="46"/>
      <c r="AE118" s="46"/>
    </row>
    <row r="119" ht="15.75" customHeight="1">
      <c r="A119" s="40" t="str">
        <f t="shared" si="4"/>
        <v/>
      </c>
      <c r="B119" s="40" t="str">
        <f t="shared" si="3"/>
        <v/>
      </c>
      <c r="C119" s="24"/>
      <c r="D119" s="23"/>
      <c r="E119" s="51"/>
      <c r="F119" s="51"/>
      <c r="G119" s="24"/>
      <c r="H119" s="24"/>
      <c r="I119" s="40" t="str">
        <f t="array" ref="I119">IF(G119="","",IFERROR(INDEX('Người sử dụng'!$H$5:$H$140,MATCH(G119,'Người sử dụng'!$C$5:$C$140,0)),"Chưa có trong DS"))</f>
        <v/>
      </c>
      <c r="J119" s="24"/>
      <c r="K119" s="24"/>
      <c r="L119" s="23"/>
      <c r="M119" s="24"/>
      <c r="N119" s="24"/>
      <c r="O119" s="24"/>
      <c r="P119" s="26"/>
      <c r="Q119" s="51"/>
      <c r="R119" s="46"/>
      <c r="S119" s="51"/>
      <c r="T119" s="46"/>
      <c r="U119" s="46"/>
      <c r="V119" s="46"/>
      <c r="W119" s="46"/>
      <c r="X119" s="46"/>
      <c r="Y119" s="46"/>
      <c r="Z119" s="46"/>
      <c r="AA119" s="46"/>
      <c r="AB119" s="46"/>
      <c r="AC119" s="46"/>
      <c r="AD119" s="46"/>
      <c r="AE119" s="46"/>
    </row>
    <row r="120" ht="15.75" customHeight="1">
      <c r="A120" s="40" t="str">
        <f t="shared" si="4"/>
        <v/>
      </c>
      <c r="B120" s="40" t="str">
        <f t="shared" si="3"/>
        <v/>
      </c>
      <c r="C120" s="24"/>
      <c r="D120" s="23"/>
      <c r="E120" s="51"/>
      <c r="F120" s="51"/>
      <c r="G120" s="24"/>
      <c r="H120" s="24"/>
      <c r="I120" s="40" t="str">
        <f t="array" ref="I120">IF(G120="","",IFERROR(INDEX('Người sử dụng'!$H$5:$H$140,MATCH(G120,'Người sử dụng'!$C$5:$C$140,0)),"Chưa có trong DS"))</f>
        <v/>
      </c>
      <c r="J120" s="24"/>
      <c r="K120" s="24"/>
      <c r="L120" s="23"/>
      <c r="M120" s="24"/>
      <c r="N120" s="24"/>
      <c r="O120" s="24"/>
      <c r="P120" s="26"/>
      <c r="Q120" s="51"/>
      <c r="R120" s="46"/>
      <c r="S120" s="51"/>
      <c r="T120" s="46"/>
      <c r="U120" s="46"/>
      <c r="V120" s="46"/>
      <c r="W120" s="46"/>
      <c r="X120" s="46"/>
      <c r="Y120" s="46"/>
      <c r="Z120" s="46"/>
      <c r="AA120" s="46"/>
      <c r="AB120" s="46"/>
      <c r="AC120" s="46"/>
      <c r="AD120" s="46"/>
      <c r="AE120" s="46"/>
    </row>
    <row r="121" ht="15.75" customHeight="1">
      <c r="A121" s="40" t="str">
        <f t="shared" si="4"/>
        <v/>
      </c>
      <c r="B121" s="40" t="str">
        <f t="shared" si="3"/>
        <v/>
      </c>
      <c r="C121" s="24"/>
      <c r="D121" s="23"/>
      <c r="E121" s="51"/>
      <c r="F121" s="51"/>
      <c r="G121" s="24"/>
      <c r="H121" s="24"/>
      <c r="I121" s="40" t="str">
        <f t="array" ref="I121">IF(G121="","",IFERROR(INDEX('Người sử dụng'!$H$5:$H$140,MATCH(G121,'Người sử dụng'!$C$5:$C$140,0)),"Chưa có trong DS"))</f>
        <v/>
      </c>
      <c r="J121" s="24"/>
      <c r="K121" s="24"/>
      <c r="L121" s="23"/>
      <c r="M121" s="24"/>
      <c r="N121" s="24"/>
      <c r="O121" s="24"/>
      <c r="P121" s="26"/>
      <c r="Q121" s="51"/>
      <c r="R121" s="46"/>
      <c r="S121" s="51"/>
      <c r="T121" s="46"/>
      <c r="U121" s="46"/>
      <c r="V121" s="46"/>
      <c r="W121" s="46"/>
      <c r="X121" s="46"/>
      <c r="Y121" s="46"/>
      <c r="Z121" s="46"/>
      <c r="AA121" s="46"/>
      <c r="AB121" s="46"/>
      <c r="AC121" s="46"/>
      <c r="AD121" s="46"/>
      <c r="AE121" s="46"/>
    </row>
    <row r="122" ht="15.75" customHeight="1">
      <c r="A122" s="40" t="str">
        <f t="shared" si="4"/>
        <v/>
      </c>
      <c r="B122" s="40" t="str">
        <f t="shared" si="3"/>
        <v/>
      </c>
      <c r="C122" s="24"/>
      <c r="D122" s="23"/>
      <c r="E122" s="51"/>
      <c r="F122" s="51"/>
      <c r="G122" s="24"/>
      <c r="H122" s="24"/>
      <c r="I122" s="40" t="str">
        <f t="array" ref="I122">IF(G122="","",IFERROR(INDEX('Người sử dụng'!$H$5:$H$140,MATCH(G122,'Người sử dụng'!$C$5:$C$140,0)),"Chưa có trong DS"))</f>
        <v/>
      </c>
      <c r="J122" s="24"/>
      <c r="K122" s="24"/>
      <c r="L122" s="23"/>
      <c r="M122" s="24"/>
      <c r="N122" s="24"/>
      <c r="O122" s="24"/>
      <c r="P122" s="26"/>
      <c r="Q122" s="51"/>
      <c r="R122" s="46"/>
      <c r="S122" s="51"/>
      <c r="T122" s="46"/>
      <c r="U122" s="46"/>
      <c r="V122" s="46"/>
      <c r="W122" s="46"/>
      <c r="X122" s="46"/>
      <c r="Y122" s="46"/>
      <c r="Z122" s="46"/>
      <c r="AA122" s="46"/>
      <c r="AB122" s="46"/>
      <c r="AC122" s="46"/>
      <c r="AD122" s="46"/>
      <c r="AE122" s="46"/>
    </row>
    <row r="123" ht="15.75" customHeight="1">
      <c r="A123" s="40" t="str">
        <f t="shared" si="4"/>
        <v/>
      </c>
      <c r="B123" s="40" t="str">
        <f t="shared" si="3"/>
        <v/>
      </c>
      <c r="C123" s="24"/>
      <c r="D123" s="23"/>
      <c r="E123" s="51"/>
      <c r="F123" s="51"/>
      <c r="G123" s="24"/>
      <c r="H123" s="24"/>
      <c r="I123" s="40" t="str">
        <f t="array" ref="I123">IF(G123="","",IFERROR(INDEX('Người sử dụng'!$H$5:$H$140,MATCH(G123,'Người sử dụng'!$C$5:$C$140,0)),"Chưa có trong DS"))</f>
        <v/>
      </c>
      <c r="J123" s="24"/>
      <c r="K123" s="24"/>
      <c r="L123" s="23"/>
      <c r="M123" s="24"/>
      <c r="N123" s="24"/>
      <c r="O123" s="24"/>
      <c r="P123" s="26"/>
      <c r="Q123" s="51"/>
      <c r="R123" s="46"/>
      <c r="S123" s="51"/>
      <c r="T123" s="46"/>
      <c r="U123" s="46"/>
      <c r="V123" s="46"/>
      <c r="W123" s="46"/>
      <c r="X123" s="46"/>
      <c r="Y123" s="46"/>
      <c r="Z123" s="46"/>
      <c r="AA123" s="46"/>
      <c r="AB123" s="46"/>
      <c r="AC123" s="46"/>
      <c r="AD123" s="46"/>
      <c r="AE123" s="46"/>
    </row>
    <row r="124" ht="15.75" customHeight="1">
      <c r="A124" s="40" t="str">
        <f t="shared" si="4"/>
        <v/>
      </c>
      <c r="B124" s="40" t="str">
        <f t="shared" si="3"/>
        <v/>
      </c>
      <c r="C124" s="24"/>
      <c r="D124" s="23"/>
      <c r="E124" s="51"/>
      <c r="F124" s="51"/>
      <c r="G124" s="24"/>
      <c r="H124" s="24"/>
      <c r="I124" s="40" t="str">
        <f t="array" ref="I124">IF(G124="","",IFERROR(INDEX('Người sử dụng'!$H$5:$H$140,MATCH(G124,'Người sử dụng'!$C$5:$C$140,0)),"Chưa có trong DS"))</f>
        <v/>
      </c>
      <c r="J124" s="24"/>
      <c r="K124" s="24"/>
      <c r="L124" s="23"/>
      <c r="M124" s="24"/>
      <c r="N124" s="24"/>
      <c r="O124" s="24"/>
      <c r="P124" s="26"/>
      <c r="Q124" s="51"/>
      <c r="R124" s="46"/>
      <c r="S124" s="51"/>
      <c r="T124" s="46"/>
      <c r="U124" s="46"/>
      <c r="V124" s="46"/>
      <c r="W124" s="46"/>
      <c r="X124" s="46"/>
      <c r="Y124" s="46"/>
      <c r="Z124" s="46"/>
      <c r="AA124" s="46"/>
      <c r="AB124" s="46"/>
      <c r="AC124" s="46"/>
      <c r="AD124" s="46"/>
      <c r="AE124" s="46"/>
    </row>
    <row r="125" ht="15.75" customHeight="1">
      <c r="A125" s="40" t="str">
        <f t="shared" si="4"/>
        <v/>
      </c>
      <c r="B125" s="40" t="str">
        <f t="shared" si="3"/>
        <v/>
      </c>
      <c r="C125" s="24"/>
      <c r="D125" s="23"/>
      <c r="E125" s="51"/>
      <c r="F125" s="51"/>
      <c r="G125" s="24"/>
      <c r="H125" s="24"/>
      <c r="I125" s="40" t="str">
        <f t="array" ref="I125">IF(G125="","",IFERROR(INDEX('Người sử dụng'!$H$5:$H$140,MATCH(G125,'Người sử dụng'!$C$5:$C$140,0)),"Chưa có trong DS"))</f>
        <v/>
      </c>
      <c r="J125" s="24"/>
      <c r="K125" s="24"/>
      <c r="L125" s="23"/>
      <c r="M125" s="24"/>
      <c r="N125" s="24"/>
      <c r="O125" s="24"/>
      <c r="P125" s="26"/>
      <c r="Q125" s="51"/>
      <c r="R125" s="46"/>
      <c r="S125" s="51"/>
      <c r="T125" s="46"/>
      <c r="U125" s="46"/>
      <c r="V125" s="46"/>
      <c r="W125" s="46"/>
      <c r="X125" s="46"/>
      <c r="Y125" s="46"/>
      <c r="Z125" s="46"/>
      <c r="AA125" s="46"/>
      <c r="AB125" s="46"/>
      <c r="AC125" s="46"/>
      <c r="AD125" s="46"/>
      <c r="AE125" s="46"/>
    </row>
    <row r="126" ht="15.75" customHeight="1">
      <c r="A126" s="40" t="str">
        <f t="shared" si="4"/>
        <v/>
      </c>
      <c r="B126" s="40" t="str">
        <f t="shared" si="3"/>
        <v/>
      </c>
      <c r="C126" s="24"/>
      <c r="D126" s="23"/>
      <c r="E126" s="51"/>
      <c r="F126" s="51"/>
      <c r="G126" s="24"/>
      <c r="H126" s="24"/>
      <c r="I126" s="40" t="str">
        <f t="array" ref="I126">IF(G126="","",IFERROR(INDEX('Người sử dụng'!$H$5:$H$140,MATCH(G126,'Người sử dụng'!$C$5:$C$140,0)),"Chưa có trong DS"))</f>
        <v/>
      </c>
      <c r="J126" s="24"/>
      <c r="K126" s="24"/>
      <c r="L126" s="23"/>
      <c r="M126" s="24"/>
      <c r="N126" s="24"/>
      <c r="O126" s="24"/>
      <c r="P126" s="26"/>
      <c r="Q126" s="51"/>
      <c r="R126" s="46"/>
      <c r="S126" s="51"/>
      <c r="T126" s="46"/>
      <c r="U126" s="46"/>
      <c r="V126" s="46"/>
      <c r="W126" s="46"/>
      <c r="X126" s="46"/>
      <c r="Y126" s="46"/>
      <c r="Z126" s="46"/>
      <c r="AA126" s="46"/>
      <c r="AB126" s="46"/>
      <c r="AC126" s="46"/>
      <c r="AD126" s="46"/>
      <c r="AE126" s="46"/>
    </row>
    <row r="127" ht="15.75" customHeight="1">
      <c r="A127" s="40" t="str">
        <f t="shared" si="4"/>
        <v/>
      </c>
      <c r="B127" s="40" t="str">
        <f t="shared" si="3"/>
        <v/>
      </c>
      <c r="C127" s="24"/>
      <c r="D127" s="23"/>
      <c r="E127" s="51"/>
      <c r="F127" s="51"/>
      <c r="G127" s="24"/>
      <c r="H127" s="24"/>
      <c r="I127" s="40" t="str">
        <f t="array" ref="I127">IF(G127="","",IFERROR(INDEX('Người sử dụng'!$H$5:$H$140,MATCH(G127,'Người sử dụng'!$C$5:$C$140,0)),"Chưa có trong DS"))</f>
        <v/>
      </c>
      <c r="J127" s="24"/>
      <c r="K127" s="24"/>
      <c r="L127" s="23"/>
      <c r="M127" s="24"/>
      <c r="N127" s="24"/>
      <c r="O127" s="24"/>
      <c r="P127" s="26"/>
      <c r="Q127" s="51"/>
      <c r="R127" s="46"/>
      <c r="S127" s="51"/>
      <c r="T127" s="46"/>
      <c r="U127" s="46"/>
      <c r="V127" s="46"/>
      <c r="W127" s="46"/>
      <c r="X127" s="46"/>
      <c r="Y127" s="46"/>
      <c r="Z127" s="46"/>
      <c r="AA127" s="46"/>
      <c r="AB127" s="46"/>
      <c r="AC127" s="46"/>
      <c r="AD127" s="46"/>
      <c r="AE127" s="46"/>
    </row>
    <row r="128" ht="15.75" customHeight="1">
      <c r="A128" s="40" t="str">
        <f t="shared" si="4"/>
        <v/>
      </c>
      <c r="B128" s="40" t="str">
        <f t="shared" si="3"/>
        <v/>
      </c>
      <c r="C128" s="24"/>
      <c r="D128" s="23"/>
      <c r="E128" s="51"/>
      <c r="F128" s="51"/>
      <c r="G128" s="24"/>
      <c r="H128" s="24"/>
      <c r="I128" s="40" t="str">
        <f t="array" ref="I128">IF(G128="","",IFERROR(INDEX('Người sử dụng'!$H$5:$H$140,MATCH(G128,'Người sử dụng'!$C$5:$C$140,0)),"Chưa có trong DS"))</f>
        <v/>
      </c>
      <c r="J128" s="24"/>
      <c r="K128" s="24"/>
      <c r="L128" s="23"/>
      <c r="M128" s="24"/>
      <c r="N128" s="24"/>
      <c r="O128" s="24"/>
      <c r="P128" s="26"/>
      <c r="Q128" s="51"/>
      <c r="R128" s="46"/>
      <c r="S128" s="51"/>
      <c r="T128" s="46"/>
      <c r="U128" s="46"/>
      <c r="V128" s="46"/>
      <c r="W128" s="46"/>
      <c r="X128" s="46"/>
      <c r="Y128" s="46"/>
      <c r="Z128" s="46"/>
      <c r="AA128" s="46"/>
      <c r="AB128" s="46"/>
      <c r="AC128" s="46"/>
      <c r="AD128" s="46"/>
      <c r="AE128" s="46"/>
    </row>
    <row r="129" ht="15.75" customHeight="1">
      <c r="A129" s="40" t="str">
        <f t="shared" si="4"/>
        <v/>
      </c>
      <c r="B129" s="40" t="str">
        <f t="shared" si="3"/>
        <v/>
      </c>
      <c r="C129" s="24"/>
      <c r="D129" s="23"/>
      <c r="E129" s="51"/>
      <c r="F129" s="51"/>
      <c r="G129" s="24"/>
      <c r="H129" s="24"/>
      <c r="I129" s="40" t="str">
        <f t="array" ref="I129">IF(G129="","",IFERROR(INDEX('Người sử dụng'!$H$5:$H$140,MATCH(G129,'Người sử dụng'!$C$5:$C$140,0)),"Chưa có trong DS"))</f>
        <v/>
      </c>
      <c r="J129" s="24"/>
      <c r="K129" s="24"/>
      <c r="L129" s="23"/>
      <c r="M129" s="24"/>
      <c r="N129" s="24"/>
      <c r="O129" s="24"/>
      <c r="P129" s="26"/>
      <c r="Q129" s="51"/>
      <c r="R129" s="46"/>
      <c r="S129" s="51"/>
      <c r="T129" s="46"/>
      <c r="U129" s="46"/>
      <c r="V129" s="46"/>
      <c r="W129" s="46"/>
      <c r="X129" s="46"/>
      <c r="Y129" s="46"/>
      <c r="Z129" s="46"/>
      <c r="AA129" s="46"/>
      <c r="AB129" s="46"/>
      <c r="AC129" s="46"/>
      <c r="AD129" s="46"/>
      <c r="AE129" s="46"/>
    </row>
    <row r="130" ht="15.75" customHeight="1">
      <c r="A130" s="40" t="str">
        <f t="shared" si="4"/>
        <v/>
      </c>
      <c r="B130" s="40" t="str">
        <f t="shared" si="3"/>
        <v/>
      </c>
      <c r="C130" s="24"/>
      <c r="D130" s="23"/>
      <c r="E130" s="51"/>
      <c r="F130" s="51"/>
      <c r="G130" s="24"/>
      <c r="H130" s="24"/>
      <c r="I130" s="40" t="str">
        <f t="array" ref="I130">IF(G130="","",IFERROR(INDEX('Người sử dụng'!$H$5:$H$140,MATCH(G130,'Người sử dụng'!$C$5:$C$140,0)),"Chưa có trong DS"))</f>
        <v/>
      </c>
      <c r="J130" s="24"/>
      <c r="K130" s="24"/>
      <c r="L130" s="23"/>
      <c r="M130" s="24"/>
      <c r="N130" s="24"/>
      <c r="O130" s="24"/>
      <c r="P130" s="26"/>
      <c r="Q130" s="51"/>
      <c r="R130" s="46"/>
      <c r="S130" s="51"/>
      <c r="T130" s="46"/>
      <c r="U130" s="46"/>
      <c r="V130" s="46"/>
      <c r="W130" s="46"/>
      <c r="X130" s="46"/>
      <c r="Y130" s="46"/>
      <c r="Z130" s="46"/>
      <c r="AA130" s="46"/>
      <c r="AB130" s="46"/>
      <c r="AC130" s="46"/>
      <c r="AD130" s="46"/>
      <c r="AE130" s="46"/>
    </row>
    <row r="131" ht="15.75" customHeight="1">
      <c r="A131" s="40" t="str">
        <f t="shared" si="4"/>
        <v/>
      </c>
      <c r="B131" s="40" t="str">
        <f t="shared" si="3"/>
        <v/>
      </c>
      <c r="C131" s="24"/>
      <c r="D131" s="23"/>
      <c r="E131" s="51"/>
      <c r="F131" s="51"/>
      <c r="G131" s="24"/>
      <c r="H131" s="24"/>
      <c r="I131" s="40" t="str">
        <f t="array" ref="I131">IF(G131="","",IFERROR(INDEX('Người sử dụng'!$H$5:$H$140,MATCH(G131,'Người sử dụng'!$C$5:$C$140,0)),"Chưa có trong DS"))</f>
        <v/>
      </c>
      <c r="J131" s="24"/>
      <c r="K131" s="24"/>
      <c r="L131" s="23"/>
      <c r="M131" s="24"/>
      <c r="N131" s="24"/>
      <c r="O131" s="24"/>
      <c r="P131" s="26"/>
      <c r="Q131" s="51"/>
      <c r="R131" s="46"/>
      <c r="S131" s="51"/>
      <c r="T131" s="46"/>
      <c r="U131" s="46"/>
      <c r="V131" s="46"/>
      <c r="W131" s="46"/>
      <c r="X131" s="46"/>
      <c r="Y131" s="46"/>
      <c r="Z131" s="46"/>
      <c r="AA131" s="46"/>
      <c r="AB131" s="46"/>
      <c r="AC131" s="46"/>
      <c r="AD131" s="46"/>
      <c r="AE131" s="46"/>
    </row>
    <row r="132" ht="15.75" customHeight="1">
      <c r="A132" s="40" t="str">
        <f t="shared" si="4"/>
        <v/>
      </c>
      <c r="B132" s="40" t="str">
        <f t="shared" si="3"/>
        <v/>
      </c>
      <c r="C132" s="24"/>
      <c r="D132" s="23"/>
      <c r="E132" s="51"/>
      <c r="F132" s="51"/>
      <c r="G132" s="24"/>
      <c r="H132" s="24"/>
      <c r="I132" s="40" t="str">
        <f t="array" ref="I132">IF(G132="","",IFERROR(INDEX('Người sử dụng'!$H$5:$H$140,MATCH(G132,'Người sử dụng'!$C$5:$C$140,0)),"Chưa có trong DS"))</f>
        <v/>
      </c>
      <c r="J132" s="24"/>
      <c r="K132" s="24"/>
      <c r="L132" s="23"/>
      <c r="M132" s="24"/>
      <c r="N132" s="24"/>
      <c r="O132" s="24"/>
      <c r="P132" s="26"/>
      <c r="Q132" s="51"/>
      <c r="R132" s="46"/>
      <c r="S132" s="51"/>
      <c r="T132" s="46"/>
      <c r="U132" s="46"/>
      <c r="V132" s="46"/>
      <c r="W132" s="46"/>
      <c r="X132" s="46"/>
      <c r="Y132" s="46"/>
      <c r="Z132" s="46"/>
      <c r="AA132" s="46"/>
      <c r="AB132" s="46"/>
      <c r="AC132" s="46"/>
      <c r="AD132" s="46"/>
      <c r="AE132" s="46"/>
    </row>
    <row r="133" ht="15.75" customHeight="1">
      <c r="A133" s="40" t="str">
        <f t="shared" si="4"/>
        <v/>
      </c>
      <c r="B133" s="40" t="str">
        <f t="shared" si="3"/>
        <v/>
      </c>
      <c r="C133" s="24"/>
      <c r="D133" s="23"/>
      <c r="E133" s="51"/>
      <c r="F133" s="51"/>
      <c r="G133" s="24"/>
      <c r="H133" s="24"/>
      <c r="I133" s="40" t="str">
        <f t="array" ref="I133">IF(G133="","",IFERROR(INDEX('Người sử dụng'!$H$5:$H$140,MATCH(G133,'Người sử dụng'!$C$5:$C$140,0)),"Chưa có trong DS"))</f>
        <v/>
      </c>
      <c r="J133" s="24"/>
      <c r="K133" s="24"/>
      <c r="L133" s="23"/>
      <c r="M133" s="24"/>
      <c r="N133" s="24"/>
      <c r="O133" s="24"/>
      <c r="P133" s="26"/>
      <c r="Q133" s="51"/>
      <c r="R133" s="46"/>
      <c r="S133" s="51"/>
      <c r="T133" s="46"/>
      <c r="U133" s="46"/>
      <c r="V133" s="46"/>
      <c r="W133" s="46"/>
      <c r="X133" s="46"/>
      <c r="Y133" s="46"/>
      <c r="Z133" s="46"/>
      <c r="AA133" s="46"/>
      <c r="AB133" s="46"/>
      <c r="AC133" s="46"/>
      <c r="AD133" s="46"/>
      <c r="AE133" s="46"/>
    </row>
    <row r="134" ht="15.75" customHeight="1">
      <c r="A134" s="40" t="str">
        <f t="shared" si="4"/>
        <v/>
      </c>
      <c r="B134" s="40" t="str">
        <f t="shared" si="3"/>
        <v/>
      </c>
      <c r="C134" s="24"/>
      <c r="D134" s="23"/>
      <c r="E134" s="51"/>
      <c r="F134" s="51"/>
      <c r="G134" s="24"/>
      <c r="H134" s="24"/>
      <c r="I134" s="40" t="str">
        <f t="array" ref="I134">IF(G134="","",IFERROR(INDEX('Người sử dụng'!$H$5:$H$140,MATCH(G134,'Người sử dụng'!$C$5:$C$140,0)),"Chưa có trong DS"))</f>
        <v/>
      </c>
      <c r="J134" s="24"/>
      <c r="K134" s="24"/>
      <c r="L134" s="23"/>
      <c r="M134" s="24"/>
      <c r="N134" s="24"/>
      <c r="O134" s="24"/>
      <c r="P134" s="26"/>
      <c r="Q134" s="51"/>
      <c r="R134" s="46"/>
      <c r="S134" s="51"/>
      <c r="T134" s="46"/>
      <c r="U134" s="46"/>
      <c r="V134" s="46"/>
      <c r="W134" s="46"/>
      <c r="X134" s="46"/>
      <c r="Y134" s="46"/>
      <c r="Z134" s="46"/>
      <c r="AA134" s="46"/>
      <c r="AB134" s="46"/>
      <c r="AC134" s="46"/>
      <c r="AD134" s="46"/>
      <c r="AE134" s="46"/>
    </row>
    <row r="135" ht="15.75" customHeight="1">
      <c r="A135" s="40" t="str">
        <f t="shared" si="4"/>
        <v/>
      </c>
      <c r="B135" s="40" t="str">
        <f t="shared" si="3"/>
        <v/>
      </c>
      <c r="C135" s="24"/>
      <c r="D135" s="23"/>
      <c r="E135" s="51"/>
      <c r="F135" s="51"/>
      <c r="G135" s="24"/>
      <c r="H135" s="24"/>
      <c r="I135" s="40" t="str">
        <f t="array" ref="I135">IF(G135="","",IFERROR(INDEX('Người sử dụng'!$H$5:$H$140,MATCH(G135,'Người sử dụng'!$C$5:$C$140,0)),"Chưa có trong DS"))</f>
        <v/>
      </c>
      <c r="J135" s="24"/>
      <c r="K135" s="24"/>
      <c r="L135" s="23"/>
      <c r="M135" s="24"/>
      <c r="N135" s="24"/>
      <c r="O135" s="24"/>
      <c r="P135" s="26"/>
      <c r="Q135" s="51"/>
      <c r="R135" s="46"/>
      <c r="S135" s="51"/>
      <c r="T135" s="46"/>
      <c r="U135" s="46"/>
      <c r="V135" s="46"/>
      <c r="W135" s="46"/>
      <c r="X135" s="46"/>
      <c r="Y135" s="46"/>
      <c r="Z135" s="46"/>
      <c r="AA135" s="46"/>
      <c r="AB135" s="46"/>
      <c r="AC135" s="46"/>
      <c r="AD135" s="46"/>
      <c r="AE135" s="46"/>
    </row>
    <row r="136" ht="15.75" customHeight="1">
      <c r="A136" s="40" t="str">
        <f t="shared" si="4"/>
        <v/>
      </c>
      <c r="B136" s="40" t="str">
        <f t="shared" si="3"/>
        <v/>
      </c>
      <c r="C136" s="24"/>
      <c r="D136" s="23"/>
      <c r="E136" s="51"/>
      <c r="F136" s="51"/>
      <c r="G136" s="24"/>
      <c r="H136" s="24"/>
      <c r="I136" s="40" t="str">
        <f t="array" ref="I136">IF(G136="","",IFERROR(INDEX('Người sử dụng'!$H$5:$H$140,MATCH(G136,'Người sử dụng'!$C$5:$C$140,0)),"Chưa có trong DS"))</f>
        <v/>
      </c>
      <c r="J136" s="24"/>
      <c r="K136" s="24"/>
      <c r="L136" s="23"/>
      <c r="M136" s="24"/>
      <c r="N136" s="24"/>
      <c r="O136" s="24"/>
      <c r="P136" s="26"/>
      <c r="Q136" s="51"/>
      <c r="R136" s="46"/>
      <c r="S136" s="51"/>
      <c r="T136" s="46"/>
      <c r="U136" s="46"/>
      <c r="V136" s="46"/>
      <c r="W136" s="46"/>
      <c r="X136" s="46"/>
      <c r="Y136" s="46"/>
      <c r="Z136" s="46"/>
      <c r="AA136" s="46"/>
      <c r="AB136" s="46"/>
      <c r="AC136" s="46"/>
      <c r="AD136" s="46"/>
      <c r="AE136" s="46"/>
    </row>
    <row r="137" ht="15.75" customHeight="1">
      <c r="A137" s="40" t="str">
        <f t="shared" si="4"/>
        <v/>
      </c>
      <c r="B137" s="40" t="str">
        <f t="shared" si="3"/>
        <v/>
      </c>
      <c r="C137" s="24"/>
      <c r="D137" s="23"/>
      <c r="E137" s="51"/>
      <c r="F137" s="51"/>
      <c r="G137" s="24"/>
      <c r="H137" s="24"/>
      <c r="I137" s="40" t="str">
        <f t="array" ref="I137">IF(G137="","",IFERROR(INDEX('Người sử dụng'!$H$5:$H$140,MATCH(G137,'Người sử dụng'!$C$5:$C$140,0)),"Chưa có trong DS"))</f>
        <v/>
      </c>
      <c r="J137" s="24"/>
      <c r="K137" s="24"/>
      <c r="L137" s="23"/>
      <c r="M137" s="24"/>
      <c r="N137" s="24"/>
      <c r="O137" s="24"/>
      <c r="P137" s="26"/>
      <c r="Q137" s="51"/>
      <c r="R137" s="46"/>
      <c r="S137" s="51"/>
      <c r="T137" s="46"/>
      <c r="U137" s="46"/>
      <c r="V137" s="46"/>
      <c r="W137" s="46"/>
      <c r="X137" s="46"/>
      <c r="Y137" s="46"/>
      <c r="Z137" s="46"/>
      <c r="AA137" s="46"/>
      <c r="AB137" s="46"/>
      <c r="AC137" s="46"/>
      <c r="AD137" s="46"/>
      <c r="AE137" s="46"/>
    </row>
    <row r="138" ht="15.75" customHeight="1">
      <c r="A138" s="40" t="str">
        <f t="shared" si="4"/>
        <v/>
      </c>
      <c r="B138" s="40" t="str">
        <f t="shared" si="3"/>
        <v/>
      </c>
      <c r="C138" s="24"/>
      <c r="D138" s="23"/>
      <c r="E138" s="51"/>
      <c r="F138" s="51"/>
      <c r="G138" s="24"/>
      <c r="H138" s="24"/>
      <c r="I138" s="40" t="str">
        <f t="array" ref="I138">IF(G138="","",IFERROR(INDEX('Người sử dụng'!$H$5:$H$140,MATCH(G138,'Người sử dụng'!$C$5:$C$140,0)),"Chưa có trong DS"))</f>
        <v/>
      </c>
      <c r="J138" s="24"/>
      <c r="K138" s="24"/>
      <c r="L138" s="23"/>
      <c r="M138" s="24"/>
      <c r="N138" s="24"/>
      <c r="O138" s="24"/>
      <c r="P138" s="26"/>
      <c r="Q138" s="51"/>
      <c r="R138" s="46"/>
      <c r="S138" s="51"/>
      <c r="T138" s="46"/>
      <c r="U138" s="46"/>
      <c r="V138" s="46"/>
      <c r="W138" s="46"/>
      <c r="X138" s="46"/>
      <c r="Y138" s="46"/>
      <c r="Z138" s="46"/>
      <c r="AA138" s="46"/>
      <c r="AB138" s="46"/>
      <c r="AC138" s="46"/>
      <c r="AD138" s="46"/>
      <c r="AE138" s="46"/>
    </row>
    <row r="139" ht="15.75" customHeight="1">
      <c r="A139" s="40" t="str">
        <f t="shared" si="4"/>
        <v/>
      </c>
      <c r="B139" s="40" t="str">
        <f t="shared" si="3"/>
        <v/>
      </c>
      <c r="C139" s="24"/>
      <c r="D139" s="23"/>
      <c r="E139" s="51"/>
      <c r="F139" s="51"/>
      <c r="G139" s="24"/>
      <c r="H139" s="24"/>
      <c r="I139" s="40" t="str">
        <f t="array" ref="I139">IF(G139="","",IFERROR(INDEX('Người sử dụng'!$H$5:$H$140,MATCH(G139,'Người sử dụng'!$C$5:$C$140,0)),"Chưa có trong DS"))</f>
        <v/>
      </c>
      <c r="J139" s="24"/>
      <c r="K139" s="24"/>
      <c r="L139" s="23"/>
      <c r="M139" s="24"/>
      <c r="N139" s="24"/>
      <c r="O139" s="24"/>
      <c r="P139" s="26"/>
      <c r="Q139" s="51"/>
      <c r="R139" s="46"/>
      <c r="S139" s="51"/>
      <c r="T139" s="46"/>
      <c r="U139" s="46"/>
      <c r="V139" s="46"/>
      <c r="W139" s="46"/>
      <c r="X139" s="46"/>
      <c r="Y139" s="46"/>
      <c r="Z139" s="46"/>
      <c r="AA139" s="46"/>
      <c r="AB139" s="46"/>
      <c r="AC139" s="46"/>
      <c r="AD139" s="46"/>
      <c r="AE139" s="46"/>
    </row>
    <row r="140" ht="15.75" customHeight="1">
      <c r="A140" s="40" t="str">
        <f t="shared" si="4"/>
        <v/>
      </c>
      <c r="B140" s="40" t="str">
        <f t="shared" si="3"/>
        <v/>
      </c>
      <c r="C140" s="24"/>
      <c r="D140" s="23"/>
      <c r="E140" s="51"/>
      <c r="F140" s="51"/>
      <c r="G140" s="24"/>
      <c r="H140" s="24"/>
      <c r="I140" s="40" t="str">
        <f t="array" ref="I140">IF(G140="","",IFERROR(INDEX('Người sử dụng'!$H$5:$H$140,MATCH(G140,'Người sử dụng'!$C$5:$C$140,0)),"Chưa có trong DS"))</f>
        <v/>
      </c>
      <c r="J140" s="24"/>
      <c r="K140" s="24"/>
      <c r="L140" s="23"/>
      <c r="M140" s="24"/>
      <c r="N140" s="24"/>
      <c r="O140" s="24"/>
      <c r="P140" s="26"/>
      <c r="Q140" s="51"/>
      <c r="R140" s="46"/>
      <c r="S140" s="51"/>
      <c r="T140" s="46"/>
      <c r="U140" s="46"/>
      <c r="V140" s="46"/>
      <c r="W140" s="46"/>
      <c r="X140" s="46"/>
      <c r="Y140" s="46"/>
      <c r="Z140" s="46"/>
      <c r="AA140" s="46"/>
      <c r="AB140" s="46"/>
      <c r="AC140" s="46"/>
      <c r="AD140" s="46"/>
      <c r="AE140" s="46"/>
    </row>
    <row r="141" ht="15.75" customHeight="1">
      <c r="A141" s="40" t="str">
        <f t="shared" si="4"/>
        <v/>
      </c>
      <c r="B141" s="40" t="str">
        <f t="shared" si="3"/>
        <v/>
      </c>
      <c r="C141" s="24"/>
      <c r="D141" s="23"/>
      <c r="E141" s="51"/>
      <c r="F141" s="51"/>
      <c r="G141" s="24"/>
      <c r="H141" s="24"/>
      <c r="I141" s="40" t="str">
        <f t="array" ref="I141">IF(G141="","",IFERROR(INDEX('Người sử dụng'!$H$5:$H$140,MATCH(G141,'Người sử dụng'!$C$5:$C$140,0)),"Chưa có trong DS"))</f>
        <v/>
      </c>
      <c r="J141" s="24"/>
      <c r="K141" s="24"/>
      <c r="L141" s="23"/>
      <c r="M141" s="24"/>
      <c r="N141" s="24"/>
      <c r="O141" s="24"/>
      <c r="P141" s="26"/>
      <c r="Q141" s="51"/>
      <c r="R141" s="46"/>
      <c r="S141" s="51"/>
      <c r="T141" s="46"/>
      <c r="U141" s="46"/>
      <c r="V141" s="46"/>
      <c r="W141" s="46"/>
      <c r="X141" s="46"/>
      <c r="Y141" s="46"/>
      <c r="Z141" s="46"/>
      <c r="AA141" s="46"/>
      <c r="AB141" s="46"/>
      <c r="AC141" s="46"/>
      <c r="AD141" s="46"/>
      <c r="AE141" s="46"/>
    </row>
    <row r="142" ht="15.75" customHeight="1">
      <c r="A142" s="40" t="str">
        <f t="shared" si="4"/>
        <v/>
      </c>
      <c r="B142" s="40" t="str">
        <f t="shared" si="3"/>
        <v/>
      </c>
      <c r="C142" s="24"/>
      <c r="D142" s="23"/>
      <c r="E142" s="51"/>
      <c r="F142" s="51"/>
      <c r="G142" s="24"/>
      <c r="H142" s="24"/>
      <c r="I142" s="40" t="str">
        <f t="array" ref="I142">IF(G142="","",IFERROR(INDEX('Người sử dụng'!$H$5:$H$140,MATCH(G142,'Người sử dụng'!$C$5:$C$140,0)),"Chưa có trong DS"))</f>
        <v/>
      </c>
      <c r="J142" s="24"/>
      <c r="K142" s="24"/>
      <c r="L142" s="23"/>
      <c r="M142" s="24"/>
      <c r="N142" s="24"/>
      <c r="O142" s="24"/>
      <c r="P142" s="26"/>
      <c r="Q142" s="51"/>
      <c r="R142" s="46"/>
      <c r="S142" s="51"/>
      <c r="T142" s="46"/>
      <c r="U142" s="46"/>
      <c r="V142" s="46"/>
      <c r="W142" s="46"/>
      <c r="X142" s="46"/>
      <c r="Y142" s="46"/>
      <c r="Z142" s="46"/>
      <c r="AA142" s="46"/>
      <c r="AB142" s="46"/>
      <c r="AC142" s="46"/>
      <c r="AD142" s="46"/>
      <c r="AE142" s="46"/>
    </row>
    <row r="143" ht="15.75" customHeight="1">
      <c r="A143" s="40" t="str">
        <f t="shared" si="4"/>
        <v/>
      </c>
      <c r="B143" s="40" t="str">
        <f t="shared" si="3"/>
        <v/>
      </c>
      <c r="C143" s="24"/>
      <c r="D143" s="23"/>
      <c r="E143" s="51"/>
      <c r="F143" s="51"/>
      <c r="G143" s="24"/>
      <c r="H143" s="24"/>
      <c r="I143" s="40" t="str">
        <f t="array" ref="I143">IF(G143="","",IFERROR(INDEX('Người sử dụng'!$H$5:$H$140,MATCH(G143,'Người sử dụng'!$C$5:$C$140,0)),"Chưa có trong DS"))</f>
        <v/>
      </c>
      <c r="J143" s="24"/>
      <c r="K143" s="24"/>
      <c r="L143" s="23"/>
      <c r="M143" s="24"/>
      <c r="N143" s="24"/>
      <c r="O143" s="24"/>
      <c r="P143" s="26"/>
      <c r="Q143" s="51"/>
      <c r="R143" s="46"/>
      <c r="S143" s="51"/>
      <c r="T143" s="46"/>
      <c r="U143" s="46"/>
      <c r="V143" s="46"/>
      <c r="W143" s="46"/>
      <c r="X143" s="46"/>
      <c r="Y143" s="46"/>
      <c r="Z143" s="46"/>
      <c r="AA143" s="46"/>
      <c r="AB143" s="46"/>
      <c r="AC143" s="46"/>
      <c r="AD143" s="46"/>
      <c r="AE143" s="46"/>
    </row>
    <row r="144" ht="15.75" customHeight="1">
      <c r="A144" s="40" t="str">
        <f t="shared" si="4"/>
        <v/>
      </c>
      <c r="B144" s="40" t="str">
        <f t="shared" si="3"/>
        <v/>
      </c>
      <c r="C144" s="24"/>
      <c r="D144" s="23"/>
      <c r="E144" s="51"/>
      <c r="F144" s="51"/>
      <c r="G144" s="24"/>
      <c r="H144" s="24"/>
      <c r="I144" s="40" t="str">
        <f t="array" ref="I144">IF(G144="","",IFERROR(INDEX('Người sử dụng'!$H$5:$H$140,MATCH(G144,'Người sử dụng'!$C$5:$C$140,0)),"Chưa có trong DS"))</f>
        <v/>
      </c>
      <c r="J144" s="24"/>
      <c r="K144" s="24"/>
      <c r="L144" s="23"/>
      <c r="M144" s="24"/>
      <c r="N144" s="24"/>
      <c r="O144" s="24"/>
      <c r="P144" s="26"/>
      <c r="Q144" s="51"/>
      <c r="R144" s="46"/>
      <c r="S144" s="51"/>
      <c r="T144" s="46"/>
      <c r="U144" s="46"/>
      <c r="V144" s="46"/>
      <c r="W144" s="46"/>
      <c r="X144" s="46"/>
      <c r="Y144" s="46"/>
      <c r="Z144" s="46"/>
      <c r="AA144" s="46"/>
      <c r="AB144" s="46"/>
      <c r="AC144" s="46"/>
      <c r="AD144" s="46"/>
      <c r="AE144" s="46"/>
    </row>
    <row r="145" ht="15.75" customHeight="1">
      <c r="A145" s="40" t="str">
        <f t="shared" si="4"/>
        <v/>
      </c>
      <c r="B145" s="40" t="str">
        <f t="shared" si="3"/>
        <v/>
      </c>
      <c r="C145" s="24"/>
      <c r="D145" s="23"/>
      <c r="E145" s="51"/>
      <c r="F145" s="51"/>
      <c r="G145" s="24"/>
      <c r="H145" s="24"/>
      <c r="I145" s="40" t="str">
        <f t="array" ref="I145">IF(G145="","",IFERROR(INDEX('Người sử dụng'!$H$5:$H$140,MATCH(G145,'Người sử dụng'!$C$5:$C$140,0)),"Chưa có trong DS"))</f>
        <v/>
      </c>
      <c r="J145" s="24"/>
      <c r="K145" s="24"/>
      <c r="L145" s="23"/>
      <c r="M145" s="24"/>
      <c r="N145" s="24"/>
      <c r="O145" s="24"/>
      <c r="P145" s="26"/>
      <c r="Q145" s="51"/>
      <c r="R145" s="46"/>
      <c r="S145" s="51"/>
      <c r="T145" s="46"/>
      <c r="U145" s="46"/>
      <c r="V145" s="46"/>
      <c r="W145" s="46"/>
      <c r="X145" s="46"/>
      <c r="Y145" s="46"/>
      <c r="Z145" s="46"/>
      <c r="AA145" s="46"/>
      <c r="AB145" s="46"/>
      <c r="AC145" s="46"/>
      <c r="AD145" s="46"/>
      <c r="AE145" s="46"/>
    </row>
    <row r="146" ht="15.75" customHeight="1">
      <c r="A146" s="40" t="str">
        <f t="shared" si="4"/>
        <v/>
      </c>
      <c r="B146" s="40" t="str">
        <f t="shared" si="3"/>
        <v/>
      </c>
      <c r="C146" s="24"/>
      <c r="D146" s="23"/>
      <c r="E146" s="51"/>
      <c r="F146" s="51"/>
      <c r="G146" s="24"/>
      <c r="H146" s="24"/>
      <c r="I146" s="40" t="str">
        <f t="array" ref="I146">IF(G146="","",IFERROR(INDEX('Người sử dụng'!$H$5:$H$140,MATCH(G146,'Người sử dụng'!$C$5:$C$140,0)),"Chưa có trong DS"))</f>
        <v/>
      </c>
      <c r="J146" s="24"/>
      <c r="K146" s="24"/>
      <c r="L146" s="23"/>
      <c r="M146" s="24"/>
      <c r="N146" s="24"/>
      <c r="O146" s="24"/>
      <c r="P146" s="26"/>
      <c r="Q146" s="51"/>
      <c r="R146" s="46"/>
      <c r="S146" s="51"/>
      <c r="T146" s="46"/>
      <c r="U146" s="46"/>
      <c r="V146" s="46"/>
      <c r="W146" s="46"/>
      <c r="X146" s="46"/>
      <c r="Y146" s="46"/>
      <c r="Z146" s="46"/>
      <c r="AA146" s="46"/>
      <c r="AB146" s="46"/>
      <c r="AC146" s="46"/>
      <c r="AD146" s="46"/>
      <c r="AE146" s="46"/>
    </row>
    <row r="147" ht="15.75" customHeight="1">
      <c r="A147" s="40" t="str">
        <f t="shared" si="4"/>
        <v/>
      </c>
      <c r="B147" s="40" t="str">
        <f t="shared" si="3"/>
        <v/>
      </c>
      <c r="C147" s="24"/>
      <c r="D147" s="23"/>
      <c r="E147" s="51"/>
      <c r="F147" s="51"/>
      <c r="G147" s="24"/>
      <c r="H147" s="24"/>
      <c r="I147" s="40" t="str">
        <f t="array" ref="I147">IF(G147="","",IFERROR(INDEX('Người sử dụng'!$H$5:$H$140,MATCH(G147,'Người sử dụng'!$C$5:$C$140,0)),"Chưa có trong DS"))</f>
        <v/>
      </c>
      <c r="J147" s="24"/>
      <c r="K147" s="24"/>
      <c r="L147" s="23"/>
      <c r="M147" s="24"/>
      <c r="N147" s="24"/>
      <c r="O147" s="24"/>
      <c r="P147" s="26"/>
      <c r="Q147" s="51"/>
      <c r="R147" s="46"/>
      <c r="S147" s="51"/>
      <c r="T147" s="46"/>
      <c r="U147" s="46"/>
      <c r="V147" s="46"/>
      <c r="W147" s="46"/>
      <c r="X147" s="46"/>
      <c r="Y147" s="46"/>
      <c r="Z147" s="46"/>
      <c r="AA147" s="46"/>
      <c r="AB147" s="46"/>
      <c r="AC147" s="46"/>
      <c r="AD147" s="46"/>
      <c r="AE147" s="46"/>
    </row>
    <row r="148" ht="15.75" customHeight="1">
      <c r="A148" s="40" t="str">
        <f t="shared" si="4"/>
        <v/>
      </c>
      <c r="B148" s="40" t="str">
        <f t="shared" si="3"/>
        <v/>
      </c>
      <c r="C148" s="24"/>
      <c r="D148" s="23"/>
      <c r="E148" s="51"/>
      <c r="F148" s="51"/>
      <c r="G148" s="24"/>
      <c r="H148" s="24"/>
      <c r="I148" s="40" t="str">
        <f t="array" ref="I148">IF(G148="","",IFERROR(INDEX('Người sử dụng'!$H$5:$H$140,MATCH(G148,'Người sử dụng'!$C$5:$C$140,0)),"Chưa có trong DS"))</f>
        <v/>
      </c>
      <c r="J148" s="24"/>
      <c r="K148" s="24"/>
      <c r="L148" s="23"/>
      <c r="M148" s="24"/>
      <c r="N148" s="24"/>
      <c r="O148" s="24"/>
      <c r="P148" s="26"/>
      <c r="Q148" s="51"/>
      <c r="R148" s="46"/>
      <c r="S148" s="51"/>
      <c r="T148" s="46"/>
      <c r="U148" s="46"/>
      <c r="V148" s="46"/>
      <c r="W148" s="46"/>
      <c r="X148" s="46"/>
      <c r="Y148" s="46"/>
      <c r="Z148" s="46"/>
      <c r="AA148" s="46"/>
      <c r="AB148" s="46"/>
      <c r="AC148" s="46"/>
      <c r="AD148" s="46"/>
      <c r="AE148" s="46"/>
    </row>
    <row r="149" ht="15.75" customHeight="1">
      <c r="A149" s="40" t="str">
        <f t="shared" si="4"/>
        <v/>
      </c>
      <c r="B149" s="40" t="str">
        <f t="shared" si="3"/>
        <v/>
      </c>
      <c r="C149" s="24"/>
      <c r="D149" s="23"/>
      <c r="E149" s="51"/>
      <c r="F149" s="51"/>
      <c r="G149" s="24"/>
      <c r="H149" s="24"/>
      <c r="I149" s="40" t="str">
        <f t="array" ref="I149">IF(G149="","",IFERROR(INDEX('Người sử dụng'!$H$5:$H$140,MATCH(G149,'Người sử dụng'!$C$5:$C$140,0)),"Chưa có trong DS"))</f>
        <v/>
      </c>
      <c r="J149" s="24"/>
      <c r="K149" s="24"/>
      <c r="L149" s="23"/>
      <c r="M149" s="24"/>
      <c r="N149" s="24"/>
      <c r="O149" s="24"/>
      <c r="P149" s="26"/>
      <c r="Q149" s="51"/>
      <c r="R149" s="46"/>
      <c r="S149" s="51"/>
      <c r="T149" s="46"/>
      <c r="U149" s="46"/>
      <c r="V149" s="46"/>
      <c r="W149" s="46"/>
      <c r="X149" s="46"/>
      <c r="Y149" s="46"/>
      <c r="Z149" s="46"/>
      <c r="AA149" s="46"/>
      <c r="AB149" s="46"/>
      <c r="AC149" s="46"/>
      <c r="AD149" s="46"/>
      <c r="AE149" s="46"/>
    </row>
    <row r="150" ht="15.75" customHeight="1">
      <c r="A150" s="40" t="str">
        <f t="shared" si="4"/>
        <v/>
      </c>
      <c r="B150" s="40" t="str">
        <f t="shared" si="3"/>
        <v/>
      </c>
      <c r="C150" s="24"/>
      <c r="D150" s="23"/>
      <c r="E150" s="51"/>
      <c r="F150" s="51"/>
      <c r="G150" s="24"/>
      <c r="H150" s="24"/>
      <c r="I150" s="40" t="str">
        <f t="array" ref="I150">IF(G150="","",IFERROR(INDEX('Người sử dụng'!$H$5:$H$140,MATCH(G150,'Người sử dụng'!$C$5:$C$140,0)),"Chưa có trong DS"))</f>
        <v/>
      </c>
      <c r="J150" s="24"/>
      <c r="K150" s="24"/>
      <c r="L150" s="23"/>
      <c r="M150" s="24"/>
      <c r="N150" s="24"/>
      <c r="O150" s="24"/>
      <c r="P150" s="26"/>
      <c r="Q150" s="51"/>
      <c r="R150" s="46"/>
      <c r="S150" s="51"/>
      <c r="T150" s="46"/>
      <c r="U150" s="46"/>
      <c r="V150" s="46"/>
      <c r="W150" s="46"/>
      <c r="X150" s="46"/>
      <c r="Y150" s="46"/>
      <c r="Z150" s="46"/>
      <c r="AA150" s="46"/>
      <c r="AB150" s="46"/>
      <c r="AC150" s="46"/>
      <c r="AD150" s="46"/>
      <c r="AE150" s="46"/>
    </row>
    <row r="151" ht="15.75" customHeight="1">
      <c r="A151" s="40" t="str">
        <f t="shared" si="4"/>
        <v/>
      </c>
      <c r="B151" s="40" t="str">
        <f t="shared" si="3"/>
        <v/>
      </c>
      <c r="C151" s="24"/>
      <c r="D151" s="23"/>
      <c r="E151" s="51"/>
      <c r="F151" s="51"/>
      <c r="G151" s="24"/>
      <c r="H151" s="24"/>
      <c r="I151" s="40" t="str">
        <f t="array" ref="I151">IF(G151="","",IFERROR(INDEX('Người sử dụng'!$H$5:$H$140,MATCH(G151,'Người sử dụng'!$C$5:$C$140,0)),"Chưa có trong DS"))</f>
        <v/>
      </c>
      <c r="J151" s="24"/>
      <c r="K151" s="24"/>
      <c r="L151" s="23"/>
      <c r="M151" s="24"/>
      <c r="N151" s="24"/>
      <c r="O151" s="24"/>
      <c r="P151" s="26"/>
      <c r="Q151" s="51"/>
      <c r="R151" s="46"/>
      <c r="S151" s="51"/>
      <c r="T151" s="46"/>
      <c r="U151" s="46"/>
      <c r="V151" s="46"/>
      <c r="W151" s="46"/>
      <c r="X151" s="46"/>
      <c r="Y151" s="46"/>
      <c r="Z151" s="46"/>
      <c r="AA151" s="46"/>
      <c r="AB151" s="46"/>
      <c r="AC151" s="46"/>
      <c r="AD151" s="46"/>
      <c r="AE151" s="46"/>
    </row>
    <row r="152" ht="15.75" customHeight="1">
      <c r="A152" s="40" t="str">
        <f t="shared" si="4"/>
        <v/>
      </c>
      <c r="B152" s="40" t="str">
        <f t="shared" si="3"/>
        <v/>
      </c>
      <c r="C152" s="24"/>
      <c r="D152" s="23"/>
      <c r="E152" s="51"/>
      <c r="F152" s="51"/>
      <c r="G152" s="24"/>
      <c r="H152" s="24"/>
      <c r="I152" s="40" t="str">
        <f t="array" ref="I152">IF(G152="","",IFERROR(INDEX('Người sử dụng'!$H$5:$H$140,MATCH(G152,'Người sử dụng'!$C$5:$C$140,0)),"Chưa có trong DS"))</f>
        <v/>
      </c>
      <c r="J152" s="24"/>
      <c r="K152" s="24"/>
      <c r="L152" s="23"/>
      <c r="M152" s="24"/>
      <c r="N152" s="24"/>
      <c r="O152" s="24"/>
      <c r="P152" s="26"/>
      <c r="Q152" s="51"/>
      <c r="R152" s="46"/>
      <c r="S152" s="51"/>
      <c r="T152" s="46"/>
      <c r="U152" s="46"/>
      <c r="V152" s="46"/>
      <c r="W152" s="46"/>
      <c r="X152" s="46"/>
      <c r="Y152" s="46"/>
      <c r="Z152" s="46"/>
      <c r="AA152" s="46"/>
      <c r="AB152" s="46"/>
      <c r="AC152" s="46"/>
      <c r="AD152" s="46"/>
      <c r="AE152" s="46"/>
    </row>
    <row r="153" ht="15.75" customHeight="1">
      <c r="A153" s="40" t="str">
        <f t="shared" si="4"/>
        <v/>
      </c>
      <c r="B153" s="40" t="str">
        <f t="shared" si="3"/>
        <v/>
      </c>
      <c r="C153" s="24"/>
      <c r="D153" s="23"/>
      <c r="E153" s="51"/>
      <c r="F153" s="51"/>
      <c r="G153" s="24"/>
      <c r="H153" s="24"/>
      <c r="I153" s="40" t="str">
        <f t="array" ref="I153">IF(G153="","",IFERROR(INDEX('Người sử dụng'!$H$5:$H$140,MATCH(G153,'Người sử dụng'!$C$5:$C$140,0)),"Chưa có trong DS"))</f>
        <v/>
      </c>
      <c r="J153" s="24"/>
      <c r="K153" s="24"/>
      <c r="L153" s="23"/>
      <c r="M153" s="24"/>
      <c r="N153" s="24"/>
      <c r="O153" s="24"/>
      <c r="P153" s="26"/>
      <c r="Q153" s="51"/>
      <c r="R153" s="46"/>
      <c r="S153" s="51"/>
      <c r="T153" s="46"/>
      <c r="U153" s="46"/>
      <c r="V153" s="46"/>
      <c r="W153" s="46"/>
      <c r="X153" s="46"/>
      <c r="Y153" s="46"/>
      <c r="Z153" s="46"/>
      <c r="AA153" s="46"/>
      <c r="AB153" s="46"/>
      <c r="AC153" s="46"/>
      <c r="AD153" s="46"/>
      <c r="AE153" s="46"/>
    </row>
    <row r="154" ht="15.75" customHeight="1">
      <c r="A154" s="40" t="str">
        <f t="shared" si="4"/>
        <v/>
      </c>
      <c r="B154" s="40" t="str">
        <f t="shared" si="3"/>
        <v/>
      </c>
      <c r="C154" s="24"/>
      <c r="D154" s="23"/>
      <c r="E154" s="51"/>
      <c r="F154" s="51"/>
      <c r="G154" s="24"/>
      <c r="H154" s="24"/>
      <c r="I154" s="40" t="str">
        <f t="array" ref="I154">IF(G154="","",IFERROR(INDEX('Người sử dụng'!$H$5:$H$140,MATCH(G154,'Người sử dụng'!$C$5:$C$140,0)),"Chưa có trong DS"))</f>
        <v/>
      </c>
      <c r="J154" s="24"/>
      <c r="K154" s="24"/>
      <c r="L154" s="23"/>
      <c r="M154" s="24"/>
      <c r="N154" s="24"/>
      <c r="O154" s="24"/>
      <c r="P154" s="26"/>
      <c r="Q154" s="51"/>
      <c r="R154" s="46"/>
      <c r="S154" s="51"/>
      <c r="T154" s="46"/>
      <c r="U154" s="46"/>
      <c r="V154" s="46"/>
      <c r="W154" s="46"/>
      <c r="X154" s="46"/>
      <c r="Y154" s="46"/>
      <c r="Z154" s="46"/>
      <c r="AA154" s="46"/>
      <c r="AB154" s="46"/>
      <c r="AC154" s="46"/>
      <c r="AD154" s="46"/>
      <c r="AE154" s="46"/>
    </row>
    <row r="155" ht="15.75" customHeight="1">
      <c r="A155" s="40" t="str">
        <f t="shared" si="4"/>
        <v/>
      </c>
      <c r="B155" s="40" t="str">
        <f t="shared" si="3"/>
        <v/>
      </c>
      <c r="C155" s="24"/>
      <c r="D155" s="23"/>
      <c r="E155" s="51"/>
      <c r="F155" s="51"/>
      <c r="G155" s="24"/>
      <c r="H155" s="24"/>
      <c r="I155" s="40" t="str">
        <f t="array" ref="I155">IF(G155="","",IFERROR(INDEX('Người sử dụng'!$H$5:$H$140,MATCH(G155,'Người sử dụng'!$C$5:$C$140,0)),"Chưa có trong DS"))</f>
        <v/>
      </c>
      <c r="J155" s="24"/>
      <c r="K155" s="24"/>
      <c r="L155" s="23"/>
      <c r="M155" s="24"/>
      <c r="N155" s="24"/>
      <c r="O155" s="24"/>
      <c r="P155" s="26"/>
      <c r="Q155" s="51"/>
      <c r="R155" s="46"/>
      <c r="S155" s="51"/>
      <c r="T155" s="46"/>
      <c r="U155" s="46"/>
      <c r="V155" s="46"/>
      <c r="W155" s="46"/>
      <c r="X155" s="46"/>
      <c r="Y155" s="46"/>
      <c r="Z155" s="46"/>
      <c r="AA155" s="46"/>
      <c r="AB155" s="46"/>
      <c r="AC155" s="46"/>
      <c r="AD155" s="46"/>
      <c r="AE155" s="46"/>
    </row>
    <row r="156" ht="15.75" customHeight="1">
      <c r="A156" s="40" t="str">
        <f t="shared" si="4"/>
        <v/>
      </c>
      <c r="B156" s="40" t="str">
        <f t="shared" si="3"/>
        <v/>
      </c>
      <c r="C156" s="24"/>
      <c r="D156" s="23"/>
      <c r="E156" s="51"/>
      <c r="F156" s="51"/>
      <c r="G156" s="24"/>
      <c r="H156" s="24"/>
      <c r="I156" s="40" t="str">
        <f t="array" ref="I156">IF(G156="","",IFERROR(INDEX('Người sử dụng'!$H$5:$H$140,MATCH(G156,'Người sử dụng'!$C$5:$C$140,0)),"Chưa có trong DS"))</f>
        <v/>
      </c>
      <c r="J156" s="24"/>
      <c r="K156" s="24"/>
      <c r="L156" s="23"/>
      <c r="M156" s="24"/>
      <c r="N156" s="24"/>
      <c r="O156" s="24"/>
      <c r="P156" s="26"/>
      <c r="Q156" s="51"/>
      <c r="R156" s="46"/>
      <c r="S156" s="51"/>
      <c r="T156" s="46"/>
      <c r="U156" s="46"/>
      <c r="V156" s="46"/>
      <c r="W156" s="46"/>
      <c r="X156" s="46"/>
      <c r="Y156" s="46"/>
      <c r="Z156" s="46"/>
      <c r="AA156" s="46"/>
      <c r="AB156" s="46"/>
      <c r="AC156" s="46"/>
      <c r="AD156" s="46"/>
      <c r="AE156" s="46"/>
    </row>
    <row r="157" ht="15.75" customHeight="1">
      <c r="A157" s="40" t="str">
        <f t="shared" si="4"/>
        <v/>
      </c>
      <c r="B157" s="40" t="str">
        <f t="shared" si="3"/>
        <v/>
      </c>
      <c r="C157" s="24"/>
      <c r="D157" s="23"/>
      <c r="E157" s="51"/>
      <c r="F157" s="51"/>
      <c r="G157" s="24"/>
      <c r="H157" s="24"/>
      <c r="I157" s="40" t="str">
        <f t="array" ref="I157">IF(G157="","",IFERROR(INDEX('Người sử dụng'!$H$5:$H$140,MATCH(G157,'Người sử dụng'!$C$5:$C$140,0)),"Chưa có trong DS"))</f>
        <v/>
      </c>
      <c r="J157" s="24"/>
      <c r="K157" s="24"/>
      <c r="L157" s="23"/>
      <c r="M157" s="24"/>
      <c r="N157" s="24"/>
      <c r="O157" s="24"/>
      <c r="P157" s="26"/>
      <c r="Q157" s="51"/>
      <c r="R157" s="46"/>
      <c r="S157" s="51"/>
      <c r="T157" s="46"/>
      <c r="U157" s="46"/>
      <c r="V157" s="46"/>
      <c r="W157" s="46"/>
      <c r="X157" s="46"/>
      <c r="Y157" s="46"/>
      <c r="Z157" s="46"/>
      <c r="AA157" s="46"/>
      <c r="AB157" s="46"/>
      <c r="AC157" s="46"/>
      <c r="AD157" s="46"/>
      <c r="AE157" s="46"/>
    </row>
    <row r="158" ht="15.75" customHeight="1">
      <c r="A158" s="40" t="str">
        <f t="shared" si="4"/>
        <v/>
      </c>
      <c r="B158" s="40" t="str">
        <f t="shared" si="3"/>
        <v/>
      </c>
      <c r="C158" s="24"/>
      <c r="D158" s="23"/>
      <c r="E158" s="51"/>
      <c r="F158" s="51"/>
      <c r="G158" s="24"/>
      <c r="H158" s="24"/>
      <c r="I158" s="40" t="str">
        <f t="array" ref="I158">IF(G158="","",IFERROR(INDEX('Người sử dụng'!$H$5:$H$140,MATCH(G158,'Người sử dụng'!$C$5:$C$140,0)),"Chưa có trong DS"))</f>
        <v/>
      </c>
      <c r="J158" s="24"/>
      <c r="K158" s="24"/>
      <c r="L158" s="23"/>
      <c r="M158" s="24"/>
      <c r="N158" s="24"/>
      <c r="O158" s="24"/>
      <c r="P158" s="26"/>
      <c r="Q158" s="51"/>
      <c r="R158" s="46"/>
      <c r="S158" s="51"/>
      <c r="T158" s="46"/>
      <c r="U158" s="46"/>
      <c r="V158" s="46"/>
      <c r="W158" s="46"/>
      <c r="X158" s="46"/>
      <c r="Y158" s="46"/>
      <c r="Z158" s="46"/>
      <c r="AA158" s="46"/>
      <c r="AB158" s="46"/>
      <c r="AC158" s="46"/>
      <c r="AD158" s="46"/>
      <c r="AE158" s="46"/>
    </row>
    <row r="159" ht="15.75" customHeight="1">
      <c r="A159" s="40" t="str">
        <f t="shared" si="4"/>
        <v/>
      </c>
      <c r="B159" s="40" t="str">
        <f t="shared" si="3"/>
        <v/>
      </c>
      <c r="C159" s="24"/>
      <c r="D159" s="23"/>
      <c r="E159" s="51"/>
      <c r="F159" s="51"/>
      <c r="G159" s="24"/>
      <c r="H159" s="24"/>
      <c r="I159" s="40" t="str">
        <f t="array" ref="I159">IF(G159="","",IFERROR(INDEX('Người sử dụng'!$H$5:$H$140,MATCH(G159,'Người sử dụng'!$C$5:$C$140,0)),"Chưa có trong DS"))</f>
        <v/>
      </c>
      <c r="J159" s="24"/>
      <c r="K159" s="24"/>
      <c r="L159" s="23"/>
      <c r="M159" s="24"/>
      <c r="N159" s="24"/>
      <c r="O159" s="24"/>
      <c r="P159" s="26"/>
      <c r="Q159" s="51"/>
      <c r="R159" s="46"/>
      <c r="S159" s="51"/>
      <c r="T159" s="46"/>
      <c r="U159" s="46"/>
      <c r="V159" s="46"/>
      <c r="W159" s="46"/>
      <c r="X159" s="46"/>
      <c r="Y159" s="46"/>
      <c r="Z159" s="46"/>
      <c r="AA159" s="46"/>
      <c r="AB159" s="46"/>
      <c r="AC159" s="46"/>
      <c r="AD159" s="46"/>
      <c r="AE159" s="46"/>
    </row>
    <row r="160" ht="15.75" customHeight="1">
      <c r="A160" s="40" t="str">
        <f t="shared" si="4"/>
        <v/>
      </c>
      <c r="B160" s="40" t="str">
        <f t="shared" si="3"/>
        <v/>
      </c>
      <c r="C160" s="24"/>
      <c r="D160" s="23"/>
      <c r="E160" s="51"/>
      <c r="F160" s="51"/>
      <c r="G160" s="24"/>
      <c r="H160" s="24"/>
      <c r="I160" s="40" t="str">
        <f t="array" ref="I160">IF(G160="","",IFERROR(INDEX('Người sử dụng'!$H$5:$H$140,MATCH(G160,'Người sử dụng'!$C$5:$C$140,0)),"Chưa có trong DS"))</f>
        <v/>
      </c>
      <c r="J160" s="24"/>
      <c r="K160" s="24"/>
      <c r="L160" s="23"/>
      <c r="M160" s="24"/>
      <c r="N160" s="24"/>
      <c r="O160" s="24"/>
      <c r="P160" s="26"/>
      <c r="Q160" s="51"/>
      <c r="R160" s="46"/>
      <c r="S160" s="51"/>
      <c r="T160" s="46"/>
      <c r="U160" s="46"/>
      <c r="V160" s="46"/>
      <c r="W160" s="46"/>
      <c r="X160" s="46"/>
      <c r="Y160" s="46"/>
      <c r="Z160" s="46"/>
      <c r="AA160" s="46"/>
      <c r="AB160" s="46"/>
      <c r="AC160" s="46"/>
      <c r="AD160" s="46"/>
      <c r="AE160" s="46"/>
    </row>
    <row r="161" ht="15.75" customHeight="1">
      <c r="A161" s="40" t="str">
        <f t="shared" si="4"/>
        <v/>
      </c>
      <c r="B161" s="40" t="str">
        <f t="shared" si="3"/>
        <v/>
      </c>
      <c r="C161" s="24"/>
      <c r="D161" s="23"/>
      <c r="E161" s="51"/>
      <c r="F161" s="51"/>
      <c r="G161" s="24"/>
      <c r="H161" s="24"/>
      <c r="I161" s="40" t="str">
        <f t="array" ref="I161">IF(G161="","",IFERROR(INDEX('Người sử dụng'!$H$5:$H$140,MATCH(G161,'Người sử dụng'!$C$5:$C$140,0)),"Chưa có trong DS"))</f>
        <v/>
      </c>
      <c r="J161" s="24"/>
      <c r="K161" s="24"/>
      <c r="L161" s="23"/>
      <c r="M161" s="24"/>
      <c r="N161" s="24"/>
      <c r="O161" s="24"/>
      <c r="P161" s="26"/>
      <c r="Q161" s="51"/>
      <c r="R161" s="46"/>
      <c r="S161" s="51"/>
      <c r="T161" s="46"/>
      <c r="U161" s="46"/>
      <c r="V161" s="46"/>
      <c r="W161" s="46"/>
      <c r="X161" s="46"/>
      <c r="Y161" s="46"/>
      <c r="Z161" s="46"/>
      <c r="AA161" s="46"/>
      <c r="AB161" s="46"/>
      <c r="AC161" s="46"/>
      <c r="AD161" s="46"/>
      <c r="AE161" s="46"/>
    </row>
    <row r="162" ht="15.75" customHeight="1">
      <c r="A162" s="40" t="str">
        <f t="shared" si="4"/>
        <v/>
      </c>
      <c r="B162" s="40" t="str">
        <f t="shared" si="3"/>
        <v/>
      </c>
      <c r="C162" s="24"/>
      <c r="D162" s="23"/>
      <c r="E162" s="51"/>
      <c r="F162" s="51"/>
      <c r="G162" s="24"/>
      <c r="H162" s="24"/>
      <c r="I162" s="40" t="str">
        <f t="array" ref="I162">IF(G162="","",IFERROR(INDEX('Người sử dụng'!$H$5:$H$140,MATCH(G162,'Người sử dụng'!$C$5:$C$140,0)),"Chưa có trong DS"))</f>
        <v/>
      </c>
      <c r="J162" s="24"/>
      <c r="K162" s="24"/>
      <c r="L162" s="23"/>
      <c r="M162" s="24"/>
      <c r="N162" s="24"/>
      <c r="O162" s="24"/>
      <c r="P162" s="26"/>
      <c r="Q162" s="51"/>
      <c r="R162" s="46"/>
      <c r="S162" s="51"/>
      <c r="T162" s="46"/>
      <c r="U162" s="46"/>
      <c r="V162" s="46"/>
      <c r="W162" s="46"/>
      <c r="X162" s="46"/>
      <c r="Y162" s="46"/>
      <c r="Z162" s="46"/>
      <c r="AA162" s="46"/>
      <c r="AB162" s="46"/>
      <c r="AC162" s="46"/>
      <c r="AD162" s="46"/>
      <c r="AE162" s="46"/>
    </row>
    <row r="163" ht="15.75" customHeight="1">
      <c r="A163" s="40" t="str">
        <f t="shared" si="4"/>
        <v/>
      </c>
      <c r="B163" s="40" t="str">
        <f t="shared" si="3"/>
        <v/>
      </c>
      <c r="C163" s="24"/>
      <c r="D163" s="23"/>
      <c r="E163" s="51"/>
      <c r="F163" s="51"/>
      <c r="G163" s="24"/>
      <c r="H163" s="24"/>
      <c r="I163" s="40" t="str">
        <f t="array" ref="I163">IF(G163="","",IFERROR(INDEX('Người sử dụng'!$H$5:$H$140,MATCH(G163,'Người sử dụng'!$C$5:$C$140,0)),"Chưa có trong DS"))</f>
        <v/>
      </c>
      <c r="J163" s="24"/>
      <c r="K163" s="24"/>
      <c r="L163" s="23"/>
      <c r="M163" s="24"/>
      <c r="N163" s="24"/>
      <c r="O163" s="24"/>
      <c r="P163" s="26"/>
      <c r="Q163" s="51"/>
      <c r="R163" s="46"/>
      <c r="S163" s="51"/>
      <c r="T163" s="46"/>
      <c r="U163" s="46"/>
      <c r="V163" s="46"/>
      <c r="W163" s="46"/>
      <c r="X163" s="46"/>
      <c r="Y163" s="46"/>
      <c r="Z163" s="46"/>
      <c r="AA163" s="46"/>
      <c r="AB163" s="46"/>
      <c r="AC163" s="46"/>
      <c r="AD163" s="46"/>
      <c r="AE163" s="46"/>
    </row>
    <row r="164" ht="15.75" customHeight="1">
      <c r="A164" s="40" t="str">
        <f t="shared" si="4"/>
        <v/>
      </c>
      <c r="B164" s="40" t="str">
        <f t="shared" si="3"/>
        <v/>
      </c>
      <c r="C164" s="24"/>
      <c r="D164" s="23"/>
      <c r="E164" s="51"/>
      <c r="F164" s="51"/>
      <c r="G164" s="24"/>
      <c r="H164" s="24"/>
      <c r="I164" s="40" t="str">
        <f t="array" ref="I164">IF(G164="","",IFERROR(INDEX('Người sử dụng'!$H$5:$H$140,MATCH(G164,'Người sử dụng'!$C$5:$C$140,0)),"Chưa có trong DS"))</f>
        <v/>
      </c>
      <c r="J164" s="24"/>
      <c r="K164" s="24"/>
      <c r="L164" s="23"/>
      <c r="M164" s="24"/>
      <c r="N164" s="24"/>
      <c r="O164" s="24"/>
      <c r="P164" s="26"/>
      <c r="Q164" s="51"/>
      <c r="R164" s="46"/>
      <c r="S164" s="51"/>
      <c r="T164" s="46"/>
      <c r="U164" s="46"/>
      <c r="V164" s="46"/>
      <c r="W164" s="46"/>
      <c r="X164" s="46"/>
      <c r="Y164" s="46"/>
      <c r="Z164" s="46"/>
      <c r="AA164" s="46"/>
      <c r="AB164" s="46"/>
      <c r="AC164" s="46"/>
      <c r="AD164" s="46"/>
      <c r="AE164" s="46"/>
    </row>
    <row r="165" ht="15.75" customHeight="1">
      <c r="A165" s="40" t="str">
        <f t="shared" si="4"/>
        <v/>
      </c>
      <c r="B165" s="40" t="str">
        <f t="shared" si="3"/>
        <v/>
      </c>
      <c r="C165" s="24"/>
      <c r="D165" s="23"/>
      <c r="E165" s="51"/>
      <c r="F165" s="51"/>
      <c r="G165" s="24"/>
      <c r="H165" s="24"/>
      <c r="I165" s="40" t="str">
        <f t="array" ref="I165">IF(G165="","",IFERROR(INDEX('Người sử dụng'!$H$5:$H$140,MATCH(G165,'Người sử dụng'!$C$5:$C$140,0)),"Chưa có trong DS"))</f>
        <v/>
      </c>
      <c r="J165" s="24"/>
      <c r="K165" s="24"/>
      <c r="L165" s="23"/>
      <c r="M165" s="24"/>
      <c r="N165" s="24"/>
      <c r="O165" s="24"/>
      <c r="P165" s="26"/>
      <c r="Q165" s="51"/>
      <c r="R165" s="46"/>
      <c r="S165" s="51"/>
      <c r="T165" s="46"/>
      <c r="U165" s="46"/>
      <c r="V165" s="46"/>
      <c r="W165" s="46"/>
      <c r="X165" s="46"/>
      <c r="Y165" s="46"/>
      <c r="Z165" s="46"/>
      <c r="AA165" s="46"/>
      <c r="AB165" s="46"/>
      <c r="AC165" s="46"/>
      <c r="AD165" s="46"/>
      <c r="AE165" s="46"/>
    </row>
    <row r="166" ht="15.75" customHeight="1">
      <c r="A166" s="40" t="str">
        <f t="shared" si="4"/>
        <v/>
      </c>
      <c r="B166" s="40" t="str">
        <f t="shared" si="3"/>
        <v/>
      </c>
      <c r="C166" s="24"/>
      <c r="D166" s="23"/>
      <c r="E166" s="51"/>
      <c r="F166" s="51"/>
      <c r="G166" s="24"/>
      <c r="H166" s="24"/>
      <c r="I166" s="40" t="str">
        <f t="array" ref="I166">IF(G166="","",IFERROR(INDEX('Người sử dụng'!$H$5:$H$140,MATCH(G166,'Người sử dụng'!$C$5:$C$140,0)),"Chưa có trong DS"))</f>
        <v/>
      </c>
      <c r="J166" s="24"/>
      <c r="K166" s="24"/>
      <c r="L166" s="23"/>
      <c r="M166" s="24"/>
      <c r="N166" s="24"/>
      <c r="O166" s="24"/>
      <c r="P166" s="26"/>
      <c r="Q166" s="51"/>
      <c r="R166" s="46"/>
      <c r="S166" s="51"/>
      <c r="T166" s="46"/>
      <c r="U166" s="46"/>
      <c r="V166" s="46"/>
      <c r="W166" s="46"/>
      <c r="X166" s="46"/>
      <c r="Y166" s="46"/>
      <c r="Z166" s="46"/>
      <c r="AA166" s="46"/>
      <c r="AB166" s="46"/>
      <c r="AC166" s="46"/>
      <c r="AD166" s="46"/>
      <c r="AE166" s="46"/>
    </row>
    <row r="167" ht="15.75" customHeight="1">
      <c r="A167" s="40" t="str">
        <f t="shared" si="4"/>
        <v/>
      </c>
      <c r="B167" s="40" t="str">
        <f t="shared" si="3"/>
        <v/>
      </c>
      <c r="C167" s="24"/>
      <c r="D167" s="23"/>
      <c r="E167" s="51"/>
      <c r="F167" s="51"/>
      <c r="G167" s="24"/>
      <c r="H167" s="24"/>
      <c r="I167" s="40" t="str">
        <f t="array" ref="I167">IF(G167="","",IFERROR(INDEX('Người sử dụng'!$H$5:$H$140,MATCH(G167,'Người sử dụng'!$C$5:$C$140,0)),"Chưa có trong DS"))</f>
        <v/>
      </c>
      <c r="J167" s="24"/>
      <c r="K167" s="24"/>
      <c r="L167" s="23"/>
      <c r="M167" s="24"/>
      <c r="N167" s="24"/>
      <c r="O167" s="24"/>
      <c r="P167" s="26"/>
      <c r="Q167" s="51"/>
      <c r="R167" s="46"/>
      <c r="S167" s="51"/>
      <c r="T167" s="46"/>
      <c r="U167" s="46"/>
      <c r="V167" s="46"/>
      <c r="W167" s="46"/>
      <c r="X167" s="46"/>
      <c r="Y167" s="46"/>
      <c r="Z167" s="46"/>
      <c r="AA167" s="46"/>
      <c r="AB167" s="46"/>
      <c r="AC167" s="46"/>
      <c r="AD167" s="46"/>
      <c r="AE167" s="46"/>
    </row>
    <row r="168" ht="15.75" customHeight="1">
      <c r="A168" s="40" t="str">
        <f t="shared" si="4"/>
        <v/>
      </c>
      <c r="B168" s="40" t="str">
        <f t="shared" si="3"/>
        <v/>
      </c>
      <c r="C168" s="24"/>
      <c r="D168" s="23"/>
      <c r="E168" s="51"/>
      <c r="F168" s="51"/>
      <c r="G168" s="24"/>
      <c r="H168" s="24"/>
      <c r="I168" s="40" t="str">
        <f t="array" ref="I168">IF(G168="","",IFERROR(INDEX('Người sử dụng'!$H$5:$H$140,MATCH(G168,'Người sử dụng'!$C$5:$C$140,0)),"Chưa có trong DS"))</f>
        <v/>
      </c>
      <c r="J168" s="24"/>
      <c r="K168" s="24"/>
      <c r="L168" s="23"/>
      <c r="M168" s="24"/>
      <c r="N168" s="24"/>
      <c r="O168" s="24"/>
      <c r="P168" s="26"/>
      <c r="Q168" s="51"/>
      <c r="R168" s="46"/>
      <c r="S168" s="51"/>
      <c r="T168" s="46"/>
      <c r="U168" s="46"/>
      <c r="V168" s="46"/>
      <c r="W168" s="46"/>
      <c r="X168" s="46"/>
      <c r="Y168" s="46"/>
      <c r="Z168" s="46"/>
      <c r="AA168" s="46"/>
      <c r="AB168" s="46"/>
      <c r="AC168" s="46"/>
      <c r="AD168" s="46"/>
      <c r="AE168" s="46"/>
    </row>
    <row r="169" ht="15.75" customHeight="1">
      <c r="A169" s="40" t="str">
        <f t="shared" si="4"/>
        <v/>
      </c>
      <c r="B169" s="40" t="str">
        <f t="shared" si="3"/>
        <v/>
      </c>
      <c r="C169" s="24"/>
      <c r="D169" s="23"/>
      <c r="E169" s="51"/>
      <c r="F169" s="51"/>
      <c r="G169" s="24"/>
      <c r="H169" s="24"/>
      <c r="I169" s="40" t="str">
        <f t="array" ref="I169">IF(G169="","",IFERROR(INDEX('Người sử dụng'!$H$5:$H$140,MATCH(G169,'Người sử dụng'!$C$5:$C$140,0)),"Chưa có trong DS"))</f>
        <v/>
      </c>
      <c r="J169" s="24"/>
      <c r="K169" s="24"/>
      <c r="L169" s="23"/>
      <c r="M169" s="24"/>
      <c r="N169" s="24"/>
      <c r="O169" s="24"/>
      <c r="P169" s="26"/>
      <c r="Q169" s="51"/>
      <c r="R169" s="46"/>
      <c r="S169" s="51"/>
      <c r="T169" s="46"/>
      <c r="U169" s="46"/>
      <c r="V169" s="46"/>
      <c r="W169" s="46"/>
      <c r="X169" s="46"/>
      <c r="Y169" s="46"/>
      <c r="Z169" s="46"/>
      <c r="AA169" s="46"/>
      <c r="AB169" s="46"/>
      <c r="AC169" s="46"/>
      <c r="AD169" s="46"/>
      <c r="AE169" s="46"/>
    </row>
    <row r="170" ht="15.75" customHeight="1">
      <c r="A170" s="40" t="str">
        <f t="shared" si="4"/>
        <v/>
      </c>
      <c r="B170" s="40" t="str">
        <f t="shared" si="3"/>
        <v/>
      </c>
      <c r="C170" s="24"/>
      <c r="D170" s="23"/>
      <c r="E170" s="51"/>
      <c r="F170" s="51"/>
      <c r="G170" s="24"/>
      <c r="H170" s="24"/>
      <c r="I170" s="40" t="str">
        <f t="array" ref="I170">IF(G170="","",IFERROR(INDEX('Người sử dụng'!$H$5:$H$140,MATCH(G170,'Người sử dụng'!$C$5:$C$140,0)),"Chưa có trong DS"))</f>
        <v/>
      </c>
      <c r="J170" s="24"/>
      <c r="K170" s="24"/>
      <c r="L170" s="23"/>
      <c r="M170" s="24"/>
      <c r="N170" s="24"/>
      <c r="O170" s="24"/>
      <c r="P170" s="26"/>
      <c r="Q170" s="51"/>
      <c r="R170" s="46"/>
      <c r="S170" s="51"/>
      <c r="T170" s="46"/>
      <c r="U170" s="46"/>
      <c r="V170" s="46"/>
      <c r="W170" s="46"/>
      <c r="X170" s="46"/>
      <c r="Y170" s="46"/>
      <c r="Z170" s="46"/>
      <c r="AA170" s="46"/>
      <c r="AB170" s="46"/>
      <c r="AC170" s="46"/>
      <c r="AD170" s="46"/>
      <c r="AE170" s="46"/>
    </row>
    <row r="171" ht="15.75" customHeight="1">
      <c r="A171" s="40" t="str">
        <f t="shared" si="4"/>
        <v/>
      </c>
      <c r="B171" s="40" t="str">
        <f t="shared" si="3"/>
        <v/>
      </c>
      <c r="C171" s="24"/>
      <c r="D171" s="23"/>
      <c r="E171" s="51"/>
      <c r="F171" s="51"/>
      <c r="G171" s="24"/>
      <c r="H171" s="24"/>
      <c r="I171" s="40" t="str">
        <f t="array" ref="I171">IF(G171="","",IFERROR(INDEX('Người sử dụng'!$H$5:$H$140,MATCH(G171,'Người sử dụng'!$C$5:$C$140,0)),"Chưa có trong DS"))</f>
        <v/>
      </c>
      <c r="J171" s="24"/>
      <c r="K171" s="24"/>
      <c r="L171" s="23"/>
      <c r="M171" s="24"/>
      <c r="N171" s="24"/>
      <c r="O171" s="24"/>
      <c r="P171" s="26"/>
      <c r="Q171" s="51"/>
      <c r="R171" s="46"/>
      <c r="S171" s="51"/>
      <c r="T171" s="46"/>
      <c r="U171" s="46"/>
      <c r="V171" s="46"/>
      <c r="W171" s="46"/>
      <c r="X171" s="46"/>
      <c r="Y171" s="46"/>
      <c r="Z171" s="46"/>
      <c r="AA171" s="46"/>
      <c r="AB171" s="46"/>
      <c r="AC171" s="46"/>
      <c r="AD171" s="46"/>
      <c r="AE171" s="46"/>
    </row>
    <row r="172" ht="15.75" customHeight="1">
      <c r="A172" s="40" t="str">
        <f t="shared" si="4"/>
        <v/>
      </c>
      <c r="B172" s="40" t="str">
        <f t="shared" si="3"/>
        <v/>
      </c>
      <c r="C172" s="24"/>
      <c r="D172" s="23"/>
      <c r="E172" s="51"/>
      <c r="F172" s="51"/>
      <c r="G172" s="24"/>
      <c r="H172" s="24"/>
      <c r="I172" s="40" t="str">
        <f t="array" ref="I172">IF(G172="","",IFERROR(INDEX('Người sử dụng'!$H$5:$H$140,MATCH(G172,'Người sử dụng'!$C$5:$C$140,0)),"Chưa có trong DS"))</f>
        <v/>
      </c>
      <c r="J172" s="24"/>
      <c r="K172" s="24"/>
      <c r="L172" s="23"/>
      <c r="M172" s="24"/>
      <c r="N172" s="24"/>
      <c r="O172" s="24"/>
      <c r="P172" s="26"/>
      <c r="Q172" s="51"/>
      <c r="R172" s="46"/>
      <c r="S172" s="51"/>
      <c r="T172" s="46"/>
      <c r="U172" s="46"/>
      <c r="V172" s="46"/>
      <c r="W172" s="46"/>
      <c r="X172" s="46"/>
      <c r="Y172" s="46"/>
      <c r="Z172" s="46"/>
      <c r="AA172" s="46"/>
      <c r="AB172" s="46"/>
      <c r="AC172" s="46"/>
      <c r="AD172" s="46"/>
      <c r="AE172" s="46"/>
    </row>
    <row r="173" ht="15.75" customHeight="1">
      <c r="A173" s="40" t="str">
        <f t="shared" si="4"/>
        <v/>
      </c>
      <c r="B173" s="40" t="str">
        <f t="shared" si="3"/>
        <v/>
      </c>
      <c r="C173" s="24"/>
      <c r="D173" s="23"/>
      <c r="E173" s="51"/>
      <c r="F173" s="51"/>
      <c r="G173" s="24"/>
      <c r="H173" s="24"/>
      <c r="I173" s="40" t="str">
        <f t="array" ref="I173">IF(G173="","",IFERROR(INDEX('Người sử dụng'!$H$5:$H$140,MATCH(G173,'Người sử dụng'!$C$5:$C$140,0)),"Chưa có trong DS"))</f>
        <v/>
      </c>
      <c r="J173" s="24"/>
      <c r="K173" s="24"/>
      <c r="L173" s="23"/>
      <c r="M173" s="24"/>
      <c r="N173" s="24"/>
      <c r="O173" s="24"/>
      <c r="P173" s="26"/>
      <c r="Q173" s="51"/>
      <c r="R173" s="46"/>
      <c r="S173" s="51"/>
      <c r="T173" s="46"/>
      <c r="U173" s="46"/>
      <c r="V173" s="46"/>
      <c r="W173" s="46"/>
      <c r="X173" s="46"/>
      <c r="Y173" s="46"/>
      <c r="Z173" s="46"/>
      <c r="AA173" s="46"/>
      <c r="AB173" s="46"/>
      <c r="AC173" s="46"/>
      <c r="AD173" s="46"/>
      <c r="AE173" s="46"/>
    </row>
    <row r="174" ht="15.75" customHeight="1">
      <c r="A174" s="40" t="str">
        <f t="shared" si="4"/>
        <v/>
      </c>
      <c r="B174" s="40" t="str">
        <f t="shared" si="3"/>
        <v/>
      </c>
      <c r="C174" s="24"/>
      <c r="D174" s="23"/>
      <c r="E174" s="51"/>
      <c r="F174" s="51"/>
      <c r="G174" s="24"/>
      <c r="H174" s="24"/>
      <c r="I174" s="40" t="str">
        <f t="array" ref="I174">IF(G174="","",IFERROR(INDEX('Người sử dụng'!$H$5:$H$140,MATCH(G174,'Người sử dụng'!$C$5:$C$140,0)),"Chưa có trong DS"))</f>
        <v/>
      </c>
      <c r="J174" s="24"/>
      <c r="K174" s="24"/>
      <c r="L174" s="23"/>
      <c r="M174" s="24"/>
      <c r="N174" s="24"/>
      <c r="O174" s="24"/>
      <c r="P174" s="26"/>
      <c r="Q174" s="51"/>
      <c r="R174" s="46"/>
      <c r="S174" s="51"/>
      <c r="T174" s="46"/>
      <c r="U174" s="46"/>
      <c r="V174" s="46"/>
      <c r="W174" s="46"/>
      <c r="X174" s="46"/>
      <c r="Y174" s="46"/>
      <c r="Z174" s="46"/>
      <c r="AA174" s="46"/>
      <c r="AB174" s="46"/>
      <c r="AC174" s="46"/>
      <c r="AD174" s="46"/>
      <c r="AE174" s="46"/>
    </row>
    <row r="175" ht="15.75" customHeight="1">
      <c r="A175" s="40" t="str">
        <f t="shared" si="4"/>
        <v/>
      </c>
      <c r="B175" s="40" t="str">
        <f t="shared" si="3"/>
        <v/>
      </c>
      <c r="C175" s="24"/>
      <c r="D175" s="23"/>
      <c r="E175" s="51"/>
      <c r="F175" s="51"/>
      <c r="G175" s="24"/>
      <c r="H175" s="24"/>
      <c r="I175" s="40" t="str">
        <f t="array" ref="I175">IF(G175="","",IFERROR(INDEX('Người sử dụng'!$H$5:$H$140,MATCH(G175,'Người sử dụng'!$C$5:$C$140,0)),"Chưa có trong DS"))</f>
        <v/>
      </c>
      <c r="J175" s="24"/>
      <c r="K175" s="24"/>
      <c r="L175" s="23"/>
      <c r="M175" s="24"/>
      <c r="N175" s="24"/>
      <c r="O175" s="24"/>
      <c r="P175" s="26"/>
      <c r="Q175" s="51"/>
      <c r="R175" s="46"/>
      <c r="S175" s="51"/>
      <c r="T175" s="46"/>
      <c r="U175" s="46"/>
      <c r="V175" s="46"/>
      <c r="W175" s="46"/>
      <c r="X175" s="46"/>
      <c r="Y175" s="46"/>
      <c r="Z175" s="46"/>
      <c r="AA175" s="46"/>
      <c r="AB175" s="46"/>
      <c r="AC175" s="46"/>
      <c r="AD175" s="46"/>
      <c r="AE175" s="46"/>
    </row>
    <row r="176" ht="15.75" customHeight="1">
      <c r="A176" s="40" t="str">
        <f t="shared" si="4"/>
        <v/>
      </c>
      <c r="B176" s="40" t="str">
        <f t="shared" si="3"/>
        <v/>
      </c>
      <c r="C176" s="24"/>
      <c r="D176" s="23"/>
      <c r="E176" s="51"/>
      <c r="F176" s="51"/>
      <c r="G176" s="24"/>
      <c r="H176" s="24"/>
      <c r="I176" s="40" t="str">
        <f t="array" ref="I176">IF(G176="","",IFERROR(INDEX('Người sử dụng'!$H$5:$H$140,MATCH(G176,'Người sử dụng'!$C$5:$C$140,0)),"Chưa có trong DS"))</f>
        <v/>
      </c>
      <c r="J176" s="24"/>
      <c r="K176" s="24"/>
      <c r="L176" s="23"/>
      <c r="M176" s="24"/>
      <c r="N176" s="24"/>
      <c r="O176" s="24"/>
      <c r="P176" s="26"/>
      <c r="Q176" s="51"/>
      <c r="R176" s="46"/>
      <c r="S176" s="51"/>
      <c r="T176" s="46"/>
      <c r="U176" s="46"/>
      <c r="V176" s="46"/>
      <c r="W176" s="46"/>
      <c r="X176" s="46"/>
      <c r="Y176" s="46"/>
      <c r="Z176" s="46"/>
      <c r="AA176" s="46"/>
      <c r="AB176" s="46"/>
      <c r="AC176" s="46"/>
      <c r="AD176" s="46"/>
      <c r="AE176" s="46"/>
    </row>
    <row r="177" ht="15.75" customHeight="1">
      <c r="A177" s="40" t="str">
        <f t="shared" si="4"/>
        <v/>
      </c>
      <c r="B177" s="40" t="str">
        <f t="shared" si="3"/>
        <v/>
      </c>
      <c r="C177" s="24"/>
      <c r="D177" s="23"/>
      <c r="E177" s="51"/>
      <c r="F177" s="51"/>
      <c r="G177" s="24"/>
      <c r="H177" s="24"/>
      <c r="I177" s="40" t="str">
        <f t="array" ref="I177">IF(G177="","",IFERROR(INDEX('Người sử dụng'!$H$5:$H$140,MATCH(G177,'Người sử dụng'!$C$5:$C$140,0)),"Chưa có trong DS"))</f>
        <v/>
      </c>
      <c r="J177" s="24"/>
      <c r="K177" s="24"/>
      <c r="L177" s="23"/>
      <c r="M177" s="24"/>
      <c r="N177" s="24"/>
      <c r="O177" s="24"/>
      <c r="P177" s="26"/>
      <c r="Q177" s="51"/>
      <c r="R177" s="46"/>
      <c r="S177" s="51"/>
      <c r="T177" s="46"/>
      <c r="U177" s="46"/>
      <c r="V177" s="46"/>
      <c r="W177" s="46"/>
      <c r="X177" s="46"/>
      <c r="Y177" s="46"/>
      <c r="Z177" s="46"/>
      <c r="AA177" s="46"/>
      <c r="AB177" s="46"/>
      <c r="AC177" s="46"/>
      <c r="AD177" s="46"/>
      <c r="AE177" s="46"/>
    </row>
    <row r="178" ht="15.75" customHeight="1">
      <c r="A178" s="40" t="str">
        <f t="shared" si="4"/>
        <v/>
      </c>
      <c r="B178" s="40" t="str">
        <f t="shared" si="3"/>
        <v/>
      </c>
      <c r="C178" s="24"/>
      <c r="D178" s="23"/>
      <c r="E178" s="51"/>
      <c r="F178" s="51"/>
      <c r="G178" s="24"/>
      <c r="H178" s="24"/>
      <c r="I178" s="40" t="str">
        <f t="array" ref="I178">IF(G178="","",IFERROR(INDEX('Người sử dụng'!$H$5:$H$140,MATCH(G178,'Người sử dụng'!$C$5:$C$140,0)),"Chưa có trong DS"))</f>
        <v/>
      </c>
      <c r="J178" s="24"/>
      <c r="K178" s="24"/>
      <c r="L178" s="23"/>
      <c r="M178" s="24"/>
      <c r="N178" s="24"/>
      <c r="O178" s="24"/>
      <c r="P178" s="26"/>
      <c r="Q178" s="51"/>
      <c r="R178" s="46"/>
      <c r="S178" s="51"/>
      <c r="T178" s="46"/>
      <c r="U178" s="46"/>
      <c r="V178" s="46"/>
      <c r="W178" s="46"/>
      <c r="X178" s="46"/>
      <c r="Y178" s="46"/>
      <c r="Z178" s="46"/>
      <c r="AA178" s="46"/>
      <c r="AB178" s="46"/>
      <c r="AC178" s="46"/>
      <c r="AD178" s="46"/>
      <c r="AE178" s="46"/>
    </row>
    <row r="179" ht="15.75" customHeight="1">
      <c r="A179" s="40" t="str">
        <f t="shared" si="4"/>
        <v/>
      </c>
      <c r="B179" s="40" t="str">
        <f t="shared" si="3"/>
        <v/>
      </c>
      <c r="C179" s="24"/>
      <c r="D179" s="23"/>
      <c r="E179" s="51"/>
      <c r="F179" s="51"/>
      <c r="G179" s="24"/>
      <c r="H179" s="24"/>
      <c r="I179" s="40" t="str">
        <f t="array" ref="I179">IF(G179="","",IFERROR(INDEX('Người sử dụng'!$H$5:$H$140,MATCH(G179,'Người sử dụng'!$C$5:$C$140,0)),"Chưa có trong DS"))</f>
        <v/>
      </c>
      <c r="J179" s="24"/>
      <c r="K179" s="24"/>
      <c r="L179" s="23"/>
      <c r="M179" s="24"/>
      <c r="N179" s="24"/>
      <c r="O179" s="24"/>
      <c r="P179" s="26"/>
      <c r="Q179" s="51"/>
      <c r="R179" s="46"/>
      <c r="S179" s="51"/>
      <c r="T179" s="46"/>
      <c r="U179" s="46"/>
      <c r="V179" s="46"/>
      <c r="W179" s="46"/>
      <c r="X179" s="46"/>
      <c r="Y179" s="46"/>
      <c r="Z179" s="46"/>
      <c r="AA179" s="46"/>
      <c r="AB179" s="46"/>
      <c r="AC179" s="46"/>
      <c r="AD179" s="46"/>
      <c r="AE179" s="46"/>
    </row>
    <row r="180" ht="15.75" customHeight="1">
      <c r="A180" s="40" t="str">
        <f t="shared" si="4"/>
        <v/>
      </c>
      <c r="B180" s="40" t="str">
        <f t="shared" si="3"/>
        <v/>
      </c>
      <c r="C180" s="24"/>
      <c r="D180" s="23"/>
      <c r="E180" s="51"/>
      <c r="F180" s="51"/>
      <c r="G180" s="24"/>
      <c r="H180" s="24"/>
      <c r="I180" s="40" t="str">
        <f t="array" ref="I180">IF(G180="","",IFERROR(INDEX('Người sử dụng'!$H$5:$H$140,MATCH(G180,'Người sử dụng'!$C$5:$C$140,0)),"Chưa có trong DS"))</f>
        <v/>
      </c>
      <c r="J180" s="24"/>
      <c r="K180" s="24"/>
      <c r="L180" s="23"/>
      <c r="M180" s="24"/>
      <c r="N180" s="24"/>
      <c r="O180" s="24"/>
      <c r="P180" s="26"/>
      <c r="Q180" s="51"/>
      <c r="R180" s="46"/>
      <c r="S180" s="51"/>
      <c r="T180" s="46"/>
      <c r="U180" s="46"/>
      <c r="V180" s="46"/>
      <c r="W180" s="46"/>
      <c r="X180" s="46"/>
      <c r="Y180" s="46"/>
      <c r="Z180" s="46"/>
      <c r="AA180" s="46"/>
      <c r="AB180" s="46"/>
      <c r="AC180" s="46"/>
      <c r="AD180" s="46"/>
      <c r="AE180" s="46"/>
    </row>
    <row r="181" ht="15.75" customHeight="1">
      <c r="A181" s="40" t="str">
        <f t="shared" si="4"/>
        <v/>
      </c>
      <c r="B181" s="40" t="str">
        <f t="shared" si="3"/>
        <v/>
      </c>
      <c r="C181" s="24"/>
      <c r="D181" s="23"/>
      <c r="E181" s="51"/>
      <c r="F181" s="51"/>
      <c r="G181" s="24"/>
      <c r="H181" s="24"/>
      <c r="I181" s="40" t="str">
        <f t="array" ref="I181">IF(G181="","",IFERROR(INDEX('Người sử dụng'!$H$5:$H$140,MATCH(G181,'Người sử dụng'!$C$5:$C$140,0)),"Chưa có trong DS"))</f>
        <v/>
      </c>
      <c r="J181" s="24"/>
      <c r="K181" s="24"/>
      <c r="L181" s="23"/>
      <c r="M181" s="24"/>
      <c r="N181" s="24"/>
      <c r="O181" s="24"/>
      <c r="P181" s="26"/>
      <c r="Q181" s="51"/>
      <c r="R181" s="46"/>
      <c r="S181" s="51"/>
      <c r="T181" s="46"/>
      <c r="U181" s="46"/>
      <c r="V181" s="46"/>
      <c r="W181" s="46"/>
      <c r="X181" s="46"/>
      <c r="Y181" s="46"/>
      <c r="Z181" s="46"/>
      <c r="AA181" s="46"/>
      <c r="AB181" s="46"/>
      <c r="AC181" s="46"/>
      <c r="AD181" s="46"/>
      <c r="AE181" s="46"/>
    </row>
    <row r="182" ht="15.75" customHeight="1">
      <c r="A182" s="40" t="str">
        <f t="shared" si="4"/>
        <v/>
      </c>
      <c r="B182" s="40" t="str">
        <f t="shared" si="3"/>
        <v/>
      </c>
      <c r="C182" s="24"/>
      <c r="D182" s="23"/>
      <c r="E182" s="51"/>
      <c r="F182" s="51"/>
      <c r="G182" s="24"/>
      <c r="H182" s="24"/>
      <c r="I182" s="40" t="str">
        <f t="array" ref="I182">IF(G182="","",IFERROR(INDEX('Người sử dụng'!$H$5:$H$140,MATCH(G182,'Người sử dụng'!$C$5:$C$140,0)),"Chưa có trong DS"))</f>
        <v/>
      </c>
      <c r="J182" s="24"/>
      <c r="K182" s="24"/>
      <c r="L182" s="23"/>
      <c r="M182" s="24"/>
      <c r="N182" s="24"/>
      <c r="O182" s="24"/>
      <c r="P182" s="26"/>
      <c r="Q182" s="51"/>
      <c r="R182" s="46"/>
      <c r="S182" s="51"/>
      <c r="T182" s="46"/>
      <c r="U182" s="46"/>
      <c r="V182" s="46"/>
      <c r="W182" s="46"/>
      <c r="X182" s="46"/>
      <c r="Y182" s="46"/>
      <c r="Z182" s="46"/>
      <c r="AA182" s="46"/>
      <c r="AB182" s="46"/>
      <c r="AC182" s="46"/>
      <c r="AD182" s="46"/>
      <c r="AE182" s="46"/>
    </row>
    <row r="183" ht="15.75" customHeight="1">
      <c r="A183" s="40" t="str">
        <f t="shared" si="4"/>
        <v/>
      </c>
      <c r="B183" s="40" t="str">
        <f t="shared" si="3"/>
        <v/>
      </c>
      <c r="C183" s="24"/>
      <c r="D183" s="23"/>
      <c r="E183" s="51"/>
      <c r="F183" s="51"/>
      <c r="G183" s="24"/>
      <c r="H183" s="24"/>
      <c r="I183" s="40" t="str">
        <f t="array" ref="I183">IF(G183="","",IFERROR(INDEX('Người sử dụng'!$H$5:$H$140,MATCH(G183,'Người sử dụng'!$C$5:$C$140,0)),"Chưa có trong DS"))</f>
        <v/>
      </c>
      <c r="J183" s="24"/>
      <c r="K183" s="24"/>
      <c r="L183" s="23"/>
      <c r="M183" s="24"/>
      <c r="N183" s="24"/>
      <c r="O183" s="24"/>
      <c r="P183" s="26"/>
      <c r="Q183" s="51"/>
      <c r="R183" s="46"/>
      <c r="S183" s="51"/>
      <c r="T183" s="46"/>
      <c r="U183" s="46"/>
      <c r="V183" s="46"/>
      <c r="W183" s="46"/>
      <c r="X183" s="46"/>
      <c r="Y183" s="46"/>
      <c r="Z183" s="46"/>
      <c r="AA183" s="46"/>
      <c r="AB183" s="46"/>
      <c r="AC183" s="46"/>
      <c r="AD183" s="46"/>
      <c r="AE183" s="46"/>
    </row>
    <row r="184" ht="15.75" customHeight="1">
      <c r="A184" s="40" t="str">
        <f t="shared" si="4"/>
        <v/>
      </c>
      <c r="B184" s="40" t="str">
        <f t="shared" si="3"/>
        <v/>
      </c>
      <c r="C184" s="24"/>
      <c r="D184" s="23"/>
      <c r="E184" s="51"/>
      <c r="F184" s="51"/>
      <c r="G184" s="24"/>
      <c r="H184" s="24"/>
      <c r="I184" s="40" t="str">
        <f t="array" ref="I184">IF(G184="","",IFERROR(INDEX('Người sử dụng'!$H$5:$H$140,MATCH(G184,'Người sử dụng'!$C$5:$C$140,0)),"Chưa có trong DS"))</f>
        <v/>
      </c>
      <c r="J184" s="24"/>
      <c r="K184" s="24"/>
      <c r="L184" s="23"/>
      <c r="M184" s="24"/>
      <c r="N184" s="24"/>
      <c r="O184" s="24"/>
      <c r="P184" s="26"/>
      <c r="Q184" s="51"/>
      <c r="R184" s="46"/>
      <c r="S184" s="51"/>
      <c r="T184" s="46"/>
      <c r="U184" s="46"/>
      <c r="V184" s="46"/>
      <c r="W184" s="46"/>
      <c r="X184" s="46"/>
      <c r="Y184" s="46"/>
      <c r="Z184" s="46"/>
      <c r="AA184" s="46"/>
      <c r="AB184" s="46"/>
      <c r="AC184" s="46"/>
      <c r="AD184" s="46"/>
      <c r="AE184" s="46"/>
    </row>
    <row r="185" ht="15.75" customHeight="1">
      <c r="A185" s="40" t="str">
        <f t="shared" si="4"/>
        <v/>
      </c>
      <c r="B185" s="40" t="str">
        <f t="shared" si="3"/>
        <v/>
      </c>
      <c r="C185" s="24"/>
      <c r="D185" s="23"/>
      <c r="E185" s="51"/>
      <c r="F185" s="51"/>
      <c r="G185" s="24"/>
      <c r="H185" s="24"/>
      <c r="I185" s="40" t="str">
        <f t="array" ref="I185">IF(G185="","",IFERROR(INDEX('Người sử dụng'!$H$5:$H$140,MATCH(G185,'Người sử dụng'!$C$5:$C$140,0)),"Chưa có trong DS"))</f>
        <v/>
      </c>
      <c r="J185" s="24"/>
      <c r="K185" s="24"/>
      <c r="L185" s="23"/>
      <c r="M185" s="24"/>
      <c r="N185" s="24"/>
      <c r="O185" s="24"/>
      <c r="P185" s="26"/>
      <c r="Q185" s="51"/>
      <c r="R185" s="46"/>
      <c r="S185" s="51"/>
      <c r="T185" s="46"/>
      <c r="U185" s="46"/>
      <c r="V185" s="46"/>
      <c r="W185" s="46"/>
      <c r="X185" s="46"/>
      <c r="Y185" s="46"/>
      <c r="Z185" s="46"/>
      <c r="AA185" s="46"/>
      <c r="AB185" s="46"/>
      <c r="AC185" s="46"/>
      <c r="AD185" s="46"/>
      <c r="AE185" s="46"/>
    </row>
    <row r="186" ht="15.75" customHeight="1">
      <c r="A186" s="40" t="str">
        <f t="shared" si="4"/>
        <v/>
      </c>
      <c r="B186" s="40" t="str">
        <f t="shared" si="3"/>
        <v/>
      </c>
      <c r="C186" s="24"/>
      <c r="D186" s="23"/>
      <c r="E186" s="51"/>
      <c r="F186" s="51"/>
      <c r="G186" s="24"/>
      <c r="H186" s="24"/>
      <c r="I186" s="40" t="str">
        <f t="array" ref="I186">IF(G186="","",IFERROR(INDEX('Người sử dụng'!$H$5:$H$140,MATCH(G186,'Người sử dụng'!$C$5:$C$140,0)),"Chưa có trong DS"))</f>
        <v/>
      </c>
      <c r="J186" s="24"/>
      <c r="K186" s="24"/>
      <c r="L186" s="23"/>
      <c r="M186" s="24"/>
      <c r="N186" s="24"/>
      <c r="O186" s="24"/>
      <c r="P186" s="26"/>
      <c r="Q186" s="51"/>
      <c r="R186" s="46"/>
      <c r="S186" s="51"/>
      <c r="T186" s="46"/>
      <c r="U186" s="46"/>
      <c r="V186" s="46"/>
      <c r="W186" s="46"/>
      <c r="X186" s="46"/>
      <c r="Y186" s="46"/>
      <c r="Z186" s="46"/>
      <c r="AA186" s="46"/>
      <c r="AB186" s="46"/>
      <c r="AC186" s="46"/>
      <c r="AD186" s="46"/>
      <c r="AE186" s="46"/>
    </row>
    <row r="187" ht="15.75" customHeight="1">
      <c r="A187" s="40" t="str">
        <f t="shared" si="4"/>
        <v/>
      </c>
      <c r="B187" s="40" t="str">
        <f t="shared" si="3"/>
        <v/>
      </c>
      <c r="C187" s="24"/>
      <c r="D187" s="23"/>
      <c r="E187" s="51"/>
      <c r="F187" s="51"/>
      <c r="G187" s="24"/>
      <c r="H187" s="24"/>
      <c r="I187" s="40" t="str">
        <f t="array" ref="I187">IF(G187="","",IFERROR(INDEX('Người sử dụng'!$H$5:$H$140,MATCH(G187,'Người sử dụng'!$C$5:$C$140,0)),"Chưa có trong DS"))</f>
        <v/>
      </c>
      <c r="J187" s="24"/>
      <c r="K187" s="24"/>
      <c r="L187" s="23"/>
      <c r="M187" s="24"/>
      <c r="N187" s="24"/>
      <c r="O187" s="24"/>
      <c r="P187" s="26"/>
      <c r="Q187" s="51"/>
      <c r="R187" s="46"/>
      <c r="S187" s="51"/>
      <c r="T187" s="46"/>
      <c r="U187" s="46"/>
      <c r="V187" s="46"/>
      <c r="W187" s="46"/>
      <c r="X187" s="46"/>
      <c r="Y187" s="46"/>
      <c r="Z187" s="46"/>
      <c r="AA187" s="46"/>
      <c r="AB187" s="46"/>
      <c r="AC187" s="46"/>
      <c r="AD187" s="46"/>
      <c r="AE187" s="46"/>
    </row>
    <row r="188" ht="15.75" customHeight="1">
      <c r="A188" s="40" t="str">
        <f t="shared" si="4"/>
        <v/>
      </c>
      <c r="B188" s="40" t="str">
        <f t="shared" si="3"/>
        <v/>
      </c>
      <c r="C188" s="24"/>
      <c r="D188" s="23"/>
      <c r="E188" s="51"/>
      <c r="F188" s="51"/>
      <c r="G188" s="24"/>
      <c r="H188" s="24"/>
      <c r="I188" s="40" t="str">
        <f t="array" ref="I188">IF(G188="","",IFERROR(INDEX('Người sử dụng'!$H$5:$H$140,MATCH(G188,'Người sử dụng'!$C$5:$C$140,0)),"Chưa có trong DS"))</f>
        <v/>
      </c>
      <c r="J188" s="24"/>
      <c r="K188" s="24"/>
      <c r="L188" s="23"/>
      <c r="M188" s="24"/>
      <c r="N188" s="24"/>
      <c r="O188" s="24"/>
      <c r="P188" s="26"/>
      <c r="Q188" s="51"/>
      <c r="R188" s="46"/>
      <c r="S188" s="51"/>
      <c r="T188" s="46"/>
      <c r="U188" s="46"/>
      <c r="V188" s="46"/>
      <c r="W188" s="46"/>
      <c r="X188" s="46"/>
      <c r="Y188" s="46"/>
      <c r="Z188" s="46"/>
      <c r="AA188" s="46"/>
      <c r="AB188" s="46"/>
      <c r="AC188" s="46"/>
      <c r="AD188" s="46"/>
      <c r="AE188" s="46"/>
    </row>
    <row r="189" ht="15.75" customHeight="1">
      <c r="A189" s="40" t="str">
        <f t="shared" si="4"/>
        <v/>
      </c>
      <c r="B189" s="40" t="str">
        <f t="shared" si="3"/>
        <v/>
      </c>
      <c r="C189" s="24"/>
      <c r="D189" s="23"/>
      <c r="E189" s="51"/>
      <c r="F189" s="51"/>
      <c r="G189" s="24"/>
      <c r="H189" s="24"/>
      <c r="I189" s="40" t="str">
        <f t="array" ref="I189">IF(G189="","",IFERROR(INDEX('Người sử dụng'!$H$5:$H$140,MATCH(G189,'Người sử dụng'!$C$5:$C$140,0)),"Chưa có trong DS"))</f>
        <v/>
      </c>
      <c r="J189" s="24"/>
      <c r="K189" s="24"/>
      <c r="L189" s="23"/>
      <c r="M189" s="24"/>
      <c r="N189" s="24"/>
      <c r="O189" s="24"/>
      <c r="P189" s="26"/>
      <c r="Q189" s="51"/>
      <c r="R189" s="46"/>
      <c r="S189" s="51"/>
      <c r="T189" s="46"/>
      <c r="U189" s="46"/>
      <c r="V189" s="46"/>
      <c r="W189" s="46"/>
      <c r="X189" s="46"/>
      <c r="Y189" s="46"/>
      <c r="Z189" s="46"/>
      <c r="AA189" s="46"/>
      <c r="AB189" s="46"/>
      <c r="AC189" s="46"/>
      <c r="AD189" s="46"/>
      <c r="AE189" s="46"/>
    </row>
    <row r="190" ht="15.75" customHeight="1">
      <c r="A190" s="40" t="str">
        <f t="shared" si="4"/>
        <v/>
      </c>
      <c r="B190" s="40" t="str">
        <f t="shared" si="3"/>
        <v/>
      </c>
      <c r="C190" s="24"/>
      <c r="D190" s="23"/>
      <c r="E190" s="51"/>
      <c r="F190" s="51"/>
      <c r="G190" s="24"/>
      <c r="H190" s="24"/>
      <c r="I190" s="40" t="str">
        <f t="array" ref="I190">IF(G190="","",IFERROR(INDEX('Người sử dụng'!$H$5:$H$140,MATCH(G190,'Người sử dụng'!$C$5:$C$140,0)),"Chưa có trong DS"))</f>
        <v/>
      </c>
      <c r="J190" s="24"/>
      <c r="K190" s="24"/>
      <c r="L190" s="23"/>
      <c r="M190" s="24"/>
      <c r="N190" s="24"/>
      <c r="O190" s="24"/>
      <c r="P190" s="26"/>
      <c r="Q190" s="51"/>
      <c r="R190" s="46"/>
      <c r="S190" s="51"/>
      <c r="T190" s="46"/>
      <c r="U190" s="46"/>
      <c r="V190" s="46"/>
      <c r="W190" s="46"/>
      <c r="X190" s="46"/>
      <c r="Y190" s="46"/>
      <c r="Z190" s="46"/>
      <c r="AA190" s="46"/>
      <c r="AB190" s="46"/>
      <c r="AC190" s="46"/>
      <c r="AD190" s="46"/>
      <c r="AE190" s="46"/>
    </row>
    <row r="191" ht="15.75" customHeight="1">
      <c r="A191" s="40" t="str">
        <f t="shared" si="4"/>
        <v/>
      </c>
      <c r="B191" s="40" t="str">
        <f t="shared" si="3"/>
        <v/>
      </c>
      <c r="C191" s="24"/>
      <c r="D191" s="23"/>
      <c r="E191" s="51"/>
      <c r="F191" s="51"/>
      <c r="G191" s="24"/>
      <c r="H191" s="24"/>
      <c r="I191" s="40" t="str">
        <f t="array" ref="I191">IF(G191="","",IFERROR(INDEX('Người sử dụng'!$H$5:$H$140,MATCH(G191,'Người sử dụng'!$C$5:$C$140,0)),"Chưa có trong DS"))</f>
        <v/>
      </c>
      <c r="J191" s="24"/>
      <c r="K191" s="24"/>
      <c r="L191" s="23"/>
      <c r="M191" s="24"/>
      <c r="N191" s="24"/>
      <c r="O191" s="24"/>
      <c r="P191" s="26"/>
      <c r="Q191" s="51"/>
      <c r="R191" s="46"/>
      <c r="S191" s="51"/>
      <c r="T191" s="46"/>
      <c r="U191" s="46"/>
      <c r="V191" s="46"/>
      <c r="W191" s="46"/>
      <c r="X191" s="46"/>
      <c r="Y191" s="46"/>
      <c r="Z191" s="46"/>
      <c r="AA191" s="46"/>
      <c r="AB191" s="46"/>
      <c r="AC191" s="46"/>
      <c r="AD191" s="46"/>
      <c r="AE191" s="46"/>
    </row>
    <row r="192" ht="15.75" customHeight="1">
      <c r="A192" s="40" t="str">
        <f t="shared" si="4"/>
        <v/>
      </c>
      <c r="B192" s="40" t="str">
        <f t="shared" si="3"/>
        <v/>
      </c>
      <c r="C192" s="24"/>
      <c r="D192" s="23"/>
      <c r="E192" s="51"/>
      <c r="F192" s="51"/>
      <c r="G192" s="24"/>
      <c r="H192" s="24"/>
      <c r="I192" s="40" t="str">
        <f t="array" ref="I192">IF(G192="","",IFERROR(INDEX('Người sử dụng'!$H$5:$H$140,MATCH(G192,'Người sử dụng'!$C$5:$C$140,0)),"Chưa có trong DS"))</f>
        <v/>
      </c>
      <c r="J192" s="24"/>
      <c r="K192" s="24"/>
      <c r="L192" s="23"/>
      <c r="M192" s="24"/>
      <c r="N192" s="24"/>
      <c r="O192" s="24"/>
      <c r="P192" s="26"/>
      <c r="Q192" s="51"/>
      <c r="R192" s="46"/>
      <c r="S192" s="51"/>
      <c r="T192" s="46"/>
      <c r="U192" s="46"/>
      <c r="V192" s="46"/>
      <c r="W192" s="46"/>
      <c r="X192" s="46"/>
      <c r="Y192" s="46"/>
      <c r="Z192" s="46"/>
      <c r="AA192" s="46"/>
      <c r="AB192" s="46"/>
      <c r="AC192" s="46"/>
      <c r="AD192" s="46"/>
      <c r="AE192" s="46"/>
    </row>
    <row r="193" ht="15.75" customHeight="1">
      <c r="A193" s="40" t="str">
        <f t="shared" si="4"/>
        <v/>
      </c>
      <c r="B193" s="40" t="str">
        <f t="shared" si="3"/>
        <v/>
      </c>
      <c r="C193" s="24"/>
      <c r="D193" s="23"/>
      <c r="E193" s="51"/>
      <c r="F193" s="51"/>
      <c r="G193" s="24"/>
      <c r="H193" s="24"/>
      <c r="I193" s="40" t="str">
        <f t="array" ref="I193">IF(G193="","",IFERROR(INDEX('Người sử dụng'!$H$5:$H$140,MATCH(G193,'Người sử dụng'!$C$5:$C$140,0)),"Chưa có trong DS"))</f>
        <v/>
      </c>
      <c r="J193" s="24"/>
      <c r="K193" s="24"/>
      <c r="L193" s="23"/>
      <c r="M193" s="24"/>
      <c r="N193" s="24"/>
      <c r="O193" s="24"/>
      <c r="P193" s="26"/>
      <c r="Q193" s="51"/>
      <c r="R193" s="46"/>
      <c r="S193" s="51"/>
      <c r="T193" s="46"/>
      <c r="U193" s="46"/>
      <c r="V193" s="46"/>
      <c r="W193" s="46"/>
      <c r="X193" s="46"/>
      <c r="Y193" s="46"/>
      <c r="Z193" s="46"/>
      <c r="AA193" s="46"/>
      <c r="AB193" s="46"/>
      <c r="AC193" s="46"/>
      <c r="AD193" s="46"/>
      <c r="AE193" s="46"/>
    </row>
    <row r="194" ht="15.75" customHeight="1">
      <c r="A194" s="40" t="str">
        <f t="shared" si="4"/>
        <v/>
      </c>
      <c r="B194" s="40" t="str">
        <f t="shared" si="3"/>
        <v/>
      </c>
      <c r="C194" s="24"/>
      <c r="D194" s="23"/>
      <c r="E194" s="51"/>
      <c r="F194" s="51"/>
      <c r="G194" s="24"/>
      <c r="H194" s="24"/>
      <c r="I194" s="40" t="str">
        <f t="array" ref="I194">IF(G194="","",IFERROR(INDEX('Người sử dụng'!$H$5:$H$140,MATCH(G194,'Người sử dụng'!$C$5:$C$140,0)),"Chưa có trong DS"))</f>
        <v/>
      </c>
      <c r="J194" s="24"/>
      <c r="K194" s="24"/>
      <c r="L194" s="23"/>
      <c r="M194" s="24"/>
      <c r="N194" s="24"/>
      <c r="O194" s="24"/>
      <c r="P194" s="26"/>
      <c r="Q194" s="51"/>
      <c r="R194" s="46"/>
      <c r="S194" s="51"/>
      <c r="T194" s="46"/>
      <c r="U194" s="46"/>
      <c r="V194" s="46"/>
      <c r="W194" s="46"/>
      <c r="X194" s="46"/>
      <c r="Y194" s="46"/>
      <c r="Z194" s="46"/>
      <c r="AA194" s="46"/>
      <c r="AB194" s="46"/>
      <c r="AC194" s="46"/>
      <c r="AD194" s="46"/>
      <c r="AE194" s="46"/>
    </row>
    <row r="195" ht="15.75" customHeight="1">
      <c r="A195" s="40" t="str">
        <f t="shared" si="4"/>
        <v/>
      </c>
      <c r="B195" s="40" t="str">
        <f t="shared" si="3"/>
        <v/>
      </c>
      <c r="C195" s="24"/>
      <c r="D195" s="23"/>
      <c r="E195" s="51"/>
      <c r="F195" s="51"/>
      <c r="G195" s="24"/>
      <c r="H195" s="24"/>
      <c r="I195" s="40" t="str">
        <f t="array" ref="I195">IF(G195="","",IFERROR(INDEX('Người sử dụng'!$H$5:$H$140,MATCH(G195,'Người sử dụng'!$C$5:$C$140,0)),"Chưa có trong DS"))</f>
        <v/>
      </c>
      <c r="J195" s="24"/>
      <c r="K195" s="24"/>
      <c r="L195" s="23"/>
      <c r="M195" s="24"/>
      <c r="N195" s="24"/>
      <c r="O195" s="24"/>
      <c r="P195" s="26"/>
      <c r="Q195" s="51"/>
      <c r="R195" s="46"/>
      <c r="S195" s="51"/>
      <c r="T195" s="46"/>
      <c r="U195" s="46"/>
      <c r="V195" s="46"/>
      <c r="W195" s="46"/>
      <c r="X195" s="46"/>
      <c r="Y195" s="46"/>
      <c r="Z195" s="46"/>
      <c r="AA195" s="46"/>
      <c r="AB195" s="46"/>
      <c r="AC195" s="46"/>
      <c r="AD195" s="46"/>
      <c r="AE195" s="46"/>
    </row>
    <row r="196" ht="15.75" customHeight="1">
      <c r="A196" s="40" t="str">
        <f t="shared" si="4"/>
        <v/>
      </c>
      <c r="B196" s="40" t="str">
        <f t="shared" si="3"/>
        <v/>
      </c>
      <c r="C196" s="24"/>
      <c r="D196" s="23"/>
      <c r="E196" s="51"/>
      <c r="F196" s="51"/>
      <c r="G196" s="24"/>
      <c r="H196" s="24"/>
      <c r="I196" s="40" t="str">
        <f t="array" ref="I196">IF(G196="","",IFERROR(INDEX('Người sử dụng'!$H$5:$H$140,MATCH(G196,'Người sử dụng'!$C$5:$C$140,0)),"Chưa có trong DS"))</f>
        <v/>
      </c>
      <c r="J196" s="24"/>
      <c r="K196" s="24"/>
      <c r="L196" s="23"/>
      <c r="M196" s="24"/>
      <c r="N196" s="24"/>
      <c r="O196" s="24"/>
      <c r="P196" s="26"/>
      <c r="Q196" s="51"/>
      <c r="R196" s="46"/>
      <c r="S196" s="51"/>
      <c r="T196" s="46"/>
      <c r="U196" s="46"/>
      <c r="V196" s="46"/>
      <c r="W196" s="46"/>
      <c r="X196" s="46"/>
      <c r="Y196" s="46"/>
      <c r="Z196" s="46"/>
      <c r="AA196" s="46"/>
      <c r="AB196" s="46"/>
      <c r="AC196" s="46"/>
      <c r="AD196" s="46"/>
      <c r="AE196" s="46"/>
    </row>
    <row r="197" ht="15.75" customHeight="1">
      <c r="A197" s="40" t="str">
        <f t="shared" si="4"/>
        <v/>
      </c>
      <c r="B197" s="40" t="str">
        <f t="shared" si="3"/>
        <v/>
      </c>
      <c r="C197" s="24"/>
      <c r="D197" s="23"/>
      <c r="E197" s="51"/>
      <c r="F197" s="51"/>
      <c r="G197" s="24"/>
      <c r="H197" s="24"/>
      <c r="I197" s="40" t="str">
        <f t="array" ref="I197">IF(G197="","",IFERROR(INDEX('Người sử dụng'!$H$5:$H$140,MATCH(G197,'Người sử dụng'!$C$5:$C$140,0)),"Chưa có trong DS"))</f>
        <v/>
      </c>
      <c r="J197" s="24"/>
      <c r="K197" s="24"/>
      <c r="L197" s="23"/>
      <c r="M197" s="24"/>
      <c r="N197" s="24"/>
      <c r="O197" s="24"/>
      <c r="P197" s="26"/>
      <c r="Q197" s="51"/>
      <c r="R197" s="46"/>
      <c r="S197" s="51"/>
      <c r="T197" s="46"/>
      <c r="U197" s="46"/>
      <c r="V197" s="46"/>
      <c r="W197" s="46"/>
      <c r="X197" s="46"/>
      <c r="Y197" s="46"/>
      <c r="Z197" s="46"/>
      <c r="AA197" s="46"/>
      <c r="AB197" s="46"/>
      <c r="AC197" s="46"/>
      <c r="AD197" s="46"/>
      <c r="AE197" s="46"/>
    </row>
    <row r="198" ht="15.75" customHeight="1">
      <c r="A198" s="40" t="str">
        <f t="shared" si="4"/>
        <v/>
      </c>
      <c r="B198" s="40" t="str">
        <f t="shared" si="3"/>
        <v/>
      </c>
      <c r="C198" s="24"/>
      <c r="D198" s="23"/>
      <c r="E198" s="51"/>
      <c r="F198" s="51"/>
      <c r="G198" s="24"/>
      <c r="H198" s="24"/>
      <c r="I198" s="40" t="str">
        <f t="array" ref="I198">IF(G198="","",IFERROR(INDEX('Người sử dụng'!$H$5:$H$140,MATCH(G198,'Người sử dụng'!$C$5:$C$140,0)),"Chưa có trong DS"))</f>
        <v/>
      </c>
      <c r="J198" s="24"/>
      <c r="K198" s="24"/>
      <c r="L198" s="23"/>
      <c r="M198" s="24"/>
      <c r="N198" s="24"/>
      <c r="O198" s="24"/>
      <c r="P198" s="26"/>
      <c r="Q198" s="51"/>
      <c r="R198" s="46"/>
      <c r="S198" s="51"/>
      <c r="T198" s="46"/>
      <c r="U198" s="46"/>
      <c r="V198" s="46"/>
      <c r="W198" s="46"/>
      <c r="X198" s="46"/>
      <c r="Y198" s="46"/>
      <c r="Z198" s="46"/>
      <c r="AA198" s="46"/>
      <c r="AB198" s="46"/>
      <c r="AC198" s="46"/>
      <c r="AD198" s="46"/>
      <c r="AE198" s="46"/>
    </row>
    <row r="199" ht="15.75" customHeight="1">
      <c r="A199" s="40" t="str">
        <f t="shared" si="4"/>
        <v/>
      </c>
      <c r="B199" s="40" t="str">
        <f t="shared" si="3"/>
        <v/>
      </c>
      <c r="C199" s="24"/>
      <c r="D199" s="23"/>
      <c r="E199" s="51"/>
      <c r="F199" s="51"/>
      <c r="G199" s="24"/>
      <c r="H199" s="24"/>
      <c r="I199" s="40" t="str">
        <f t="array" ref="I199">IF(G199="","",IFERROR(INDEX('Người sử dụng'!$H$5:$H$140,MATCH(G199,'Người sử dụng'!$C$5:$C$140,0)),"Chưa có trong DS"))</f>
        <v/>
      </c>
      <c r="J199" s="24"/>
      <c r="K199" s="24"/>
      <c r="L199" s="23"/>
      <c r="M199" s="24"/>
      <c r="N199" s="24"/>
      <c r="O199" s="24"/>
      <c r="P199" s="26"/>
      <c r="Q199" s="51"/>
      <c r="R199" s="46"/>
      <c r="S199" s="51"/>
      <c r="T199" s="46"/>
      <c r="U199" s="46"/>
      <c r="V199" s="46"/>
      <c r="W199" s="46"/>
      <c r="X199" s="46"/>
      <c r="Y199" s="46"/>
      <c r="Z199" s="46"/>
      <c r="AA199" s="46"/>
      <c r="AB199" s="46"/>
      <c r="AC199" s="46"/>
      <c r="AD199" s="46"/>
      <c r="AE199" s="46"/>
    </row>
    <row r="200" ht="15.75" customHeight="1">
      <c r="A200" s="40" t="str">
        <f t="shared" si="4"/>
        <v/>
      </c>
      <c r="B200" s="40" t="str">
        <f t="shared" si="3"/>
        <v/>
      </c>
      <c r="C200" s="24"/>
      <c r="D200" s="23"/>
      <c r="E200" s="51"/>
      <c r="F200" s="51"/>
      <c r="G200" s="24"/>
      <c r="H200" s="24"/>
      <c r="I200" s="40" t="str">
        <f t="array" ref="I200">IF(G200="","",IFERROR(INDEX('Người sử dụng'!$H$5:$H$140,MATCH(G200,'Người sử dụng'!$C$5:$C$140,0)),"Chưa có trong DS"))</f>
        <v/>
      </c>
      <c r="J200" s="24"/>
      <c r="K200" s="24"/>
      <c r="L200" s="23"/>
      <c r="M200" s="24"/>
      <c r="N200" s="24"/>
      <c r="O200" s="24"/>
      <c r="P200" s="26"/>
      <c r="Q200" s="51"/>
      <c r="R200" s="46"/>
      <c r="S200" s="51"/>
      <c r="T200" s="46"/>
      <c r="U200" s="46"/>
      <c r="V200" s="46"/>
      <c r="W200" s="46"/>
      <c r="X200" s="46"/>
      <c r="Y200" s="46"/>
      <c r="Z200" s="46"/>
      <c r="AA200" s="46"/>
      <c r="AB200" s="46"/>
      <c r="AC200" s="46"/>
      <c r="AD200" s="46"/>
      <c r="AE200" s="46"/>
    </row>
    <row r="201" ht="15.75" customHeight="1">
      <c r="A201" s="40" t="str">
        <f t="shared" si="4"/>
        <v/>
      </c>
      <c r="B201" s="40" t="str">
        <f t="shared" si="3"/>
        <v/>
      </c>
      <c r="C201" s="24"/>
      <c r="D201" s="23"/>
      <c r="E201" s="51"/>
      <c r="F201" s="51"/>
      <c r="G201" s="24"/>
      <c r="H201" s="24"/>
      <c r="I201" s="40" t="str">
        <f t="array" ref="I201">IF(G201="","",IFERROR(INDEX('Người sử dụng'!$H$5:$H$140,MATCH(G201,'Người sử dụng'!$C$5:$C$140,0)),"Chưa có trong DS"))</f>
        <v/>
      </c>
      <c r="J201" s="24"/>
      <c r="K201" s="24"/>
      <c r="L201" s="23"/>
      <c r="M201" s="24"/>
      <c r="N201" s="24"/>
      <c r="O201" s="24"/>
      <c r="P201" s="26"/>
      <c r="Q201" s="51"/>
      <c r="R201" s="46"/>
      <c r="S201" s="51"/>
      <c r="T201" s="46"/>
      <c r="U201" s="46"/>
      <c r="V201" s="46"/>
      <c r="W201" s="46"/>
      <c r="X201" s="46"/>
      <c r="Y201" s="46"/>
      <c r="Z201" s="46"/>
      <c r="AA201" s="46"/>
      <c r="AB201" s="46"/>
      <c r="AC201" s="46"/>
      <c r="AD201" s="46"/>
      <c r="AE201" s="46"/>
    </row>
    <row r="202" ht="15.75" customHeight="1">
      <c r="A202" s="40" t="str">
        <f t="shared" si="4"/>
        <v/>
      </c>
      <c r="B202" s="40" t="str">
        <f t="shared" si="3"/>
        <v/>
      </c>
      <c r="C202" s="24"/>
      <c r="D202" s="23"/>
      <c r="E202" s="51"/>
      <c r="F202" s="51"/>
      <c r="G202" s="24"/>
      <c r="H202" s="24"/>
      <c r="I202" s="40" t="str">
        <f t="array" ref="I202">IF(G202="","",IFERROR(INDEX('Người sử dụng'!$H$5:$H$140,MATCH(G202,'Người sử dụng'!$C$5:$C$140,0)),"Chưa có trong DS"))</f>
        <v/>
      </c>
      <c r="J202" s="24"/>
      <c r="K202" s="24"/>
      <c r="L202" s="23"/>
      <c r="M202" s="24"/>
      <c r="N202" s="24"/>
      <c r="O202" s="24"/>
      <c r="P202" s="26"/>
      <c r="Q202" s="51"/>
      <c r="R202" s="46"/>
      <c r="S202" s="51"/>
      <c r="T202" s="46"/>
      <c r="U202" s="46"/>
      <c r="V202" s="46"/>
      <c r="W202" s="46"/>
      <c r="X202" s="46"/>
      <c r="Y202" s="46"/>
      <c r="Z202" s="46"/>
      <c r="AA202" s="46"/>
      <c r="AB202" s="46"/>
      <c r="AC202" s="46"/>
      <c r="AD202" s="46"/>
      <c r="AE202" s="46"/>
    </row>
    <row r="203" ht="15.75" customHeight="1">
      <c r="A203" s="40" t="str">
        <f t="shared" si="4"/>
        <v/>
      </c>
      <c r="B203" s="40" t="str">
        <f t="shared" si="3"/>
        <v/>
      </c>
      <c r="C203" s="24"/>
      <c r="D203" s="23"/>
      <c r="E203" s="51"/>
      <c r="F203" s="51"/>
      <c r="G203" s="24"/>
      <c r="H203" s="24"/>
      <c r="I203" s="40" t="str">
        <f t="array" ref="I203">IF(G203="","",IFERROR(INDEX('Người sử dụng'!$H$5:$H$140,MATCH(G203,'Người sử dụng'!$C$5:$C$140,0)),"Chưa có trong DS"))</f>
        <v/>
      </c>
      <c r="J203" s="24"/>
      <c r="K203" s="24"/>
      <c r="L203" s="23"/>
      <c r="M203" s="24"/>
      <c r="N203" s="24"/>
      <c r="O203" s="24"/>
      <c r="P203" s="26"/>
      <c r="Q203" s="51"/>
      <c r="R203" s="46"/>
      <c r="S203" s="51"/>
      <c r="T203" s="46"/>
      <c r="U203" s="46"/>
      <c r="V203" s="46"/>
      <c r="W203" s="46"/>
      <c r="X203" s="46"/>
      <c r="Y203" s="46"/>
      <c r="Z203" s="46"/>
      <c r="AA203" s="46"/>
      <c r="AB203" s="46"/>
      <c r="AC203" s="46"/>
      <c r="AD203" s="46"/>
      <c r="AE203" s="46"/>
    </row>
    <row r="204" ht="15.75" customHeight="1">
      <c r="A204" s="40" t="str">
        <f t="shared" si="4"/>
        <v/>
      </c>
      <c r="B204" s="40" t="str">
        <f t="shared" si="3"/>
        <v/>
      </c>
      <c r="C204" s="24"/>
      <c r="D204" s="23"/>
      <c r="E204" s="51"/>
      <c r="F204" s="51"/>
      <c r="G204" s="24"/>
      <c r="H204" s="24"/>
      <c r="I204" s="40" t="str">
        <f t="array" ref="I204">IF(G204="","",IFERROR(INDEX('Người sử dụng'!$H$5:$H$140,MATCH(G204,'Người sử dụng'!$C$5:$C$140,0)),"Chưa có trong DS"))</f>
        <v/>
      </c>
      <c r="J204" s="24"/>
      <c r="K204" s="24"/>
      <c r="L204" s="23"/>
      <c r="M204" s="24"/>
      <c r="N204" s="24"/>
      <c r="O204" s="24"/>
      <c r="P204" s="26"/>
      <c r="Q204" s="51"/>
      <c r="R204" s="46"/>
      <c r="S204" s="51"/>
      <c r="T204" s="46"/>
      <c r="U204" s="46"/>
      <c r="V204" s="46"/>
      <c r="W204" s="46"/>
      <c r="X204" s="46"/>
      <c r="Y204" s="46"/>
      <c r="Z204" s="46"/>
      <c r="AA204" s="46"/>
      <c r="AB204" s="46"/>
      <c r="AC204" s="46"/>
      <c r="AD204" s="46"/>
      <c r="AE204" s="46"/>
    </row>
    <row r="205" ht="15.75" customHeight="1">
      <c r="A205" s="40" t="str">
        <f t="shared" si="4"/>
        <v/>
      </c>
      <c r="B205" s="40" t="str">
        <f t="shared" si="3"/>
        <v/>
      </c>
      <c r="C205" s="24"/>
      <c r="D205" s="23"/>
      <c r="E205" s="51"/>
      <c r="F205" s="51"/>
      <c r="G205" s="24"/>
      <c r="H205" s="24"/>
      <c r="I205" s="40" t="str">
        <f t="array" ref="I205">IF(G205="","",IFERROR(INDEX('Người sử dụng'!$H$5:$H$140,MATCH(G205,'Người sử dụng'!$C$5:$C$140,0)),"Chưa có trong DS"))</f>
        <v/>
      </c>
      <c r="J205" s="24"/>
      <c r="K205" s="24"/>
      <c r="L205" s="23"/>
      <c r="M205" s="24"/>
      <c r="N205" s="24"/>
      <c r="O205" s="24"/>
      <c r="P205" s="26"/>
      <c r="Q205" s="51"/>
      <c r="R205" s="46"/>
      <c r="S205" s="51"/>
      <c r="T205" s="46"/>
      <c r="U205" s="46"/>
      <c r="V205" s="46"/>
      <c r="W205" s="46"/>
      <c r="X205" s="46"/>
      <c r="Y205" s="46"/>
      <c r="Z205" s="46"/>
      <c r="AA205" s="46"/>
      <c r="AB205" s="46"/>
      <c r="AC205" s="46"/>
      <c r="AD205" s="46"/>
      <c r="AE205" s="46"/>
    </row>
    <row r="206" ht="15.75" customHeight="1">
      <c r="H206" s="52"/>
    </row>
    <row r="207" ht="15.75" customHeight="1">
      <c r="H207" s="52"/>
    </row>
    <row r="208" ht="15.75" customHeight="1">
      <c r="H208" s="52"/>
    </row>
    <row r="209" ht="15.75" customHeight="1">
      <c r="H209" s="52"/>
    </row>
    <row r="210" ht="15.75" customHeight="1">
      <c r="H210" s="52"/>
    </row>
    <row r="211" ht="15.75" customHeight="1">
      <c r="H211" s="52"/>
    </row>
    <row r="212" ht="15.75" customHeight="1">
      <c r="H212" s="52"/>
    </row>
    <row r="213" ht="15.75" customHeight="1">
      <c r="H213" s="52"/>
    </row>
    <row r="214" ht="15.75" customHeight="1">
      <c r="H214" s="52"/>
    </row>
    <row r="215" ht="15.75" customHeight="1">
      <c r="H215" s="52"/>
    </row>
    <row r="216" ht="15.75" customHeight="1">
      <c r="H216" s="52"/>
    </row>
    <row r="217" ht="15.75" customHeight="1">
      <c r="H217" s="52"/>
    </row>
    <row r="218" ht="15.75" customHeight="1">
      <c r="H218" s="52"/>
    </row>
    <row r="219" ht="15.75" customHeight="1">
      <c r="H219" s="52"/>
    </row>
    <row r="220" ht="15.75" customHeight="1">
      <c r="H220" s="52"/>
    </row>
    <row r="221" ht="15.75" customHeight="1">
      <c r="H221" s="52"/>
    </row>
    <row r="222" ht="15.75" customHeight="1">
      <c r="H222" s="52"/>
    </row>
    <row r="223" ht="15.75" customHeight="1">
      <c r="H223" s="52"/>
    </row>
    <row r="224" ht="15.75" customHeight="1">
      <c r="H224" s="52"/>
    </row>
    <row r="225" ht="15.75" customHeight="1">
      <c r="H225" s="52"/>
    </row>
    <row r="226" ht="15.75" customHeight="1">
      <c r="H226" s="52"/>
    </row>
    <row r="227" ht="15.75" customHeight="1">
      <c r="H227" s="52"/>
    </row>
    <row r="228" ht="15.75" customHeight="1">
      <c r="H228" s="52"/>
    </row>
    <row r="229" ht="15.75" customHeight="1">
      <c r="H229" s="52"/>
    </row>
    <row r="230" ht="15.75" customHeight="1">
      <c r="H230" s="52"/>
    </row>
    <row r="231" ht="15.75" customHeight="1">
      <c r="H231" s="52"/>
    </row>
    <row r="232" ht="15.75" customHeight="1">
      <c r="H232" s="52"/>
    </row>
    <row r="233" ht="15.75" customHeight="1">
      <c r="H233" s="52"/>
    </row>
    <row r="234" ht="15.75" customHeight="1">
      <c r="H234" s="52"/>
    </row>
    <row r="235" ht="15.75" customHeight="1">
      <c r="H235" s="52"/>
    </row>
    <row r="236" ht="15.75" customHeight="1">
      <c r="H236" s="52"/>
    </row>
    <row r="237" ht="15.75" customHeight="1">
      <c r="H237" s="52"/>
    </row>
    <row r="238" ht="15.75" customHeight="1">
      <c r="H238" s="52"/>
    </row>
    <row r="239" ht="15.75" customHeight="1">
      <c r="H239" s="52"/>
    </row>
    <row r="240" ht="15.75" customHeight="1">
      <c r="H240" s="52"/>
    </row>
    <row r="241" ht="15.75" customHeight="1">
      <c r="H241" s="52"/>
    </row>
    <row r="242" ht="15.75" customHeight="1">
      <c r="H242" s="52"/>
    </row>
    <row r="243" ht="15.75" customHeight="1">
      <c r="H243" s="52"/>
    </row>
    <row r="244" ht="15.75" customHeight="1">
      <c r="H244" s="52"/>
    </row>
    <row r="245" ht="15.75" customHeight="1">
      <c r="H245" s="52"/>
    </row>
    <row r="246" ht="15.75" customHeight="1">
      <c r="H246" s="52"/>
    </row>
    <row r="247" ht="15.75" customHeight="1">
      <c r="H247" s="52"/>
    </row>
    <row r="248" ht="15.75" customHeight="1">
      <c r="H248" s="52"/>
    </row>
    <row r="249" ht="15.75" customHeight="1">
      <c r="H249" s="52"/>
    </row>
    <row r="250" ht="15.75" customHeight="1">
      <c r="H250" s="52"/>
    </row>
    <row r="251" ht="15.75" customHeight="1">
      <c r="H251" s="52"/>
    </row>
    <row r="252" ht="15.75" customHeight="1">
      <c r="H252" s="52"/>
    </row>
    <row r="253" ht="15.75" customHeight="1">
      <c r="H253" s="52"/>
    </row>
    <row r="254" ht="15.75" customHeight="1">
      <c r="H254" s="52"/>
    </row>
    <row r="255" ht="15.75" customHeight="1">
      <c r="H255" s="52"/>
    </row>
    <row r="256" ht="15.75" customHeight="1">
      <c r="H256" s="52"/>
    </row>
    <row r="257" ht="15.75" customHeight="1">
      <c r="H257" s="52"/>
    </row>
    <row r="258" ht="15.75" customHeight="1">
      <c r="H258" s="52"/>
    </row>
    <row r="259" ht="15.75" customHeight="1">
      <c r="H259" s="52"/>
    </row>
    <row r="260" ht="15.75" customHeight="1">
      <c r="H260" s="52"/>
    </row>
    <row r="261" ht="15.75" customHeight="1">
      <c r="H261" s="52"/>
    </row>
    <row r="262" ht="15.75" customHeight="1">
      <c r="H262" s="52"/>
    </row>
    <row r="263" ht="15.75" customHeight="1">
      <c r="H263" s="52"/>
    </row>
    <row r="264" ht="15.75" customHeight="1">
      <c r="H264" s="52"/>
    </row>
    <row r="265" ht="15.75" customHeight="1">
      <c r="H265" s="52"/>
    </row>
    <row r="266" ht="15.75" customHeight="1">
      <c r="H266" s="52"/>
    </row>
    <row r="267" ht="15.75" customHeight="1">
      <c r="H267" s="52"/>
    </row>
    <row r="268" ht="15.75" customHeight="1">
      <c r="H268" s="52"/>
    </row>
    <row r="269" ht="15.75" customHeight="1">
      <c r="H269" s="52"/>
    </row>
    <row r="270" ht="15.75" customHeight="1">
      <c r="H270" s="52"/>
    </row>
    <row r="271" ht="15.75" customHeight="1">
      <c r="H271" s="52"/>
    </row>
    <row r="272" ht="15.75" customHeight="1">
      <c r="H272" s="52"/>
    </row>
    <row r="273" ht="15.75" customHeight="1">
      <c r="H273" s="52"/>
    </row>
    <row r="274" ht="15.75" customHeight="1">
      <c r="H274" s="52"/>
    </row>
    <row r="275" ht="15.75" customHeight="1">
      <c r="H275" s="52"/>
    </row>
    <row r="276" ht="15.75" customHeight="1">
      <c r="H276" s="52"/>
    </row>
    <row r="277" ht="15.75" customHeight="1">
      <c r="H277" s="52"/>
    </row>
    <row r="278" ht="15.75" customHeight="1">
      <c r="H278" s="52"/>
    </row>
    <row r="279" ht="15.75" customHeight="1">
      <c r="H279" s="52"/>
    </row>
    <row r="280" ht="15.75" customHeight="1">
      <c r="H280" s="52"/>
    </row>
    <row r="281" ht="15.75" customHeight="1">
      <c r="H281" s="52"/>
    </row>
    <row r="282" ht="15.75" customHeight="1">
      <c r="H282" s="52"/>
    </row>
    <row r="283" ht="15.75" customHeight="1">
      <c r="H283" s="52"/>
    </row>
    <row r="284" ht="15.75" customHeight="1">
      <c r="H284" s="52"/>
    </row>
    <row r="285" ht="15.75" customHeight="1">
      <c r="H285" s="52"/>
    </row>
    <row r="286" ht="15.75" customHeight="1">
      <c r="H286" s="52"/>
    </row>
    <row r="287" ht="15.75" customHeight="1">
      <c r="H287" s="52"/>
    </row>
    <row r="288" ht="15.75" customHeight="1">
      <c r="H288" s="52"/>
    </row>
    <row r="289" ht="15.75" customHeight="1">
      <c r="H289" s="52"/>
    </row>
    <row r="290" ht="15.75" customHeight="1">
      <c r="H290" s="52"/>
    </row>
    <row r="291" ht="15.75" customHeight="1">
      <c r="H291" s="52"/>
    </row>
    <row r="292" ht="15.75" customHeight="1">
      <c r="H292" s="52"/>
    </row>
    <row r="293" ht="15.75" customHeight="1">
      <c r="H293" s="52"/>
    </row>
    <row r="294" ht="15.75" customHeight="1">
      <c r="H294" s="52"/>
    </row>
    <row r="295" ht="15.75" customHeight="1">
      <c r="H295" s="52"/>
    </row>
    <row r="296" ht="15.75" customHeight="1">
      <c r="H296" s="52"/>
    </row>
    <row r="297" ht="15.75" customHeight="1">
      <c r="H297" s="52"/>
    </row>
    <row r="298" ht="15.75" customHeight="1">
      <c r="H298" s="52"/>
    </row>
    <row r="299" ht="15.75" customHeight="1">
      <c r="H299" s="52"/>
    </row>
    <row r="300" ht="15.75" customHeight="1">
      <c r="H300" s="52"/>
    </row>
    <row r="301" ht="15.75" customHeight="1">
      <c r="H301" s="52"/>
    </row>
    <row r="302" ht="15.75" customHeight="1">
      <c r="H302" s="52"/>
    </row>
    <row r="303" ht="15.75" customHeight="1">
      <c r="H303" s="52"/>
    </row>
    <row r="304" ht="15.75" customHeight="1">
      <c r="H304" s="52"/>
    </row>
    <row r="305" ht="15.75" customHeight="1">
      <c r="H305" s="52"/>
    </row>
    <row r="306" ht="15.75" customHeight="1">
      <c r="H306" s="52"/>
    </row>
    <row r="307" ht="15.75" customHeight="1">
      <c r="H307" s="52"/>
    </row>
    <row r="308" ht="15.75" customHeight="1">
      <c r="H308" s="52"/>
    </row>
    <row r="309" ht="15.75" customHeight="1">
      <c r="H309" s="52"/>
    </row>
    <row r="310" ht="15.75" customHeight="1">
      <c r="H310" s="52"/>
    </row>
    <row r="311" ht="15.75" customHeight="1">
      <c r="H311" s="52"/>
    </row>
    <row r="312" ht="15.75" customHeight="1">
      <c r="H312" s="52"/>
    </row>
    <row r="313" ht="15.75" customHeight="1">
      <c r="H313" s="52"/>
    </row>
    <row r="314" ht="15.75" customHeight="1">
      <c r="H314" s="52"/>
    </row>
    <row r="315" ht="15.75" customHeight="1">
      <c r="H315" s="52"/>
    </row>
    <row r="316" ht="15.75" customHeight="1">
      <c r="H316" s="52"/>
    </row>
    <row r="317" ht="15.75" customHeight="1">
      <c r="H317" s="52"/>
    </row>
    <row r="318" ht="15.75" customHeight="1">
      <c r="H318" s="52"/>
    </row>
    <row r="319" ht="15.75" customHeight="1">
      <c r="H319" s="52"/>
    </row>
    <row r="320" ht="15.75" customHeight="1">
      <c r="H320" s="52"/>
    </row>
    <row r="321" ht="15.75" customHeight="1">
      <c r="H321" s="52"/>
    </row>
    <row r="322" ht="15.75" customHeight="1">
      <c r="H322" s="52"/>
    </row>
    <row r="323" ht="15.75" customHeight="1">
      <c r="H323" s="52"/>
    </row>
    <row r="324" ht="15.75" customHeight="1">
      <c r="H324" s="52"/>
    </row>
    <row r="325" ht="15.75" customHeight="1">
      <c r="H325" s="52"/>
    </row>
    <row r="326" ht="15.75" customHeight="1">
      <c r="H326" s="52"/>
    </row>
    <row r="327" ht="15.75" customHeight="1">
      <c r="H327" s="52"/>
    </row>
    <row r="328" ht="15.75" customHeight="1">
      <c r="H328" s="52"/>
    </row>
    <row r="329" ht="15.75" customHeight="1">
      <c r="H329" s="52"/>
    </row>
    <row r="330" ht="15.75" customHeight="1">
      <c r="H330" s="52"/>
    </row>
    <row r="331" ht="15.75" customHeight="1">
      <c r="H331" s="52"/>
    </row>
    <row r="332" ht="15.75" customHeight="1">
      <c r="H332" s="52"/>
    </row>
    <row r="333" ht="15.75" customHeight="1">
      <c r="H333" s="52"/>
    </row>
    <row r="334" ht="15.75" customHeight="1">
      <c r="H334" s="52"/>
    </row>
    <row r="335" ht="15.75" customHeight="1">
      <c r="H335" s="52"/>
    </row>
    <row r="336" ht="15.75" customHeight="1">
      <c r="H336" s="52"/>
    </row>
    <row r="337" ht="15.75" customHeight="1">
      <c r="H337" s="52"/>
    </row>
    <row r="338" ht="15.75" customHeight="1">
      <c r="H338" s="52"/>
    </row>
    <row r="339" ht="15.75" customHeight="1">
      <c r="H339" s="52"/>
    </row>
    <row r="340" ht="15.75" customHeight="1">
      <c r="H340" s="52"/>
    </row>
    <row r="341" ht="15.75" customHeight="1">
      <c r="H341" s="52"/>
    </row>
    <row r="342" ht="15.75" customHeight="1">
      <c r="H342" s="52"/>
    </row>
    <row r="343" ht="15.75" customHeight="1">
      <c r="H343" s="52"/>
    </row>
    <row r="344" ht="15.75" customHeight="1">
      <c r="H344" s="52"/>
    </row>
    <row r="345" ht="15.75" customHeight="1">
      <c r="H345" s="52"/>
    </row>
    <row r="346" ht="15.75" customHeight="1">
      <c r="H346" s="52"/>
    </row>
    <row r="347" ht="15.75" customHeight="1">
      <c r="H347" s="52"/>
    </row>
    <row r="348" ht="15.75" customHeight="1">
      <c r="H348" s="52"/>
    </row>
    <row r="349" ht="15.75" customHeight="1">
      <c r="H349" s="52"/>
    </row>
    <row r="350" ht="15.75" customHeight="1">
      <c r="H350" s="52"/>
    </row>
    <row r="351" ht="15.75" customHeight="1">
      <c r="H351" s="52"/>
    </row>
    <row r="352" ht="15.75" customHeight="1">
      <c r="H352" s="52"/>
    </row>
    <row r="353" ht="15.75" customHeight="1">
      <c r="H353" s="52"/>
    </row>
    <row r="354" ht="15.75" customHeight="1">
      <c r="H354" s="52"/>
    </row>
    <row r="355" ht="15.75" customHeight="1">
      <c r="H355" s="52"/>
    </row>
    <row r="356" ht="15.75" customHeight="1">
      <c r="H356" s="52"/>
    </row>
    <row r="357" ht="15.75" customHeight="1">
      <c r="H357" s="52"/>
    </row>
    <row r="358" ht="15.75" customHeight="1">
      <c r="H358" s="52"/>
    </row>
    <row r="359" ht="15.75" customHeight="1">
      <c r="H359" s="52"/>
    </row>
    <row r="360" ht="15.75" customHeight="1">
      <c r="H360" s="52"/>
    </row>
    <row r="361" ht="15.75" customHeight="1">
      <c r="H361" s="52"/>
    </row>
    <row r="362" ht="15.75" customHeight="1">
      <c r="H362" s="52"/>
    </row>
    <row r="363" ht="15.75" customHeight="1">
      <c r="H363" s="52"/>
    </row>
    <row r="364" ht="15.75" customHeight="1">
      <c r="H364" s="52"/>
    </row>
    <row r="365" ht="15.75" customHeight="1">
      <c r="H365" s="52"/>
    </row>
    <row r="366" ht="15.75" customHeight="1">
      <c r="H366" s="52"/>
    </row>
    <row r="367" ht="15.75" customHeight="1">
      <c r="H367" s="52"/>
    </row>
    <row r="368" ht="15.75" customHeight="1">
      <c r="H368" s="52"/>
    </row>
    <row r="369" ht="15.75" customHeight="1">
      <c r="H369" s="52"/>
    </row>
    <row r="370" ht="15.75" customHeight="1">
      <c r="H370" s="52"/>
    </row>
    <row r="371" ht="15.75" customHeight="1">
      <c r="H371" s="52"/>
    </row>
    <row r="372" ht="15.75" customHeight="1">
      <c r="H372" s="52"/>
    </row>
    <row r="373" ht="15.75" customHeight="1">
      <c r="H373" s="52"/>
    </row>
    <row r="374" ht="15.75" customHeight="1">
      <c r="H374" s="52"/>
    </row>
    <row r="375" ht="15.75" customHeight="1">
      <c r="H375" s="52"/>
    </row>
    <row r="376" ht="15.75" customHeight="1">
      <c r="H376" s="52"/>
    </row>
    <row r="377" ht="15.75" customHeight="1">
      <c r="H377" s="52"/>
    </row>
    <row r="378" ht="15.75" customHeight="1">
      <c r="H378" s="52"/>
    </row>
    <row r="379" ht="15.75" customHeight="1">
      <c r="H379" s="52"/>
    </row>
    <row r="380" ht="15.75" customHeight="1">
      <c r="H380" s="52"/>
    </row>
    <row r="381" ht="15.75" customHeight="1">
      <c r="H381" s="52"/>
    </row>
    <row r="382" ht="15.75" customHeight="1">
      <c r="H382" s="52"/>
    </row>
    <row r="383" ht="15.75" customHeight="1">
      <c r="H383" s="52"/>
    </row>
    <row r="384" ht="15.75" customHeight="1">
      <c r="H384" s="52"/>
    </row>
    <row r="385" ht="15.75" customHeight="1">
      <c r="H385" s="52"/>
    </row>
    <row r="386" ht="15.75" customHeight="1">
      <c r="H386" s="52"/>
    </row>
    <row r="387" ht="15.75" customHeight="1">
      <c r="H387" s="52"/>
    </row>
    <row r="388" ht="15.75" customHeight="1">
      <c r="H388" s="52"/>
    </row>
    <row r="389" ht="15.75" customHeight="1">
      <c r="H389" s="52"/>
    </row>
    <row r="390" ht="15.75" customHeight="1">
      <c r="H390" s="52"/>
    </row>
    <row r="391" ht="15.75" customHeight="1">
      <c r="H391" s="52"/>
    </row>
    <row r="392" ht="15.75" customHeight="1">
      <c r="H392" s="52"/>
    </row>
    <row r="393" ht="15.75" customHeight="1">
      <c r="H393" s="52"/>
    </row>
    <row r="394" ht="15.75" customHeight="1">
      <c r="H394" s="52"/>
    </row>
    <row r="395" ht="15.75" customHeight="1">
      <c r="H395" s="52"/>
    </row>
    <row r="396" ht="15.75" customHeight="1">
      <c r="H396" s="52"/>
    </row>
    <row r="397" ht="15.75" customHeight="1">
      <c r="H397" s="52"/>
    </row>
    <row r="398" ht="15.75" customHeight="1">
      <c r="H398" s="52"/>
    </row>
    <row r="399" ht="15.75" customHeight="1">
      <c r="H399" s="52"/>
    </row>
    <row r="400" ht="15.75" customHeight="1">
      <c r="H400" s="52"/>
    </row>
    <row r="401" ht="15.75" customHeight="1">
      <c r="H401" s="52"/>
    </row>
    <row r="402" ht="15.75" customHeight="1">
      <c r="H402" s="52"/>
    </row>
    <row r="403" ht="15.75" customHeight="1">
      <c r="H403" s="52"/>
    </row>
    <row r="404" ht="15.75" customHeight="1">
      <c r="H404" s="52"/>
    </row>
    <row r="405" ht="15.75" customHeight="1">
      <c r="H405" s="52"/>
    </row>
    <row r="406" ht="15.75" customHeight="1">
      <c r="H406" s="52"/>
    </row>
    <row r="407" ht="15.75" customHeight="1">
      <c r="H407" s="52"/>
    </row>
    <row r="408" ht="15.75" customHeight="1">
      <c r="H408" s="52"/>
    </row>
    <row r="409" ht="15.75" customHeight="1">
      <c r="H409" s="52"/>
    </row>
    <row r="410" ht="15.75" customHeight="1">
      <c r="H410" s="52"/>
    </row>
    <row r="411" ht="15.75" customHeight="1">
      <c r="H411" s="52"/>
    </row>
    <row r="412" ht="15.75" customHeight="1">
      <c r="H412" s="52"/>
    </row>
    <row r="413" ht="15.75" customHeight="1">
      <c r="H413" s="52"/>
    </row>
    <row r="414" ht="15.75" customHeight="1">
      <c r="H414" s="52"/>
    </row>
    <row r="415" ht="15.75" customHeight="1">
      <c r="H415" s="52"/>
    </row>
    <row r="416" ht="15.75" customHeight="1">
      <c r="H416" s="52"/>
    </row>
    <row r="417" ht="15.75" customHeight="1">
      <c r="H417" s="52"/>
    </row>
    <row r="418" ht="15.75" customHeight="1">
      <c r="H418" s="52"/>
    </row>
    <row r="419" ht="15.75" customHeight="1">
      <c r="H419" s="52"/>
    </row>
    <row r="420" ht="15.75" customHeight="1">
      <c r="H420" s="52"/>
    </row>
    <row r="421" ht="15.75" customHeight="1">
      <c r="H421" s="52"/>
    </row>
    <row r="422" ht="15.75" customHeight="1">
      <c r="H422" s="52"/>
    </row>
    <row r="423" ht="15.75" customHeight="1">
      <c r="H423" s="52"/>
    </row>
    <row r="424" ht="15.75" customHeight="1">
      <c r="H424" s="52"/>
    </row>
    <row r="425" ht="15.75" customHeight="1">
      <c r="H425" s="52"/>
    </row>
    <row r="426" ht="15.75" customHeight="1">
      <c r="H426" s="52"/>
    </row>
    <row r="427" ht="15.75" customHeight="1">
      <c r="H427" s="52"/>
    </row>
    <row r="428" ht="15.75" customHeight="1">
      <c r="H428" s="52"/>
    </row>
    <row r="429" ht="15.75" customHeight="1">
      <c r="H429" s="52"/>
    </row>
    <row r="430" ht="15.75" customHeight="1">
      <c r="H430" s="52"/>
    </row>
    <row r="431" ht="15.75" customHeight="1">
      <c r="H431" s="52"/>
    </row>
    <row r="432" ht="15.75" customHeight="1">
      <c r="H432" s="52"/>
    </row>
    <row r="433" ht="15.75" customHeight="1">
      <c r="H433" s="52"/>
    </row>
    <row r="434" ht="15.75" customHeight="1">
      <c r="H434" s="52"/>
    </row>
    <row r="435" ht="15.75" customHeight="1">
      <c r="H435" s="52"/>
    </row>
    <row r="436" ht="15.75" customHeight="1">
      <c r="H436" s="52"/>
    </row>
    <row r="437" ht="15.75" customHeight="1">
      <c r="H437" s="52"/>
    </row>
    <row r="438" ht="15.75" customHeight="1">
      <c r="H438" s="52"/>
    </row>
    <row r="439" ht="15.75" customHeight="1">
      <c r="H439" s="52"/>
    </row>
    <row r="440" ht="15.75" customHeight="1">
      <c r="H440" s="52"/>
    </row>
    <row r="441" ht="15.75" customHeight="1">
      <c r="H441" s="52"/>
    </row>
    <row r="442" ht="15.75" customHeight="1">
      <c r="H442" s="52"/>
    </row>
    <row r="443" ht="15.75" customHeight="1">
      <c r="H443" s="52"/>
    </row>
    <row r="444" ht="15.75" customHeight="1">
      <c r="H444" s="52"/>
    </row>
    <row r="445" ht="15.75" customHeight="1">
      <c r="H445" s="52"/>
    </row>
    <row r="446" ht="15.75" customHeight="1">
      <c r="H446" s="52"/>
    </row>
    <row r="447" ht="15.75" customHeight="1">
      <c r="H447" s="52"/>
    </row>
    <row r="448" ht="15.75" customHeight="1">
      <c r="H448" s="52"/>
    </row>
    <row r="449" ht="15.75" customHeight="1">
      <c r="H449" s="52"/>
    </row>
    <row r="450" ht="15.75" customHeight="1">
      <c r="H450" s="52"/>
    </row>
    <row r="451" ht="15.75" customHeight="1">
      <c r="H451" s="52"/>
    </row>
    <row r="452" ht="15.75" customHeight="1">
      <c r="H452" s="52"/>
    </row>
    <row r="453" ht="15.75" customHeight="1">
      <c r="H453" s="52"/>
    </row>
    <row r="454" ht="15.75" customHeight="1">
      <c r="H454" s="52"/>
    </row>
    <row r="455" ht="15.75" customHeight="1">
      <c r="H455" s="52"/>
    </row>
    <row r="456" ht="15.75" customHeight="1">
      <c r="H456" s="52"/>
    </row>
    <row r="457" ht="15.75" customHeight="1">
      <c r="H457" s="52"/>
    </row>
    <row r="458" ht="15.75" customHeight="1">
      <c r="H458" s="52"/>
    </row>
    <row r="459" ht="15.75" customHeight="1">
      <c r="H459" s="52"/>
    </row>
    <row r="460" ht="15.75" customHeight="1">
      <c r="H460" s="52"/>
    </row>
    <row r="461" ht="15.75" customHeight="1">
      <c r="H461" s="52"/>
    </row>
    <row r="462" ht="15.75" customHeight="1">
      <c r="H462" s="52"/>
    </row>
    <row r="463" ht="15.75" customHeight="1">
      <c r="H463" s="52"/>
    </row>
    <row r="464" ht="15.75" customHeight="1">
      <c r="H464" s="52"/>
    </row>
    <row r="465" ht="15.75" customHeight="1">
      <c r="H465" s="52"/>
    </row>
    <row r="466" ht="15.75" customHeight="1">
      <c r="H466" s="52"/>
    </row>
    <row r="467" ht="15.75" customHeight="1">
      <c r="H467" s="52"/>
    </row>
    <row r="468" ht="15.75" customHeight="1">
      <c r="H468" s="52"/>
    </row>
    <row r="469" ht="15.75" customHeight="1">
      <c r="H469" s="52"/>
    </row>
    <row r="470" ht="15.75" customHeight="1">
      <c r="H470" s="52"/>
    </row>
    <row r="471" ht="15.75" customHeight="1">
      <c r="H471" s="52"/>
    </row>
    <row r="472" ht="15.75" customHeight="1">
      <c r="H472" s="52"/>
    </row>
    <row r="473" ht="15.75" customHeight="1">
      <c r="H473" s="52"/>
    </row>
    <row r="474" ht="15.75" customHeight="1">
      <c r="H474" s="52"/>
    </row>
    <row r="475" ht="15.75" customHeight="1">
      <c r="H475" s="52"/>
    </row>
    <row r="476" ht="15.75" customHeight="1">
      <c r="H476" s="52"/>
    </row>
    <row r="477" ht="15.75" customHeight="1">
      <c r="H477" s="52"/>
    </row>
    <row r="478" ht="15.75" customHeight="1">
      <c r="H478" s="52"/>
    </row>
    <row r="479" ht="15.75" customHeight="1">
      <c r="H479" s="52"/>
    </row>
    <row r="480" ht="15.75" customHeight="1">
      <c r="H480" s="52"/>
    </row>
    <row r="481" ht="15.75" customHeight="1">
      <c r="H481" s="52"/>
    </row>
    <row r="482" ht="15.75" customHeight="1">
      <c r="H482" s="52"/>
    </row>
    <row r="483" ht="15.75" customHeight="1">
      <c r="H483" s="52"/>
    </row>
    <row r="484" ht="15.75" customHeight="1">
      <c r="H484" s="52"/>
    </row>
    <row r="485" ht="15.75" customHeight="1">
      <c r="H485" s="52"/>
    </row>
    <row r="486" ht="15.75" customHeight="1">
      <c r="H486" s="52"/>
    </row>
    <row r="487" ht="15.75" customHeight="1">
      <c r="H487" s="52"/>
    </row>
    <row r="488" ht="15.75" customHeight="1">
      <c r="H488" s="52"/>
    </row>
    <row r="489" ht="15.75" customHeight="1">
      <c r="H489" s="52"/>
    </row>
    <row r="490" ht="15.75" customHeight="1">
      <c r="H490" s="52"/>
    </row>
    <row r="491" ht="15.75" customHeight="1">
      <c r="H491" s="52"/>
    </row>
    <row r="492" ht="15.75" customHeight="1">
      <c r="H492" s="52"/>
    </row>
    <row r="493" ht="15.75" customHeight="1">
      <c r="H493" s="52"/>
    </row>
    <row r="494" ht="15.75" customHeight="1">
      <c r="H494" s="52"/>
    </row>
    <row r="495" ht="15.75" customHeight="1">
      <c r="H495" s="52"/>
    </row>
    <row r="496" ht="15.75" customHeight="1">
      <c r="H496" s="52"/>
    </row>
    <row r="497" ht="15.75" customHeight="1">
      <c r="H497" s="52"/>
    </row>
    <row r="498" ht="15.75" customHeight="1">
      <c r="H498" s="52"/>
    </row>
    <row r="499" ht="15.75" customHeight="1">
      <c r="H499" s="52"/>
    </row>
    <row r="500" ht="15.75" customHeight="1">
      <c r="H500" s="52"/>
    </row>
    <row r="501" ht="15.75" customHeight="1">
      <c r="H501" s="52"/>
    </row>
    <row r="502" ht="15.75" customHeight="1">
      <c r="H502" s="52"/>
    </row>
    <row r="503" ht="15.75" customHeight="1">
      <c r="H503" s="52"/>
    </row>
    <row r="504" ht="15.75" customHeight="1">
      <c r="H504" s="52"/>
    </row>
    <row r="505" ht="15.75" customHeight="1">
      <c r="H505" s="52"/>
    </row>
    <row r="506" ht="15.75" customHeight="1">
      <c r="H506" s="52"/>
    </row>
    <row r="507" ht="15.75" customHeight="1">
      <c r="H507" s="52"/>
    </row>
    <row r="508" ht="15.75" customHeight="1">
      <c r="H508" s="52"/>
    </row>
    <row r="509" ht="15.75" customHeight="1">
      <c r="H509" s="52"/>
    </row>
    <row r="510" ht="15.75" customHeight="1">
      <c r="H510" s="52"/>
    </row>
    <row r="511" ht="15.75" customHeight="1">
      <c r="H511" s="52"/>
    </row>
    <row r="512" ht="15.75" customHeight="1">
      <c r="H512" s="52"/>
    </row>
    <row r="513" ht="15.75" customHeight="1">
      <c r="H513" s="52"/>
    </row>
    <row r="514" ht="15.75" customHeight="1">
      <c r="H514" s="52"/>
    </row>
    <row r="515" ht="15.75" customHeight="1">
      <c r="H515" s="52"/>
    </row>
    <row r="516" ht="15.75" customHeight="1">
      <c r="H516" s="52"/>
    </row>
    <row r="517" ht="15.75" customHeight="1">
      <c r="H517" s="52"/>
    </row>
    <row r="518" ht="15.75" customHeight="1">
      <c r="H518" s="52"/>
    </row>
    <row r="519" ht="15.75" customHeight="1">
      <c r="H519" s="52"/>
    </row>
    <row r="520" ht="15.75" customHeight="1">
      <c r="H520" s="52"/>
    </row>
    <row r="521" ht="15.75" customHeight="1">
      <c r="H521" s="52"/>
    </row>
    <row r="522" ht="15.75" customHeight="1">
      <c r="H522" s="52"/>
    </row>
    <row r="523" ht="15.75" customHeight="1">
      <c r="H523" s="52"/>
    </row>
    <row r="524" ht="15.75" customHeight="1">
      <c r="H524" s="52"/>
    </row>
    <row r="525" ht="15.75" customHeight="1">
      <c r="H525" s="52"/>
    </row>
    <row r="526" ht="15.75" customHeight="1">
      <c r="H526" s="52"/>
    </row>
    <row r="527" ht="15.75" customHeight="1">
      <c r="H527" s="52"/>
    </row>
    <row r="528" ht="15.75" customHeight="1">
      <c r="H528" s="52"/>
    </row>
    <row r="529" ht="15.75" customHeight="1">
      <c r="H529" s="52"/>
    </row>
    <row r="530" ht="15.75" customHeight="1">
      <c r="H530" s="52"/>
    </row>
    <row r="531" ht="15.75" customHeight="1">
      <c r="H531" s="52"/>
    </row>
    <row r="532" ht="15.75" customHeight="1">
      <c r="H532" s="52"/>
    </row>
    <row r="533" ht="15.75" customHeight="1">
      <c r="H533" s="52"/>
    </row>
    <row r="534" ht="15.75" customHeight="1">
      <c r="H534" s="52"/>
    </row>
    <row r="535" ht="15.75" customHeight="1">
      <c r="H535" s="52"/>
    </row>
    <row r="536" ht="15.75" customHeight="1">
      <c r="H536" s="52"/>
    </row>
    <row r="537" ht="15.75" customHeight="1">
      <c r="H537" s="52"/>
    </row>
    <row r="538" ht="15.75" customHeight="1">
      <c r="H538" s="52"/>
    </row>
    <row r="539" ht="15.75" customHeight="1">
      <c r="H539" s="52"/>
    </row>
    <row r="540" ht="15.75" customHeight="1">
      <c r="H540" s="52"/>
    </row>
    <row r="541" ht="15.75" customHeight="1">
      <c r="H541" s="52"/>
    </row>
    <row r="542" ht="15.75" customHeight="1">
      <c r="H542" s="52"/>
    </row>
    <row r="543" ht="15.75" customHeight="1">
      <c r="H543" s="52"/>
    </row>
    <row r="544" ht="15.75" customHeight="1">
      <c r="H544" s="52"/>
    </row>
    <row r="545" ht="15.75" customHeight="1">
      <c r="H545" s="52"/>
    </row>
    <row r="546" ht="15.75" customHeight="1">
      <c r="H546" s="52"/>
    </row>
    <row r="547" ht="15.75" customHeight="1">
      <c r="H547" s="52"/>
    </row>
    <row r="548" ht="15.75" customHeight="1">
      <c r="H548" s="52"/>
    </row>
    <row r="549" ht="15.75" customHeight="1">
      <c r="H549" s="52"/>
    </row>
    <row r="550" ht="15.75" customHeight="1">
      <c r="H550" s="52"/>
    </row>
    <row r="551" ht="15.75" customHeight="1">
      <c r="H551" s="52"/>
    </row>
    <row r="552" ht="15.75" customHeight="1">
      <c r="H552" s="52"/>
    </row>
    <row r="553" ht="15.75" customHeight="1">
      <c r="H553" s="52"/>
    </row>
    <row r="554" ht="15.75" customHeight="1">
      <c r="H554" s="52"/>
    </row>
    <row r="555" ht="15.75" customHeight="1">
      <c r="H555" s="52"/>
    </row>
    <row r="556" ht="15.75" customHeight="1">
      <c r="H556" s="52"/>
    </row>
    <row r="557" ht="15.75" customHeight="1">
      <c r="H557" s="52"/>
    </row>
    <row r="558" ht="15.75" customHeight="1">
      <c r="H558" s="52"/>
    </row>
    <row r="559" ht="15.75" customHeight="1">
      <c r="H559" s="52"/>
    </row>
    <row r="560" ht="15.75" customHeight="1">
      <c r="H560" s="52"/>
    </row>
    <row r="561" ht="15.75" customHeight="1">
      <c r="H561" s="52"/>
    </row>
    <row r="562" ht="15.75" customHeight="1">
      <c r="H562" s="52"/>
    </row>
    <row r="563" ht="15.75" customHeight="1">
      <c r="H563" s="52"/>
    </row>
    <row r="564" ht="15.75" customHeight="1">
      <c r="H564" s="52"/>
    </row>
    <row r="565" ht="15.75" customHeight="1">
      <c r="H565" s="52"/>
    </row>
    <row r="566" ht="15.75" customHeight="1">
      <c r="H566" s="52"/>
    </row>
    <row r="567" ht="15.75" customHeight="1">
      <c r="H567" s="52"/>
    </row>
    <row r="568" ht="15.75" customHeight="1">
      <c r="H568" s="52"/>
    </row>
    <row r="569" ht="15.75" customHeight="1">
      <c r="H569" s="52"/>
    </row>
    <row r="570" ht="15.75" customHeight="1">
      <c r="H570" s="52"/>
    </row>
    <row r="571" ht="15.75" customHeight="1">
      <c r="H571" s="52"/>
    </row>
    <row r="572" ht="15.75" customHeight="1">
      <c r="H572" s="52"/>
    </row>
    <row r="573" ht="15.75" customHeight="1">
      <c r="H573" s="52"/>
    </row>
    <row r="574" ht="15.75" customHeight="1">
      <c r="H574" s="52"/>
    </row>
    <row r="575" ht="15.75" customHeight="1">
      <c r="H575" s="52"/>
    </row>
    <row r="576" ht="15.75" customHeight="1">
      <c r="H576" s="52"/>
    </row>
    <row r="577" ht="15.75" customHeight="1">
      <c r="H577" s="52"/>
    </row>
    <row r="578" ht="15.75" customHeight="1">
      <c r="H578" s="52"/>
    </row>
    <row r="579" ht="15.75" customHeight="1">
      <c r="H579" s="52"/>
    </row>
    <row r="580" ht="15.75" customHeight="1">
      <c r="H580" s="52"/>
    </row>
    <row r="581" ht="15.75" customHeight="1">
      <c r="H581" s="52"/>
    </row>
    <row r="582" ht="15.75" customHeight="1">
      <c r="H582" s="52"/>
    </row>
    <row r="583" ht="15.75" customHeight="1">
      <c r="H583" s="52"/>
    </row>
    <row r="584" ht="15.75" customHeight="1">
      <c r="H584" s="52"/>
    </row>
    <row r="585" ht="15.75" customHeight="1">
      <c r="H585" s="52"/>
    </row>
    <row r="586" ht="15.75" customHeight="1">
      <c r="H586" s="52"/>
    </row>
    <row r="587" ht="15.75" customHeight="1">
      <c r="H587" s="52"/>
    </row>
    <row r="588" ht="15.75" customHeight="1">
      <c r="H588" s="52"/>
    </row>
    <row r="589" ht="15.75" customHeight="1">
      <c r="H589" s="52"/>
    </row>
    <row r="590" ht="15.75" customHeight="1">
      <c r="H590" s="52"/>
    </row>
    <row r="591" ht="15.75" customHeight="1">
      <c r="H591" s="52"/>
    </row>
    <row r="592" ht="15.75" customHeight="1">
      <c r="H592" s="52"/>
    </row>
    <row r="593" ht="15.75" customHeight="1">
      <c r="H593" s="52"/>
    </row>
    <row r="594" ht="15.75" customHeight="1">
      <c r="H594" s="52"/>
    </row>
    <row r="595" ht="15.75" customHeight="1">
      <c r="H595" s="52"/>
    </row>
    <row r="596" ht="15.75" customHeight="1">
      <c r="H596" s="52"/>
    </row>
    <row r="597" ht="15.75" customHeight="1">
      <c r="H597" s="52"/>
    </row>
    <row r="598" ht="15.75" customHeight="1">
      <c r="H598" s="52"/>
    </row>
    <row r="599" ht="15.75" customHeight="1">
      <c r="H599" s="52"/>
    </row>
    <row r="600" ht="15.75" customHeight="1">
      <c r="H600" s="52"/>
    </row>
    <row r="601" ht="15.75" customHeight="1">
      <c r="H601" s="52"/>
    </row>
    <row r="602" ht="15.75" customHeight="1">
      <c r="H602" s="52"/>
    </row>
    <row r="603" ht="15.75" customHeight="1">
      <c r="H603" s="52"/>
    </row>
    <row r="604" ht="15.75" customHeight="1">
      <c r="H604" s="52"/>
    </row>
    <row r="605" ht="15.75" customHeight="1">
      <c r="H605" s="52"/>
    </row>
    <row r="606" ht="15.75" customHeight="1">
      <c r="H606" s="52"/>
    </row>
    <row r="607" ht="15.75" customHeight="1">
      <c r="H607" s="52"/>
    </row>
    <row r="608" ht="15.75" customHeight="1">
      <c r="H608" s="52"/>
    </row>
    <row r="609" ht="15.75" customHeight="1">
      <c r="H609" s="52"/>
    </row>
    <row r="610" ht="15.75" customHeight="1">
      <c r="H610" s="52"/>
    </row>
    <row r="611" ht="15.75" customHeight="1">
      <c r="H611" s="52"/>
    </row>
    <row r="612" ht="15.75" customHeight="1">
      <c r="H612" s="52"/>
    </row>
    <row r="613" ht="15.75" customHeight="1">
      <c r="H613" s="52"/>
    </row>
    <row r="614" ht="15.75" customHeight="1">
      <c r="H614" s="52"/>
    </row>
    <row r="615" ht="15.75" customHeight="1">
      <c r="H615" s="52"/>
    </row>
    <row r="616" ht="15.75" customHeight="1">
      <c r="H616" s="52"/>
    </row>
    <row r="617" ht="15.75" customHeight="1">
      <c r="H617" s="52"/>
    </row>
    <row r="618" ht="15.75" customHeight="1">
      <c r="H618" s="52"/>
    </row>
    <row r="619" ht="15.75" customHeight="1">
      <c r="H619" s="52"/>
    </row>
    <row r="620" ht="15.75" customHeight="1">
      <c r="H620" s="52"/>
    </row>
    <row r="621" ht="15.75" customHeight="1">
      <c r="H621" s="52"/>
    </row>
    <row r="622" ht="15.75" customHeight="1">
      <c r="H622" s="52"/>
    </row>
    <row r="623" ht="15.75" customHeight="1">
      <c r="H623" s="52"/>
    </row>
    <row r="624" ht="15.75" customHeight="1">
      <c r="H624" s="52"/>
    </row>
    <row r="625" ht="15.75" customHeight="1">
      <c r="H625" s="52"/>
    </row>
    <row r="626" ht="15.75" customHeight="1">
      <c r="H626" s="52"/>
    </row>
    <row r="627" ht="15.75" customHeight="1">
      <c r="H627" s="52"/>
    </row>
    <row r="628" ht="15.75" customHeight="1">
      <c r="H628" s="52"/>
    </row>
    <row r="629" ht="15.75" customHeight="1">
      <c r="H629" s="52"/>
    </row>
    <row r="630" ht="15.75" customHeight="1">
      <c r="H630" s="52"/>
    </row>
    <row r="631" ht="15.75" customHeight="1">
      <c r="H631" s="52"/>
    </row>
    <row r="632" ht="15.75" customHeight="1">
      <c r="H632" s="52"/>
    </row>
    <row r="633" ht="15.75" customHeight="1">
      <c r="H633" s="52"/>
    </row>
    <row r="634" ht="15.75" customHeight="1">
      <c r="H634" s="52"/>
    </row>
    <row r="635" ht="15.75" customHeight="1">
      <c r="H635" s="52"/>
    </row>
    <row r="636" ht="15.75" customHeight="1">
      <c r="H636" s="52"/>
    </row>
    <row r="637" ht="15.75" customHeight="1">
      <c r="H637" s="52"/>
    </row>
    <row r="638" ht="15.75" customHeight="1">
      <c r="H638" s="52"/>
    </row>
    <row r="639" ht="15.75" customHeight="1">
      <c r="H639" s="52"/>
    </row>
    <row r="640" ht="15.75" customHeight="1">
      <c r="H640" s="52"/>
    </row>
    <row r="641" ht="15.75" customHeight="1">
      <c r="H641" s="52"/>
    </row>
    <row r="642" ht="15.75" customHeight="1">
      <c r="H642" s="52"/>
    </row>
    <row r="643" ht="15.75" customHeight="1">
      <c r="H643" s="52"/>
    </row>
    <row r="644" ht="15.75" customHeight="1">
      <c r="H644" s="52"/>
    </row>
    <row r="645" ht="15.75" customHeight="1">
      <c r="H645" s="52"/>
    </row>
    <row r="646" ht="15.75" customHeight="1">
      <c r="H646" s="52"/>
    </row>
    <row r="647" ht="15.75" customHeight="1">
      <c r="H647" s="52"/>
    </row>
    <row r="648" ht="15.75" customHeight="1">
      <c r="H648" s="52"/>
    </row>
    <row r="649" ht="15.75" customHeight="1">
      <c r="H649" s="52"/>
    </row>
    <row r="650" ht="15.75" customHeight="1">
      <c r="H650" s="52"/>
    </row>
    <row r="651" ht="15.75" customHeight="1">
      <c r="H651" s="52"/>
    </row>
    <row r="652" ht="15.75" customHeight="1">
      <c r="H652" s="52"/>
    </row>
    <row r="653" ht="15.75" customHeight="1">
      <c r="H653" s="52"/>
    </row>
    <row r="654" ht="15.75" customHeight="1">
      <c r="H654" s="52"/>
    </row>
    <row r="655" ht="15.75" customHeight="1">
      <c r="H655" s="52"/>
    </row>
    <row r="656" ht="15.75" customHeight="1">
      <c r="H656" s="52"/>
    </row>
    <row r="657" ht="15.75" customHeight="1">
      <c r="H657" s="52"/>
    </row>
    <row r="658" ht="15.75" customHeight="1">
      <c r="H658" s="52"/>
    </row>
    <row r="659" ht="15.75" customHeight="1">
      <c r="H659" s="52"/>
    </row>
    <row r="660" ht="15.75" customHeight="1">
      <c r="H660" s="52"/>
    </row>
    <row r="661" ht="15.75" customHeight="1">
      <c r="H661" s="52"/>
    </row>
    <row r="662" ht="15.75" customHeight="1">
      <c r="H662" s="52"/>
    </row>
    <row r="663" ht="15.75" customHeight="1">
      <c r="H663" s="52"/>
    </row>
    <row r="664" ht="15.75" customHeight="1">
      <c r="H664" s="52"/>
    </row>
    <row r="665" ht="15.75" customHeight="1">
      <c r="H665" s="52"/>
    </row>
    <row r="666" ht="15.75" customHeight="1">
      <c r="H666" s="52"/>
    </row>
    <row r="667" ht="15.75" customHeight="1">
      <c r="H667" s="52"/>
    </row>
    <row r="668" ht="15.75" customHeight="1">
      <c r="H668" s="52"/>
    </row>
    <row r="669" ht="15.75" customHeight="1">
      <c r="H669" s="52"/>
    </row>
    <row r="670" ht="15.75" customHeight="1">
      <c r="H670" s="52"/>
    </row>
    <row r="671" ht="15.75" customHeight="1">
      <c r="H671" s="52"/>
    </row>
    <row r="672" ht="15.75" customHeight="1">
      <c r="H672" s="52"/>
    </row>
    <row r="673" ht="15.75" customHeight="1">
      <c r="H673" s="52"/>
    </row>
    <row r="674" ht="15.75" customHeight="1">
      <c r="H674" s="52"/>
    </row>
    <row r="675" ht="15.75" customHeight="1">
      <c r="H675" s="52"/>
    </row>
    <row r="676" ht="15.75" customHeight="1">
      <c r="H676" s="52"/>
    </row>
    <row r="677" ht="15.75" customHeight="1">
      <c r="H677" s="52"/>
    </row>
    <row r="678" ht="15.75" customHeight="1">
      <c r="H678" s="52"/>
    </row>
    <row r="679" ht="15.75" customHeight="1">
      <c r="H679" s="52"/>
    </row>
    <row r="680" ht="15.75" customHeight="1">
      <c r="H680" s="52"/>
    </row>
    <row r="681" ht="15.75" customHeight="1">
      <c r="H681" s="52"/>
    </row>
    <row r="682" ht="15.75" customHeight="1">
      <c r="H682" s="52"/>
    </row>
    <row r="683" ht="15.75" customHeight="1">
      <c r="H683" s="52"/>
    </row>
    <row r="684" ht="15.75" customHeight="1">
      <c r="H684" s="52"/>
    </row>
    <row r="685" ht="15.75" customHeight="1">
      <c r="H685" s="52"/>
    </row>
    <row r="686" ht="15.75" customHeight="1">
      <c r="H686" s="52"/>
    </row>
    <row r="687" ht="15.75" customHeight="1">
      <c r="H687" s="52"/>
    </row>
    <row r="688" ht="15.75" customHeight="1">
      <c r="H688" s="52"/>
    </row>
    <row r="689" ht="15.75" customHeight="1">
      <c r="H689" s="52"/>
    </row>
    <row r="690" ht="15.75" customHeight="1">
      <c r="H690" s="52"/>
    </row>
    <row r="691" ht="15.75" customHeight="1">
      <c r="H691" s="52"/>
    </row>
    <row r="692" ht="15.75" customHeight="1">
      <c r="H692" s="52"/>
    </row>
    <row r="693" ht="15.75" customHeight="1">
      <c r="H693" s="52"/>
    </row>
    <row r="694" ht="15.75" customHeight="1">
      <c r="H694" s="52"/>
    </row>
    <row r="695" ht="15.75" customHeight="1">
      <c r="H695" s="52"/>
    </row>
    <row r="696" ht="15.75" customHeight="1">
      <c r="H696" s="52"/>
    </row>
    <row r="697" ht="15.75" customHeight="1">
      <c r="H697" s="52"/>
    </row>
    <row r="698" ht="15.75" customHeight="1">
      <c r="H698" s="52"/>
    </row>
    <row r="699" ht="15.75" customHeight="1">
      <c r="H699" s="52"/>
    </row>
    <row r="700" ht="15.75" customHeight="1">
      <c r="H700" s="52"/>
    </row>
    <row r="701" ht="15.75" customHeight="1">
      <c r="H701" s="52"/>
    </row>
    <row r="702" ht="15.75" customHeight="1">
      <c r="H702" s="52"/>
    </row>
    <row r="703" ht="15.75" customHeight="1">
      <c r="H703" s="52"/>
    </row>
    <row r="704" ht="15.75" customHeight="1">
      <c r="H704" s="52"/>
    </row>
    <row r="705" ht="15.75" customHeight="1">
      <c r="H705" s="52"/>
    </row>
    <row r="706" ht="15.75" customHeight="1">
      <c r="H706" s="52"/>
    </row>
    <row r="707" ht="15.75" customHeight="1">
      <c r="H707" s="52"/>
    </row>
    <row r="708" ht="15.75" customHeight="1">
      <c r="H708" s="52"/>
    </row>
    <row r="709" ht="15.75" customHeight="1">
      <c r="H709" s="52"/>
    </row>
    <row r="710" ht="15.75" customHeight="1">
      <c r="H710" s="52"/>
    </row>
    <row r="711" ht="15.75" customHeight="1">
      <c r="H711" s="52"/>
    </row>
    <row r="712" ht="15.75" customHeight="1">
      <c r="H712" s="52"/>
    </row>
    <row r="713" ht="15.75" customHeight="1">
      <c r="H713" s="52"/>
    </row>
    <row r="714" ht="15.75" customHeight="1">
      <c r="H714" s="52"/>
    </row>
    <row r="715" ht="15.75" customHeight="1">
      <c r="H715" s="52"/>
    </row>
    <row r="716" ht="15.75" customHeight="1">
      <c r="H716" s="52"/>
    </row>
    <row r="717" ht="15.75" customHeight="1">
      <c r="H717" s="52"/>
    </row>
    <row r="718" ht="15.75" customHeight="1">
      <c r="H718" s="52"/>
    </row>
    <row r="719" ht="15.75" customHeight="1">
      <c r="H719" s="52"/>
    </row>
    <row r="720" ht="15.75" customHeight="1">
      <c r="H720" s="52"/>
    </row>
    <row r="721" ht="15.75" customHeight="1">
      <c r="H721" s="52"/>
    </row>
    <row r="722" ht="15.75" customHeight="1">
      <c r="H722" s="52"/>
    </row>
    <row r="723" ht="15.75" customHeight="1">
      <c r="H723" s="52"/>
    </row>
    <row r="724" ht="15.75" customHeight="1">
      <c r="H724" s="52"/>
    </row>
    <row r="725" ht="15.75" customHeight="1">
      <c r="H725" s="52"/>
    </row>
    <row r="726" ht="15.75" customHeight="1">
      <c r="H726" s="52"/>
    </row>
    <row r="727" ht="15.75" customHeight="1">
      <c r="H727" s="52"/>
    </row>
    <row r="728" ht="15.75" customHeight="1">
      <c r="H728" s="52"/>
    </row>
    <row r="729" ht="15.75" customHeight="1">
      <c r="H729" s="52"/>
    </row>
    <row r="730" ht="15.75" customHeight="1">
      <c r="H730" s="52"/>
    </row>
    <row r="731" ht="15.75" customHeight="1">
      <c r="H731" s="52"/>
    </row>
    <row r="732" ht="15.75" customHeight="1">
      <c r="H732" s="52"/>
    </row>
    <row r="733" ht="15.75" customHeight="1">
      <c r="H733" s="52"/>
    </row>
    <row r="734" ht="15.75" customHeight="1">
      <c r="H734" s="52"/>
    </row>
    <row r="735" ht="15.75" customHeight="1">
      <c r="H735" s="52"/>
    </row>
    <row r="736" ht="15.75" customHeight="1">
      <c r="H736" s="52"/>
    </row>
    <row r="737" ht="15.75" customHeight="1">
      <c r="H737" s="52"/>
    </row>
    <row r="738" ht="15.75" customHeight="1">
      <c r="H738" s="52"/>
    </row>
    <row r="739" ht="15.75" customHeight="1">
      <c r="H739" s="52"/>
    </row>
    <row r="740" ht="15.75" customHeight="1">
      <c r="H740" s="52"/>
    </row>
    <row r="741" ht="15.75" customHeight="1">
      <c r="H741" s="52"/>
    </row>
    <row r="742" ht="15.75" customHeight="1">
      <c r="H742" s="52"/>
    </row>
    <row r="743" ht="15.75" customHeight="1">
      <c r="H743" s="52"/>
    </row>
    <row r="744" ht="15.75" customHeight="1">
      <c r="H744" s="52"/>
    </row>
    <row r="745" ht="15.75" customHeight="1">
      <c r="H745" s="52"/>
    </row>
    <row r="746" ht="15.75" customHeight="1">
      <c r="H746" s="52"/>
    </row>
    <row r="747" ht="15.75" customHeight="1">
      <c r="H747" s="52"/>
    </row>
    <row r="748" ht="15.75" customHeight="1">
      <c r="H748" s="52"/>
    </row>
    <row r="749" ht="15.75" customHeight="1">
      <c r="H749" s="52"/>
    </row>
    <row r="750" ht="15.75" customHeight="1">
      <c r="H750" s="52"/>
    </row>
    <row r="751" ht="15.75" customHeight="1">
      <c r="H751" s="52"/>
    </row>
    <row r="752" ht="15.75" customHeight="1">
      <c r="H752" s="52"/>
    </row>
    <row r="753" ht="15.75" customHeight="1">
      <c r="H753" s="52"/>
    </row>
    <row r="754" ht="15.75" customHeight="1">
      <c r="H754" s="52"/>
    </row>
    <row r="755" ht="15.75" customHeight="1">
      <c r="H755" s="52"/>
    </row>
    <row r="756" ht="15.75" customHeight="1">
      <c r="H756" s="52"/>
    </row>
    <row r="757" ht="15.75" customHeight="1">
      <c r="H757" s="52"/>
    </row>
    <row r="758" ht="15.75" customHeight="1">
      <c r="H758" s="52"/>
    </row>
    <row r="759" ht="15.75" customHeight="1">
      <c r="H759" s="52"/>
    </row>
    <row r="760" ht="15.75" customHeight="1">
      <c r="H760" s="52"/>
    </row>
    <row r="761" ht="15.75" customHeight="1">
      <c r="H761" s="52"/>
    </row>
    <row r="762" ht="15.75" customHeight="1">
      <c r="H762" s="52"/>
    </row>
    <row r="763" ht="15.75" customHeight="1">
      <c r="H763" s="52"/>
    </row>
    <row r="764" ht="15.75" customHeight="1">
      <c r="H764" s="52"/>
    </row>
    <row r="765" ht="15.75" customHeight="1">
      <c r="H765" s="52"/>
    </row>
    <row r="766" ht="15.75" customHeight="1">
      <c r="H766" s="52"/>
    </row>
    <row r="767" ht="15.75" customHeight="1">
      <c r="H767" s="52"/>
    </row>
    <row r="768" ht="15.75" customHeight="1">
      <c r="H768" s="52"/>
    </row>
    <row r="769" ht="15.75" customHeight="1">
      <c r="H769" s="52"/>
    </row>
    <row r="770" ht="15.75" customHeight="1">
      <c r="H770" s="52"/>
    </row>
    <row r="771" ht="15.75" customHeight="1">
      <c r="H771" s="52"/>
    </row>
    <row r="772" ht="15.75" customHeight="1">
      <c r="H772" s="52"/>
    </row>
    <row r="773" ht="15.75" customHeight="1">
      <c r="H773" s="52"/>
    </row>
    <row r="774" ht="15.75" customHeight="1">
      <c r="H774" s="52"/>
    </row>
    <row r="775" ht="15.75" customHeight="1">
      <c r="H775" s="52"/>
    </row>
    <row r="776" ht="15.75" customHeight="1">
      <c r="H776" s="52"/>
    </row>
    <row r="777" ht="15.75" customHeight="1">
      <c r="H777" s="52"/>
    </row>
    <row r="778" ht="15.75" customHeight="1">
      <c r="H778" s="52"/>
    </row>
    <row r="779" ht="15.75" customHeight="1">
      <c r="H779" s="52"/>
    </row>
    <row r="780" ht="15.75" customHeight="1">
      <c r="H780" s="52"/>
    </row>
    <row r="781" ht="15.75" customHeight="1">
      <c r="H781" s="52"/>
    </row>
    <row r="782" ht="15.75" customHeight="1">
      <c r="H782" s="52"/>
    </row>
    <row r="783" ht="15.75" customHeight="1">
      <c r="H783" s="52"/>
    </row>
    <row r="784" ht="15.75" customHeight="1">
      <c r="H784" s="52"/>
    </row>
    <row r="785" ht="15.75" customHeight="1">
      <c r="H785" s="52"/>
    </row>
    <row r="786" ht="15.75" customHeight="1">
      <c r="H786" s="52"/>
    </row>
    <row r="787" ht="15.75" customHeight="1">
      <c r="H787" s="52"/>
    </row>
    <row r="788" ht="15.75" customHeight="1">
      <c r="H788" s="52"/>
    </row>
    <row r="789" ht="15.75" customHeight="1">
      <c r="H789" s="52"/>
    </row>
    <row r="790" ht="15.75" customHeight="1">
      <c r="H790" s="52"/>
    </row>
    <row r="791" ht="15.75" customHeight="1">
      <c r="H791" s="52"/>
    </row>
    <row r="792" ht="15.75" customHeight="1">
      <c r="H792" s="52"/>
    </row>
    <row r="793" ht="15.75" customHeight="1">
      <c r="H793" s="52"/>
    </row>
    <row r="794" ht="15.75" customHeight="1">
      <c r="H794" s="52"/>
    </row>
    <row r="795" ht="15.75" customHeight="1">
      <c r="H795" s="52"/>
    </row>
    <row r="796" ht="15.75" customHeight="1">
      <c r="H796" s="52"/>
    </row>
    <row r="797" ht="15.75" customHeight="1">
      <c r="H797" s="52"/>
    </row>
    <row r="798" ht="15.75" customHeight="1">
      <c r="H798" s="52"/>
    </row>
    <row r="799" ht="15.75" customHeight="1">
      <c r="H799" s="52"/>
    </row>
    <row r="800" ht="15.75" customHeight="1">
      <c r="H800" s="52"/>
    </row>
    <row r="801" ht="15.75" customHeight="1">
      <c r="H801" s="52"/>
    </row>
    <row r="802" ht="15.75" customHeight="1">
      <c r="H802" s="52"/>
    </row>
    <row r="803" ht="15.75" customHeight="1">
      <c r="H803" s="52"/>
    </row>
    <row r="804" ht="15.75" customHeight="1">
      <c r="H804" s="52"/>
    </row>
    <row r="805" ht="15.75" customHeight="1">
      <c r="H805" s="52"/>
    </row>
    <row r="806" ht="15.75" customHeight="1">
      <c r="H806" s="52"/>
    </row>
    <row r="807" ht="15.75" customHeight="1">
      <c r="H807" s="52"/>
    </row>
    <row r="808" ht="15.75" customHeight="1">
      <c r="H808" s="52"/>
    </row>
    <row r="809" ht="15.75" customHeight="1">
      <c r="H809" s="52"/>
    </row>
    <row r="810" ht="15.75" customHeight="1">
      <c r="H810" s="52"/>
    </row>
    <row r="811" ht="15.75" customHeight="1">
      <c r="H811" s="52"/>
    </row>
    <row r="812" ht="15.75" customHeight="1">
      <c r="H812" s="52"/>
    </row>
    <row r="813" ht="15.75" customHeight="1">
      <c r="H813" s="52"/>
    </row>
    <row r="814" ht="15.75" customHeight="1">
      <c r="H814" s="52"/>
    </row>
    <row r="815" ht="15.75" customHeight="1">
      <c r="H815" s="52"/>
    </row>
    <row r="816" ht="15.75" customHeight="1">
      <c r="H816" s="52"/>
    </row>
    <row r="817" ht="15.75" customHeight="1">
      <c r="H817" s="52"/>
    </row>
    <row r="818" ht="15.75" customHeight="1">
      <c r="H818" s="52"/>
    </row>
    <row r="819" ht="15.75" customHeight="1">
      <c r="H819" s="52"/>
    </row>
    <row r="820" ht="15.75" customHeight="1">
      <c r="H820" s="52"/>
    </row>
    <row r="821" ht="15.75" customHeight="1">
      <c r="H821" s="52"/>
    </row>
    <row r="822" ht="15.75" customHeight="1">
      <c r="H822" s="52"/>
    </row>
    <row r="823" ht="15.75" customHeight="1">
      <c r="H823" s="52"/>
    </row>
    <row r="824" ht="15.75" customHeight="1">
      <c r="H824" s="52"/>
    </row>
    <row r="825" ht="15.75" customHeight="1">
      <c r="H825" s="52"/>
    </row>
    <row r="826" ht="15.75" customHeight="1">
      <c r="H826" s="52"/>
    </row>
    <row r="827" ht="15.75" customHeight="1">
      <c r="H827" s="52"/>
    </row>
    <row r="828" ht="15.75" customHeight="1">
      <c r="H828" s="52"/>
    </row>
    <row r="829" ht="15.75" customHeight="1">
      <c r="H829" s="52"/>
    </row>
    <row r="830" ht="15.75" customHeight="1">
      <c r="H830" s="52"/>
    </row>
    <row r="831" ht="15.75" customHeight="1">
      <c r="H831" s="52"/>
    </row>
    <row r="832" ht="15.75" customHeight="1">
      <c r="H832" s="52"/>
    </row>
    <row r="833" ht="15.75" customHeight="1">
      <c r="H833" s="52"/>
    </row>
    <row r="834" ht="15.75" customHeight="1">
      <c r="H834" s="52"/>
    </row>
    <row r="835" ht="15.75" customHeight="1">
      <c r="H835" s="52"/>
    </row>
    <row r="836" ht="15.75" customHeight="1">
      <c r="H836" s="52"/>
    </row>
    <row r="837" ht="15.75" customHeight="1">
      <c r="H837" s="52"/>
    </row>
    <row r="838" ht="15.75" customHeight="1">
      <c r="H838" s="52"/>
    </row>
    <row r="839" ht="15.75" customHeight="1">
      <c r="H839" s="52"/>
    </row>
    <row r="840" ht="15.75" customHeight="1">
      <c r="H840" s="52"/>
    </row>
    <row r="841" ht="15.75" customHeight="1">
      <c r="H841" s="52"/>
    </row>
    <row r="842" ht="15.75" customHeight="1">
      <c r="H842" s="52"/>
    </row>
    <row r="843" ht="15.75" customHeight="1">
      <c r="H843" s="52"/>
    </row>
    <row r="844" ht="15.75" customHeight="1">
      <c r="H844" s="52"/>
    </row>
    <row r="845" ht="15.75" customHeight="1">
      <c r="H845" s="52"/>
    </row>
    <row r="846" ht="15.75" customHeight="1">
      <c r="H846" s="52"/>
    </row>
    <row r="847" ht="15.75" customHeight="1">
      <c r="H847" s="52"/>
    </row>
    <row r="848" ht="15.75" customHeight="1">
      <c r="H848" s="52"/>
    </row>
    <row r="849" ht="15.75" customHeight="1">
      <c r="H849" s="52"/>
    </row>
    <row r="850" ht="15.75" customHeight="1">
      <c r="H850" s="52"/>
    </row>
    <row r="851" ht="15.75" customHeight="1">
      <c r="H851" s="52"/>
    </row>
    <row r="852" ht="15.75" customHeight="1">
      <c r="H852" s="52"/>
    </row>
    <row r="853" ht="15.75" customHeight="1">
      <c r="H853" s="52"/>
    </row>
    <row r="854" ht="15.75" customHeight="1">
      <c r="H854" s="52"/>
    </row>
    <row r="855" ht="15.75" customHeight="1">
      <c r="H855" s="52"/>
    </row>
    <row r="856" ht="15.75" customHeight="1">
      <c r="H856" s="52"/>
    </row>
    <row r="857" ht="15.75" customHeight="1">
      <c r="H857" s="52"/>
    </row>
    <row r="858" ht="15.75" customHeight="1">
      <c r="H858" s="52"/>
    </row>
    <row r="859" ht="15.75" customHeight="1">
      <c r="H859" s="52"/>
    </row>
    <row r="860" ht="15.75" customHeight="1">
      <c r="H860" s="52"/>
    </row>
    <row r="861" ht="15.75" customHeight="1">
      <c r="H861" s="52"/>
    </row>
    <row r="862" ht="15.75" customHeight="1">
      <c r="H862" s="52"/>
    </row>
    <row r="863" ht="15.75" customHeight="1">
      <c r="H863" s="52"/>
    </row>
    <row r="864" ht="15.75" customHeight="1">
      <c r="H864" s="52"/>
    </row>
    <row r="865" ht="15.75" customHeight="1">
      <c r="H865" s="52"/>
    </row>
    <row r="866" ht="15.75" customHeight="1">
      <c r="H866" s="52"/>
    </row>
    <row r="867" ht="15.75" customHeight="1">
      <c r="H867" s="52"/>
    </row>
    <row r="868" ht="15.75" customHeight="1">
      <c r="H868" s="52"/>
    </row>
    <row r="869" ht="15.75" customHeight="1">
      <c r="H869" s="52"/>
    </row>
    <row r="870" ht="15.75" customHeight="1">
      <c r="H870" s="52"/>
    </row>
    <row r="871" ht="15.75" customHeight="1">
      <c r="H871" s="52"/>
    </row>
    <row r="872" ht="15.75" customHeight="1">
      <c r="H872" s="52"/>
    </row>
    <row r="873" ht="15.75" customHeight="1">
      <c r="H873" s="52"/>
    </row>
    <row r="874" ht="15.75" customHeight="1">
      <c r="H874" s="52"/>
    </row>
    <row r="875" ht="15.75" customHeight="1">
      <c r="H875" s="52"/>
    </row>
    <row r="876" ht="15.75" customHeight="1">
      <c r="H876" s="52"/>
    </row>
    <row r="877" ht="15.75" customHeight="1">
      <c r="H877" s="52"/>
    </row>
    <row r="878" ht="15.75" customHeight="1">
      <c r="H878" s="52"/>
    </row>
    <row r="879" ht="15.75" customHeight="1">
      <c r="H879" s="52"/>
    </row>
    <row r="880" ht="15.75" customHeight="1">
      <c r="H880" s="52"/>
    </row>
    <row r="881" ht="15.75" customHeight="1">
      <c r="H881" s="52"/>
    </row>
    <row r="882" ht="15.75" customHeight="1">
      <c r="H882" s="52"/>
    </row>
    <row r="883" ht="15.75" customHeight="1">
      <c r="H883" s="52"/>
    </row>
    <row r="884" ht="15.75" customHeight="1">
      <c r="H884" s="52"/>
    </row>
    <row r="885" ht="15.75" customHeight="1">
      <c r="H885" s="52"/>
    </row>
    <row r="886" ht="15.75" customHeight="1">
      <c r="H886" s="52"/>
    </row>
    <row r="887" ht="15.75" customHeight="1">
      <c r="H887" s="52"/>
    </row>
    <row r="888" ht="15.75" customHeight="1">
      <c r="H888" s="52"/>
    </row>
    <row r="889" ht="15.75" customHeight="1">
      <c r="H889" s="52"/>
    </row>
    <row r="890" ht="15.75" customHeight="1">
      <c r="H890" s="52"/>
    </row>
    <row r="891" ht="15.75" customHeight="1">
      <c r="H891" s="52"/>
    </row>
    <row r="892" ht="15.75" customHeight="1">
      <c r="H892" s="52"/>
    </row>
    <row r="893" ht="15.75" customHeight="1">
      <c r="H893" s="52"/>
    </row>
    <row r="894" ht="15.75" customHeight="1">
      <c r="H894" s="52"/>
    </row>
    <row r="895" ht="15.75" customHeight="1">
      <c r="H895" s="52"/>
    </row>
    <row r="896" ht="15.75" customHeight="1">
      <c r="H896" s="52"/>
    </row>
    <row r="897" ht="15.75" customHeight="1">
      <c r="H897" s="52"/>
    </row>
    <row r="898" ht="15.75" customHeight="1">
      <c r="H898" s="52"/>
    </row>
    <row r="899" ht="15.75" customHeight="1">
      <c r="H899" s="52"/>
    </row>
    <row r="900" ht="15.75" customHeight="1">
      <c r="H900" s="52"/>
    </row>
    <row r="901" ht="15.75" customHeight="1">
      <c r="H901" s="52"/>
    </row>
    <row r="902" ht="15.75" customHeight="1">
      <c r="H902" s="52"/>
    </row>
    <row r="903" ht="15.75" customHeight="1">
      <c r="H903" s="52"/>
    </row>
    <row r="904" ht="15.75" customHeight="1">
      <c r="H904" s="52"/>
    </row>
    <row r="905" ht="15.75" customHeight="1">
      <c r="H905" s="52"/>
    </row>
    <row r="906" ht="15.75" customHeight="1">
      <c r="H906" s="52"/>
    </row>
    <row r="907" ht="15.75" customHeight="1">
      <c r="H907" s="52"/>
    </row>
    <row r="908" ht="15.75" customHeight="1">
      <c r="H908" s="52"/>
    </row>
    <row r="909" ht="15.75" customHeight="1">
      <c r="H909" s="52"/>
    </row>
    <row r="910" ht="15.75" customHeight="1">
      <c r="H910" s="52"/>
    </row>
    <row r="911" ht="15.75" customHeight="1">
      <c r="H911" s="52"/>
    </row>
    <row r="912" ht="15.75" customHeight="1">
      <c r="H912" s="52"/>
    </row>
    <row r="913" ht="15.75" customHeight="1">
      <c r="H913" s="52"/>
    </row>
    <row r="914" ht="15.75" customHeight="1">
      <c r="H914" s="52"/>
    </row>
    <row r="915" ht="15.75" customHeight="1">
      <c r="H915" s="52"/>
    </row>
    <row r="916" ht="15.75" customHeight="1">
      <c r="H916" s="52"/>
    </row>
    <row r="917" ht="15.75" customHeight="1">
      <c r="H917" s="52"/>
    </row>
    <row r="918" ht="15.75" customHeight="1">
      <c r="H918" s="52"/>
    </row>
    <row r="919" ht="15.75" customHeight="1">
      <c r="H919" s="52"/>
    </row>
    <row r="920" ht="15.75" customHeight="1">
      <c r="H920" s="52"/>
    </row>
    <row r="921" ht="15.75" customHeight="1">
      <c r="H921" s="52"/>
    </row>
    <row r="922" ht="15.75" customHeight="1">
      <c r="H922" s="52"/>
    </row>
    <row r="923" ht="15.75" customHeight="1">
      <c r="H923" s="52"/>
    </row>
    <row r="924" ht="15.75" customHeight="1">
      <c r="H924" s="52"/>
    </row>
    <row r="925" ht="15.75" customHeight="1">
      <c r="H925" s="52"/>
    </row>
    <row r="926" ht="15.75" customHeight="1">
      <c r="H926" s="52"/>
    </row>
    <row r="927" ht="15.75" customHeight="1">
      <c r="H927" s="52"/>
    </row>
    <row r="928" ht="15.75" customHeight="1">
      <c r="H928" s="52"/>
    </row>
    <row r="929" ht="15.75" customHeight="1">
      <c r="H929" s="52"/>
    </row>
    <row r="930" ht="15.75" customHeight="1">
      <c r="H930" s="52"/>
    </row>
    <row r="931" ht="15.75" customHeight="1">
      <c r="H931" s="52"/>
    </row>
    <row r="932" ht="15.75" customHeight="1">
      <c r="H932" s="52"/>
    </row>
    <row r="933" ht="15.75" customHeight="1">
      <c r="H933" s="52"/>
    </row>
    <row r="934" ht="15.75" customHeight="1">
      <c r="H934" s="52"/>
    </row>
    <row r="935" ht="15.75" customHeight="1">
      <c r="H935" s="52"/>
    </row>
    <row r="936" ht="15.75" customHeight="1">
      <c r="H936" s="52"/>
    </row>
    <row r="937" ht="15.75" customHeight="1">
      <c r="H937" s="52"/>
    </row>
    <row r="938" ht="15.75" customHeight="1">
      <c r="H938" s="52"/>
    </row>
    <row r="939" ht="15.75" customHeight="1">
      <c r="H939" s="52"/>
    </row>
    <row r="940" ht="15.75" customHeight="1">
      <c r="H940" s="52"/>
    </row>
    <row r="941" ht="15.75" customHeight="1">
      <c r="H941" s="52"/>
    </row>
    <row r="942" ht="15.75" customHeight="1">
      <c r="H942" s="52"/>
    </row>
    <row r="943" ht="15.75" customHeight="1">
      <c r="H943" s="52"/>
    </row>
    <row r="944" ht="15.75" customHeight="1">
      <c r="H944" s="52"/>
    </row>
    <row r="945" ht="15.75" customHeight="1">
      <c r="H945" s="52"/>
    </row>
    <row r="946" ht="15.75" customHeight="1">
      <c r="H946" s="52"/>
    </row>
    <row r="947" ht="15.75" customHeight="1">
      <c r="H947" s="52"/>
    </row>
    <row r="948" ht="15.75" customHeight="1">
      <c r="H948" s="52"/>
    </row>
    <row r="949" ht="15.75" customHeight="1">
      <c r="H949" s="52"/>
    </row>
    <row r="950" ht="15.75" customHeight="1">
      <c r="H950" s="52"/>
    </row>
    <row r="951" ht="15.75" customHeight="1">
      <c r="H951" s="52"/>
    </row>
    <row r="952" ht="15.75" customHeight="1">
      <c r="H952" s="52"/>
    </row>
    <row r="953" ht="15.75" customHeight="1">
      <c r="H953" s="52"/>
    </row>
    <row r="954" ht="15.75" customHeight="1">
      <c r="H954" s="52"/>
    </row>
    <row r="955" ht="15.75" customHeight="1">
      <c r="H955" s="52"/>
    </row>
    <row r="956" ht="15.75" customHeight="1">
      <c r="H956" s="52"/>
    </row>
    <row r="957" ht="15.75" customHeight="1">
      <c r="H957" s="52"/>
    </row>
    <row r="958" ht="15.75" customHeight="1">
      <c r="H958" s="52"/>
    </row>
    <row r="959" ht="15.75" customHeight="1">
      <c r="H959" s="52"/>
    </row>
    <row r="960" ht="15.75" customHeight="1">
      <c r="H960" s="52"/>
    </row>
    <row r="961" ht="15.75" customHeight="1">
      <c r="H961" s="52"/>
    </row>
    <row r="962" ht="15.75" customHeight="1">
      <c r="H962" s="52"/>
    </row>
    <row r="963" ht="15.75" customHeight="1">
      <c r="H963" s="52"/>
    </row>
    <row r="964" ht="15.75" customHeight="1">
      <c r="H964" s="52"/>
    </row>
    <row r="965" ht="15.75" customHeight="1">
      <c r="H965" s="52"/>
    </row>
    <row r="966" ht="15.75" customHeight="1">
      <c r="H966" s="52"/>
    </row>
    <row r="967" ht="15.75" customHeight="1">
      <c r="H967" s="52"/>
    </row>
    <row r="968" ht="15.75" customHeight="1">
      <c r="H968" s="52"/>
    </row>
    <row r="969" ht="15.75" customHeight="1">
      <c r="H969" s="52"/>
    </row>
    <row r="970" ht="15.75" customHeight="1">
      <c r="H970" s="52"/>
    </row>
    <row r="971" ht="15.75" customHeight="1">
      <c r="H971" s="52"/>
    </row>
    <row r="972" ht="15.75" customHeight="1">
      <c r="H972" s="52"/>
    </row>
    <row r="973" ht="15.75" customHeight="1">
      <c r="H973" s="52"/>
    </row>
    <row r="974" ht="15.75" customHeight="1">
      <c r="H974" s="52"/>
    </row>
    <row r="975" ht="15.75" customHeight="1">
      <c r="H975" s="52"/>
    </row>
    <row r="976" ht="15.75" customHeight="1">
      <c r="H976" s="52"/>
    </row>
    <row r="977" ht="15.75" customHeight="1">
      <c r="H977" s="52"/>
    </row>
    <row r="978" ht="15.75" customHeight="1">
      <c r="H978" s="52"/>
    </row>
    <row r="979" ht="15.75" customHeight="1">
      <c r="H979" s="52"/>
    </row>
    <row r="980" ht="15.75" customHeight="1">
      <c r="H980" s="52"/>
    </row>
    <row r="981" ht="15.75" customHeight="1">
      <c r="H981" s="52"/>
    </row>
    <row r="982" ht="15.75" customHeight="1">
      <c r="H982" s="52"/>
    </row>
    <row r="983" ht="15.75" customHeight="1">
      <c r="H983" s="52"/>
    </row>
    <row r="984" ht="15.75" customHeight="1">
      <c r="H984" s="52"/>
    </row>
    <row r="985" ht="15.75" customHeight="1">
      <c r="H985" s="52"/>
    </row>
    <row r="986" ht="15.75" customHeight="1">
      <c r="H986" s="52"/>
    </row>
    <row r="987" ht="15.75" customHeight="1">
      <c r="H987" s="52"/>
    </row>
    <row r="988" ht="15.75" customHeight="1">
      <c r="H988" s="52"/>
    </row>
    <row r="989" ht="15.75" customHeight="1">
      <c r="H989" s="52"/>
    </row>
    <row r="990" ht="15.75" customHeight="1">
      <c r="H990" s="52"/>
    </row>
    <row r="991" ht="15.75" customHeight="1">
      <c r="H991" s="52"/>
    </row>
    <row r="992" ht="15.75" customHeight="1">
      <c r="H992" s="52"/>
    </row>
    <row r="993" ht="15.75" customHeight="1">
      <c r="H993" s="52"/>
    </row>
    <row r="994" ht="15.75" customHeight="1">
      <c r="H994" s="52"/>
    </row>
    <row r="995" ht="15.75" customHeight="1">
      <c r="H995" s="52"/>
    </row>
    <row r="996" ht="15.75" customHeight="1">
      <c r="H996" s="52"/>
    </row>
    <row r="997" ht="15.75" customHeight="1">
      <c r="H997" s="52"/>
    </row>
    <row r="998" ht="15.75" customHeight="1">
      <c r="H998" s="52"/>
    </row>
    <row r="999" ht="15.75" customHeight="1">
      <c r="H999" s="52"/>
    </row>
    <row r="1000" ht="15.75" customHeight="1">
      <c r="H1000" s="52"/>
    </row>
  </sheetData>
  <autoFilter ref="$A$5:$AE$205"/>
  <mergeCells count="2">
    <mergeCell ref="A4:S4"/>
    <mergeCell ref="T4:AE4"/>
  </mergeCells>
  <conditionalFormatting sqref="T6:AE205">
    <cfRule type="expression" dxfId="3" priority="1">
      <formula>T6="Hoạt động"</formula>
    </cfRule>
  </conditionalFormatting>
  <conditionalFormatting sqref="T6:AE205">
    <cfRule type="expression" dxfId="5" priority="2">
      <formula>T6="Hạn chế"</formula>
    </cfRule>
  </conditionalFormatting>
  <conditionalFormatting sqref="T6:AE205">
    <cfRule type="expression" dxfId="6" priority="3">
      <formula>T6="Checkpoint"</formula>
    </cfRule>
  </conditionalFormatting>
  <conditionalFormatting sqref="T6:AE205">
    <cfRule type="expression" dxfId="9" priority="4">
      <formula>T6="Die / Mất"</formula>
    </cfRule>
  </conditionalFormatting>
  <conditionalFormatting sqref="T6:AE205">
    <cfRule type="expression" dxfId="7" priority="5">
      <formula>T6="Đã thu hồi"</formula>
    </cfRule>
  </conditionalFormatting>
  <conditionalFormatting sqref="T6:AE205">
    <cfRule type="expression" dxfId="7" priority="6">
      <formula>T6="Ngừng dùng"</formula>
    </cfRule>
  </conditionalFormatting>
  <conditionalFormatting sqref="R6:R205">
    <cfRule type="expression" dxfId="3" priority="7">
      <formula>R6="Đã bàn giao"</formula>
    </cfRule>
  </conditionalFormatting>
  <conditionalFormatting sqref="R6:R205">
    <cfRule type="expression" dxfId="5" priority="8">
      <formula>R6="Đang bàn giao"</formula>
    </cfRule>
  </conditionalFormatting>
  <conditionalFormatting sqref="R6:R205">
    <cfRule type="expression" dxfId="9" priority="9">
      <formula>R6="Chưa bàn giao"</formula>
    </cfRule>
  </conditionalFormatting>
  <conditionalFormatting sqref="I6:I205">
    <cfRule type="expression" dxfId="10" priority="10">
      <formula>I6="Đang làm"</formula>
    </cfRule>
  </conditionalFormatting>
  <conditionalFormatting sqref="I6:I205">
    <cfRule type="expression" dxfId="11" priority="11">
      <formula>I6="Thử việc"</formula>
    </cfRule>
  </conditionalFormatting>
  <conditionalFormatting sqref="I6:I205">
    <cfRule type="expression" dxfId="12" priority="12">
      <formula>I6="Tạm nghỉ"</formula>
    </cfRule>
  </conditionalFormatting>
  <conditionalFormatting sqref="I6:I205">
    <cfRule type="expression" dxfId="13" priority="13">
      <formula>I6="Chuyển ban"</formula>
    </cfRule>
  </conditionalFormatting>
  <conditionalFormatting sqref="I6:I205">
    <cfRule type="expression" dxfId="8" priority="14">
      <formula>I6="Đã nghỉ việc"</formula>
    </cfRule>
  </conditionalFormatting>
  <conditionalFormatting sqref="I6:I205">
    <cfRule type="expression" dxfId="8" priority="15">
      <formula>I6="Chưa có trong DS"</formula>
    </cfRule>
  </conditionalFormatting>
  <dataValidations>
    <dataValidation type="list" allowBlank="1" showInputMessage="1" showErrorMessage="1" prompt="Kiểm tra lại - Vui lòng chọn trong danh sách." sqref="M6:M205">
      <formula1>'Danh mục'!$C$2:$C$4</formula1>
    </dataValidation>
    <dataValidation type="list" allowBlank="1" showInputMessage="1" showErrorMessage="1" prompt="Kiểm tra lại - Vui lòng chọn trong danh sách." sqref="O6:O205">
      <formula1>'Danh mục'!$D$2:$D$7</formula1>
    </dataValidation>
    <dataValidation type="list" allowBlank="1" showInputMessage="1" showErrorMessage="1" prompt="Kiểm tra lại - Vui lòng chọn trong danh sách." sqref="R6:R205">
      <formula1>'Danh mục'!$E$2:$E$4</formula1>
    </dataValidation>
    <dataValidation type="list" allowBlank="1" showInputMessage="1" showErrorMessage="1" prompt="Kiểm tra lại - Vui lòng chọn trong danh sách." sqref="T6:AE205">
      <formula1>'Danh mục'!$F$2:$F$7</formula1>
    </dataValidation>
    <dataValidation type="list" allowBlank="1" showInputMessage="1" showErrorMessage="1" prompt="Kiểm tra lại - Vui lòng chọn trong danh sách." sqref="C12 C14 C16 C19:C20 C23 C26 C29:C205">
      <formula1>'Danh mục'!$A$2:$A$8</formula1>
    </dataValidation>
    <dataValidation type="list" allowBlank="1" showInputMessage="1" showErrorMessage="1" prompt="Nhấp và nhập một giá trị trong dải ô" sqref="C6:C11 C13 C15 C17:C18 C21:C22 C24:C25 C27:C28">
      <formula1>'Danh mục'!$A$2:$A$99</formula1>
    </dataValidation>
    <dataValidation type="list" allowBlank="1" showInputMessage="1" prompt="Kiểm tra lại - Tên này chưa có trong tab Người sử dụng. Hãy thêm người này vào tab Người sử dụng trước." sqref="G6:G205">
      <formula1>'Người sử dụng'!$C$5:$C$140</formula1>
    </dataValidation>
    <dataValidation type="date" operator="greaterThan" allowBlank="1" showInputMessage="1" showErrorMessage="1" prompt="Nhập ngày dạng dd/mm/yyyy." sqref="P6:P205">
      <formula1>DATE(2000,1,1)</formula1>
    </dataValidation>
    <dataValidation type="list" allowBlank="1" showInputMessage="1" showErrorMessage="1" prompt="Kiểm tra lại - Vui lòng chọn trong danh sách." sqref="J6:J205">
      <formula1>'Danh mục'!$B$2:$B$10</formula1>
    </dataValidation>
    <dataValidation type="list" allowBlank="1" showInputMessage="1" prompt="Kiểm tra lại - Tên này chưa có trong tab Người sử dụng." sqref="N6:N205">
      <formula1>'Người sử dụng'!$C$5:$C$140</formula1>
    </dataValidation>
  </dataValidations>
  <hyperlinks>
    <hyperlink r:id="rId1" ref="F6"/>
    <hyperlink r:id="rId2" ref="F7"/>
    <hyperlink r:id="rId3" ref="F8"/>
    <hyperlink r:id="rId4" ref="F9"/>
    <hyperlink r:id="rId5" ref="F10"/>
    <hyperlink r:id="rId6" ref="F11"/>
    <hyperlink r:id="rId7" ref="F13"/>
    <hyperlink r:id="rId8" ref="F14"/>
    <hyperlink r:id="rId9" ref="F15"/>
    <hyperlink r:id="rId10" ref="F17"/>
    <hyperlink r:id="rId11" ref="F18"/>
    <hyperlink r:id="rId12" ref="F19"/>
    <hyperlink r:id="rId13" ref="F21"/>
    <hyperlink r:id="rId14" ref="F22"/>
    <hyperlink r:id="rId15" ref="F24"/>
    <hyperlink r:id="rId16" ref="F25"/>
    <hyperlink r:id="rId17" ref="F27"/>
    <hyperlink r:id="rId18" ref="F28"/>
  </hyperlinks>
  <printOptions/>
  <pageMargins bottom="1.0" footer="0.0" header="0.0" left="0.75" right="0.75" top="1.0"/>
  <pageSetup paperSize="9" orientation="portrait"/>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AFEA"/>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2" width="13.0"/>
    <col customWidth="1" min="3" max="3" width="14.0"/>
    <col customWidth="1" min="4" max="4" width="22.0"/>
    <col customWidth="1" min="5" max="5" width="28.0"/>
    <col customWidth="1" min="6" max="6" width="30.0"/>
    <col customWidth="1" min="7" max="7" width="22.0"/>
    <col customWidth="1" min="8" max="9" width="16.0"/>
    <col customWidth="1" min="10" max="10" width="22.0"/>
    <col customWidth="1" min="11" max="11" width="26.0"/>
    <col customWidth="1" min="12" max="12" width="14.0"/>
    <col customWidth="1" min="13" max="13" width="12.0"/>
    <col customWidth="1" min="14" max="14" width="20.0"/>
    <col customWidth="1" min="15" max="15" width="18.0"/>
    <col customWidth="1" min="16" max="16" width="14.0"/>
    <col customWidth="1" min="17" max="17" width="26.0"/>
    <col customWidth="1" min="18" max="18" width="18.0"/>
    <col customWidth="1" min="19" max="19" width="49.29"/>
    <col customWidth="1" min="20" max="31" width="12.0"/>
  </cols>
  <sheetData>
    <row r="1">
      <c r="A1" s="96" t="s">
        <v>635</v>
      </c>
    </row>
    <row r="2">
      <c r="A2" s="97" t="s">
        <v>94</v>
      </c>
      <c r="C2" s="27"/>
      <c r="D2" s="27"/>
      <c r="E2" s="8" t="s">
        <v>99</v>
      </c>
      <c r="G2" s="29"/>
    </row>
    <row r="3">
      <c r="A3" s="98" t="s">
        <v>105</v>
      </c>
    </row>
    <row r="4" ht="15.0" customHeight="1">
      <c r="A4" s="31" t="s">
        <v>108</v>
      </c>
      <c r="B4" s="32"/>
      <c r="C4" s="32"/>
      <c r="D4" s="32"/>
      <c r="E4" s="32"/>
      <c r="F4" s="32"/>
      <c r="G4" s="32"/>
      <c r="H4" s="32"/>
      <c r="I4" s="32"/>
      <c r="J4" s="32"/>
      <c r="K4" s="32"/>
      <c r="L4" s="32"/>
      <c r="M4" s="32"/>
      <c r="N4" s="32"/>
      <c r="O4" s="32"/>
      <c r="P4" s="32"/>
      <c r="Q4" s="32"/>
      <c r="R4" s="32"/>
      <c r="S4" s="34"/>
      <c r="T4" s="37" t="s">
        <v>110</v>
      </c>
      <c r="U4" s="32"/>
      <c r="V4" s="32"/>
      <c r="W4" s="32"/>
      <c r="X4" s="32"/>
      <c r="Y4" s="32"/>
      <c r="Z4" s="32"/>
      <c r="AA4" s="32"/>
      <c r="AB4" s="32"/>
      <c r="AC4" s="32"/>
      <c r="AD4" s="32"/>
      <c r="AE4" s="34"/>
    </row>
    <row r="5" ht="33.75" customHeight="1">
      <c r="A5" s="11" t="s">
        <v>11</v>
      </c>
      <c r="B5" s="11" t="s">
        <v>65</v>
      </c>
      <c r="C5" s="12" t="s">
        <v>66</v>
      </c>
      <c r="D5" s="12" t="s">
        <v>67</v>
      </c>
      <c r="E5" s="12" t="s">
        <v>68</v>
      </c>
      <c r="F5" s="12" t="s">
        <v>69</v>
      </c>
      <c r="G5" s="12" t="s">
        <v>71</v>
      </c>
      <c r="H5" s="62" t="s">
        <v>112</v>
      </c>
      <c r="I5" s="11" t="s">
        <v>72</v>
      </c>
      <c r="J5" s="12" t="s">
        <v>73</v>
      </c>
      <c r="K5" s="12" t="s">
        <v>74</v>
      </c>
      <c r="L5" s="12" t="s">
        <v>75</v>
      </c>
      <c r="M5" s="12" t="s">
        <v>76</v>
      </c>
      <c r="N5" s="12" t="s">
        <v>78</v>
      </c>
      <c r="O5" s="12" t="s">
        <v>79</v>
      </c>
      <c r="P5" s="12" t="s">
        <v>80</v>
      </c>
      <c r="Q5" s="12" t="s">
        <v>81</v>
      </c>
      <c r="R5" s="39" t="s">
        <v>82</v>
      </c>
      <c r="S5" s="12" t="s">
        <v>36</v>
      </c>
      <c r="T5" s="39" t="s">
        <v>113</v>
      </c>
      <c r="U5" s="39" t="s">
        <v>114</v>
      </c>
      <c r="V5" s="39" t="s">
        <v>115</v>
      </c>
      <c r="W5" s="39" t="s">
        <v>116</v>
      </c>
      <c r="X5" s="39" t="s">
        <v>117</v>
      </c>
      <c r="Y5" s="39" t="s">
        <v>118</v>
      </c>
      <c r="Z5" s="39" t="s">
        <v>119</v>
      </c>
      <c r="AA5" s="39" t="s">
        <v>120</v>
      </c>
      <c r="AB5" s="39" t="s">
        <v>121</v>
      </c>
      <c r="AC5" s="39" t="s">
        <v>122</v>
      </c>
      <c r="AD5" s="39" t="s">
        <v>123</v>
      </c>
      <c r="AE5" s="39" t="s">
        <v>124</v>
      </c>
    </row>
    <row r="6">
      <c r="A6" s="33">
        <f>IF(C6="","",ROW()-5)</f>
        <v>1</v>
      </c>
      <c r="B6" s="40" t="str">
        <f t="shared" ref="B6:B205" si="1">IF(C6="","","MD-"&amp;TEXT(ROW()-5,"000"))</f>
        <v>MD-001</v>
      </c>
      <c r="C6" s="19" t="s">
        <v>471</v>
      </c>
      <c r="D6" s="23"/>
      <c r="E6" s="42" t="s">
        <v>472</v>
      </c>
      <c r="F6" s="53" t="s">
        <v>473</v>
      </c>
      <c r="G6" s="19" t="s">
        <v>178</v>
      </c>
      <c r="H6" s="64" t="str">
        <f t="array" ref="H6:H1000">IFERROR(_xlfn.XLOOKUP(G6:G1000,'Người sử dụng'!$C$4:$C1000,'Người sử dụng'!$B$4:$B1000),"")</f>
        <v>E039NAM</v>
      </c>
      <c r="I6" s="40" t="str">
        <f t="array" ref="I6">IF(G6="","",IFERROR(INDEX('Người sử dụng'!$H$5:$H$140,MATCH(G6,'Người sử dụng'!$C$5:$C$140,0)),"Chưa có trong DS"))</f>
        <v>Đang làm</v>
      </c>
      <c r="J6" s="19" t="s">
        <v>441</v>
      </c>
      <c r="K6" s="19" t="s">
        <v>511</v>
      </c>
      <c r="L6" s="41" t="s">
        <v>644</v>
      </c>
      <c r="M6" s="19" t="s">
        <v>91</v>
      </c>
      <c r="N6" s="19" t="s">
        <v>487</v>
      </c>
      <c r="O6" s="19" t="s">
        <v>143</v>
      </c>
      <c r="P6" s="54">
        <v>46227.0</v>
      </c>
      <c r="Q6" s="42" t="s">
        <v>494</v>
      </c>
      <c r="R6" s="50" t="s">
        <v>96</v>
      </c>
      <c r="S6" s="42" t="s">
        <v>513</v>
      </c>
      <c r="T6" s="46"/>
      <c r="U6" s="46"/>
      <c r="V6" s="46"/>
      <c r="W6" s="46"/>
      <c r="X6" s="46"/>
      <c r="Y6" s="46"/>
      <c r="Z6" s="46"/>
      <c r="AA6" s="46"/>
      <c r="AB6" s="46"/>
      <c r="AC6" s="46"/>
      <c r="AD6" s="46"/>
      <c r="AE6" s="46"/>
    </row>
    <row r="7">
      <c r="A7" s="33">
        <f t="shared" ref="A7:A37" si="2">A6+1</f>
        <v>2</v>
      </c>
      <c r="B7" s="40" t="str">
        <f t="shared" si="1"/>
        <v>MD-002</v>
      </c>
      <c r="C7" s="19" t="s">
        <v>471</v>
      </c>
      <c r="D7" s="23"/>
      <c r="E7" s="42" t="s">
        <v>472</v>
      </c>
      <c r="F7" s="53" t="s">
        <v>473</v>
      </c>
      <c r="G7" s="19" t="s">
        <v>178</v>
      </c>
      <c r="H7" s="40" t="s">
        <v>177</v>
      </c>
      <c r="I7" s="40" t="str">
        <f t="array" ref="I7">IF(G7="","",IFERROR(INDEX('Người sử dụng'!$H$5:$H$140,MATCH(G7,'Người sử dụng'!$C$5:$C$140,0)),"Chưa có trong DS"))</f>
        <v>Đang làm</v>
      </c>
      <c r="J7" s="19" t="s">
        <v>441</v>
      </c>
      <c r="K7" s="19" t="s">
        <v>500</v>
      </c>
      <c r="L7" s="41" t="s">
        <v>647</v>
      </c>
      <c r="M7" s="19" t="s">
        <v>91</v>
      </c>
      <c r="N7" s="19" t="s">
        <v>487</v>
      </c>
      <c r="O7" s="19" t="s">
        <v>143</v>
      </c>
      <c r="P7" s="54">
        <v>46227.0</v>
      </c>
      <c r="Q7" s="42" t="s">
        <v>494</v>
      </c>
      <c r="R7" s="50" t="s">
        <v>96</v>
      </c>
      <c r="S7" s="42" t="s">
        <v>501</v>
      </c>
      <c r="T7" s="46"/>
      <c r="U7" s="46"/>
      <c r="V7" s="46"/>
      <c r="W7" s="46"/>
      <c r="X7" s="46"/>
      <c r="Y7" s="46"/>
      <c r="Z7" s="46"/>
      <c r="AA7" s="46"/>
      <c r="AB7" s="46"/>
      <c r="AC7" s="46"/>
      <c r="AD7" s="46"/>
      <c r="AE7" s="46"/>
    </row>
    <row r="8">
      <c r="A8" s="33">
        <f t="shared" si="2"/>
        <v>3</v>
      </c>
      <c r="B8" s="40" t="str">
        <f t="shared" si="1"/>
        <v>MD-003</v>
      </c>
      <c r="C8" s="19" t="s">
        <v>471</v>
      </c>
      <c r="D8" s="23"/>
      <c r="E8" s="42" t="s">
        <v>472</v>
      </c>
      <c r="F8" s="53" t="s">
        <v>473</v>
      </c>
      <c r="G8" s="19" t="s">
        <v>178</v>
      </c>
      <c r="H8" s="40" t="s">
        <v>177</v>
      </c>
      <c r="I8" s="40" t="str">
        <f t="array" ref="I8">IF(G8="","",IFERROR(INDEX('Người sử dụng'!$H$5:$H$140,MATCH(G8,'Người sử dụng'!$C$5:$C$140,0)),"Chưa có trong DS"))</f>
        <v>Đang làm</v>
      </c>
      <c r="J8" s="19" t="s">
        <v>441</v>
      </c>
      <c r="K8" s="19" t="s">
        <v>653</v>
      </c>
      <c r="L8" s="41" t="s">
        <v>512</v>
      </c>
      <c r="M8" s="19" t="s">
        <v>91</v>
      </c>
      <c r="N8" s="19" t="s">
        <v>487</v>
      </c>
      <c r="O8" s="19" t="s">
        <v>143</v>
      </c>
      <c r="P8" s="54">
        <v>46227.0</v>
      </c>
      <c r="Q8" s="42" t="s">
        <v>494</v>
      </c>
      <c r="R8" s="50" t="s">
        <v>96</v>
      </c>
      <c r="S8" s="42" t="s">
        <v>654</v>
      </c>
      <c r="T8" s="46"/>
      <c r="U8" s="46"/>
      <c r="V8" s="46"/>
      <c r="W8" s="46"/>
      <c r="X8" s="46"/>
      <c r="Y8" s="46"/>
      <c r="Z8" s="46"/>
      <c r="AA8" s="46"/>
      <c r="AB8" s="46"/>
      <c r="AC8" s="46"/>
      <c r="AD8" s="46"/>
      <c r="AE8" s="46"/>
    </row>
    <row r="9">
      <c r="A9" s="33">
        <f t="shared" si="2"/>
        <v>4</v>
      </c>
      <c r="B9" s="40" t="str">
        <f t="shared" si="1"/>
        <v>MD-004</v>
      </c>
      <c r="C9" s="19" t="s">
        <v>471</v>
      </c>
      <c r="D9" s="23"/>
      <c r="E9" s="42" t="s">
        <v>472</v>
      </c>
      <c r="F9" s="53" t="s">
        <v>473</v>
      </c>
      <c r="G9" s="19" t="s">
        <v>178</v>
      </c>
      <c r="H9" s="40" t="s">
        <v>177</v>
      </c>
      <c r="I9" s="40" t="str">
        <f t="array" ref="I9">IF(G9="","",IFERROR(INDEX('Người sử dụng'!$H$5:$H$140,MATCH(G9,'Người sử dụng'!$C$5:$C$140,0)),"Chưa có trong DS"))</f>
        <v>Đang làm</v>
      </c>
      <c r="J9" s="19" t="s">
        <v>441</v>
      </c>
      <c r="K9" s="19" t="s">
        <v>492</v>
      </c>
      <c r="L9" s="41" t="s">
        <v>493</v>
      </c>
      <c r="M9" s="19" t="s">
        <v>91</v>
      </c>
      <c r="N9" s="19" t="s">
        <v>487</v>
      </c>
      <c r="O9" s="19" t="s">
        <v>143</v>
      </c>
      <c r="P9" s="54">
        <v>46227.0</v>
      </c>
      <c r="Q9" s="42" t="s">
        <v>494</v>
      </c>
      <c r="R9" s="50" t="s">
        <v>96</v>
      </c>
      <c r="S9" s="42" t="s">
        <v>495</v>
      </c>
      <c r="T9" s="46"/>
      <c r="U9" s="46"/>
      <c r="V9" s="46"/>
      <c r="W9" s="46"/>
      <c r="X9" s="46"/>
      <c r="Y9" s="46"/>
      <c r="Z9" s="46"/>
      <c r="AA9" s="46"/>
      <c r="AB9" s="46"/>
      <c r="AC9" s="46"/>
      <c r="AD9" s="46"/>
      <c r="AE9" s="46"/>
    </row>
    <row r="10">
      <c r="A10" s="33">
        <f t="shared" si="2"/>
        <v>5</v>
      </c>
      <c r="B10" s="40" t="str">
        <f t="shared" si="1"/>
        <v>MD-005</v>
      </c>
      <c r="C10" s="19" t="s">
        <v>471</v>
      </c>
      <c r="D10" s="23"/>
      <c r="E10" s="42" t="s">
        <v>472</v>
      </c>
      <c r="F10" s="53" t="s">
        <v>473</v>
      </c>
      <c r="G10" s="19" t="s">
        <v>178</v>
      </c>
      <c r="H10" s="40" t="s">
        <v>177</v>
      </c>
      <c r="I10" s="40" t="str">
        <f t="array" ref="I10">IF(G10="","",IFERROR(INDEX('Người sử dụng'!$H$5:$H$140,MATCH(G10,'Người sử dụng'!$C$5:$C$140,0)),"Chưa có trong DS"))</f>
        <v>Đang làm</v>
      </c>
      <c r="J10" s="19" t="s">
        <v>441</v>
      </c>
      <c r="K10" s="19" t="s">
        <v>517</v>
      </c>
      <c r="L10" s="23"/>
      <c r="M10" s="19" t="s">
        <v>91</v>
      </c>
      <c r="N10" s="19" t="s">
        <v>487</v>
      </c>
      <c r="O10" s="19" t="s">
        <v>143</v>
      </c>
      <c r="P10" s="54">
        <v>46227.0</v>
      </c>
      <c r="Q10" s="42" t="s">
        <v>494</v>
      </c>
      <c r="R10" s="50" t="s">
        <v>96</v>
      </c>
      <c r="S10" s="42" t="s">
        <v>519</v>
      </c>
      <c r="T10" s="46"/>
      <c r="U10" s="46"/>
      <c r="V10" s="46"/>
      <c r="W10" s="46"/>
      <c r="X10" s="46"/>
      <c r="Y10" s="46"/>
      <c r="Z10" s="46"/>
      <c r="AA10" s="46"/>
      <c r="AB10" s="46"/>
      <c r="AC10" s="46"/>
      <c r="AD10" s="46"/>
      <c r="AE10" s="46"/>
    </row>
    <row r="11">
      <c r="A11" s="33">
        <f t="shared" si="2"/>
        <v>6</v>
      </c>
      <c r="B11" s="40" t="str">
        <f t="shared" si="1"/>
        <v>MD-006</v>
      </c>
      <c r="C11" s="19" t="s">
        <v>471</v>
      </c>
      <c r="D11" s="23"/>
      <c r="E11" s="42" t="s">
        <v>472</v>
      </c>
      <c r="F11" s="53" t="s">
        <v>473</v>
      </c>
      <c r="G11" s="19" t="s">
        <v>178</v>
      </c>
      <c r="H11" s="40" t="s">
        <v>177</v>
      </c>
      <c r="I11" s="40" t="str">
        <f t="array" ref="I11">IF(G11="","",IFERROR(INDEX('Người sử dụng'!$H$5:$H$140,MATCH(G11,'Người sử dụng'!$C$5:$C$140,0)),"Chưa có trong DS"))</f>
        <v>Đang làm</v>
      </c>
      <c r="J11" s="19" t="s">
        <v>441</v>
      </c>
      <c r="K11" s="19" t="s">
        <v>523</v>
      </c>
      <c r="L11" s="41" t="s">
        <v>660</v>
      </c>
      <c r="M11" s="19" t="s">
        <v>91</v>
      </c>
      <c r="N11" s="19" t="s">
        <v>487</v>
      </c>
      <c r="O11" s="19" t="s">
        <v>143</v>
      </c>
      <c r="P11" s="54">
        <v>46227.0</v>
      </c>
      <c r="Q11" s="42" t="s">
        <v>494</v>
      </c>
      <c r="R11" s="50" t="s">
        <v>96</v>
      </c>
      <c r="S11" s="42" t="s">
        <v>661</v>
      </c>
      <c r="T11" s="46"/>
      <c r="U11" s="46"/>
      <c r="V11" s="46"/>
      <c r="W11" s="46"/>
      <c r="X11" s="46"/>
      <c r="Y11" s="46"/>
      <c r="Z11" s="46"/>
      <c r="AA11" s="46"/>
      <c r="AB11" s="46"/>
      <c r="AC11" s="46"/>
      <c r="AD11" s="46"/>
      <c r="AE11" s="46"/>
    </row>
    <row r="12">
      <c r="A12" s="33">
        <f t="shared" si="2"/>
        <v>7</v>
      </c>
      <c r="B12" s="40" t="str">
        <f t="shared" si="1"/>
        <v>MD-007</v>
      </c>
      <c r="C12" s="19" t="s">
        <v>471</v>
      </c>
      <c r="D12" s="23"/>
      <c r="E12" s="42" t="s">
        <v>663</v>
      </c>
      <c r="F12" s="53" t="s">
        <v>473</v>
      </c>
      <c r="G12" s="19" t="s">
        <v>178</v>
      </c>
      <c r="H12" s="40" t="s">
        <v>177</v>
      </c>
      <c r="I12" s="40" t="str">
        <f t="array" ref="I12">IF(G12="","",IFERROR(INDEX('Người sử dụng'!$H$5:$H$140,MATCH(G12,'Người sử dụng'!$C$5:$C$140,0)),"Chưa có trong DS"))</f>
        <v>Đang làm</v>
      </c>
      <c r="J12" s="19" t="s">
        <v>441</v>
      </c>
      <c r="K12" s="19" t="s">
        <v>665</v>
      </c>
      <c r="L12" s="41" t="s">
        <v>666</v>
      </c>
      <c r="M12" s="19" t="s">
        <v>91</v>
      </c>
      <c r="N12" s="19" t="s">
        <v>487</v>
      </c>
      <c r="O12" s="19" t="s">
        <v>143</v>
      </c>
      <c r="P12" s="54">
        <v>46227.0</v>
      </c>
      <c r="Q12" s="42" t="s">
        <v>494</v>
      </c>
      <c r="R12" s="50" t="s">
        <v>96</v>
      </c>
      <c r="S12" s="42" t="s">
        <v>667</v>
      </c>
      <c r="T12" s="46"/>
      <c r="U12" s="46"/>
      <c r="V12" s="46"/>
      <c r="W12" s="46"/>
      <c r="X12" s="46"/>
      <c r="Y12" s="46"/>
      <c r="Z12" s="46"/>
      <c r="AA12" s="46"/>
      <c r="AB12" s="46"/>
      <c r="AC12" s="46"/>
      <c r="AD12" s="46"/>
      <c r="AE12" s="46"/>
    </row>
    <row r="13">
      <c r="A13" s="33">
        <f t="shared" si="2"/>
        <v>8</v>
      </c>
      <c r="B13" s="40" t="str">
        <f t="shared" si="1"/>
        <v>MD-008</v>
      </c>
      <c r="C13" s="19" t="s">
        <v>471</v>
      </c>
      <c r="D13" s="23"/>
      <c r="E13" s="42" t="s">
        <v>472</v>
      </c>
      <c r="F13" s="53" t="s">
        <v>473</v>
      </c>
      <c r="G13" s="19" t="s">
        <v>178</v>
      </c>
      <c r="H13" s="40" t="s">
        <v>177</v>
      </c>
      <c r="I13" s="40" t="str">
        <f t="array" ref="I13">IF(G13="","",IFERROR(INDEX('Người sử dụng'!$H$5:$H$140,MATCH(G13,'Người sử dụng'!$C$5:$C$140,0)),"Chưa có trong DS"))</f>
        <v>Đang làm</v>
      </c>
      <c r="J13" s="19" t="s">
        <v>441</v>
      </c>
      <c r="K13" s="19" t="s">
        <v>670</v>
      </c>
      <c r="L13" s="41" t="s">
        <v>671</v>
      </c>
      <c r="M13" s="19" t="s">
        <v>91</v>
      </c>
      <c r="N13" s="19" t="s">
        <v>487</v>
      </c>
      <c r="O13" s="19" t="s">
        <v>143</v>
      </c>
      <c r="P13" s="54">
        <v>46227.0</v>
      </c>
      <c r="Q13" s="42" t="s">
        <v>494</v>
      </c>
      <c r="R13" s="50" t="s">
        <v>96</v>
      </c>
      <c r="S13" s="42" t="s">
        <v>672</v>
      </c>
      <c r="T13" s="46"/>
      <c r="U13" s="46"/>
      <c r="V13" s="46"/>
      <c r="W13" s="46"/>
      <c r="X13" s="46"/>
      <c r="Y13" s="46"/>
      <c r="Z13" s="46"/>
      <c r="AA13" s="46"/>
      <c r="AB13" s="46"/>
      <c r="AC13" s="46"/>
      <c r="AD13" s="46"/>
      <c r="AE13" s="46"/>
    </row>
    <row r="14">
      <c r="A14" s="33">
        <f t="shared" si="2"/>
        <v>9</v>
      </c>
      <c r="B14" s="40" t="str">
        <f t="shared" si="1"/>
        <v>MD-009</v>
      </c>
      <c r="C14" s="19" t="s">
        <v>471</v>
      </c>
      <c r="D14" s="23"/>
      <c r="E14" s="42" t="s">
        <v>673</v>
      </c>
      <c r="F14" s="53" t="s">
        <v>473</v>
      </c>
      <c r="G14" s="19" t="s">
        <v>178</v>
      </c>
      <c r="H14" s="40" t="s">
        <v>177</v>
      </c>
      <c r="I14" s="40" t="str">
        <f t="array" ref="I14">IF(G14="","",IFERROR(INDEX('Người sử dụng'!$H$5:$H$140,MATCH(G14,'Người sử dụng'!$C$5:$C$140,0)),"Chưa có trong DS"))</f>
        <v>Đang làm</v>
      </c>
      <c r="J14" s="19" t="s">
        <v>441</v>
      </c>
      <c r="K14" s="19" t="s">
        <v>676</v>
      </c>
      <c r="L14" s="41" t="s">
        <v>677</v>
      </c>
      <c r="M14" s="19" t="s">
        <v>91</v>
      </c>
      <c r="N14" s="19" t="s">
        <v>487</v>
      </c>
      <c r="O14" s="19" t="s">
        <v>143</v>
      </c>
      <c r="P14" s="54">
        <v>46227.0</v>
      </c>
      <c r="Q14" s="42" t="s">
        <v>494</v>
      </c>
      <c r="R14" s="50" t="s">
        <v>96</v>
      </c>
      <c r="S14" s="42" t="s">
        <v>678</v>
      </c>
      <c r="T14" s="46"/>
      <c r="U14" s="46"/>
      <c r="V14" s="46"/>
      <c r="W14" s="46"/>
      <c r="X14" s="46"/>
      <c r="Y14" s="46"/>
      <c r="Z14" s="46"/>
      <c r="AA14" s="46"/>
      <c r="AB14" s="46"/>
      <c r="AC14" s="46"/>
      <c r="AD14" s="46"/>
      <c r="AE14" s="46"/>
    </row>
    <row r="15">
      <c r="A15" s="33">
        <f t="shared" si="2"/>
        <v>10</v>
      </c>
      <c r="B15" s="40" t="str">
        <f t="shared" si="1"/>
        <v>MD-010</v>
      </c>
      <c r="C15" s="19" t="s">
        <v>434</v>
      </c>
      <c r="D15" s="23"/>
      <c r="E15" s="42" t="s">
        <v>435</v>
      </c>
      <c r="F15" s="45" t="s">
        <v>436</v>
      </c>
      <c r="G15" s="19" t="s">
        <v>178</v>
      </c>
      <c r="H15" s="40" t="s">
        <v>177</v>
      </c>
      <c r="I15" s="40" t="str">
        <f t="array" ref="I15">IF(G15="","",IFERROR(INDEX('Người sử dụng'!$H$5:$H$140,MATCH(G15,'Người sử dụng'!$C$5:$C$140,0)),"Chưa có trong DS"))</f>
        <v>Đang làm</v>
      </c>
      <c r="J15" s="19" t="s">
        <v>441</v>
      </c>
      <c r="K15" s="19" t="s">
        <v>486</v>
      </c>
      <c r="L15" s="23"/>
      <c r="M15" s="19" t="s">
        <v>91</v>
      </c>
      <c r="N15" s="24"/>
      <c r="O15" s="19" t="s">
        <v>143</v>
      </c>
      <c r="P15" s="54">
        <v>46120.0</v>
      </c>
      <c r="Q15" s="42" t="s">
        <v>494</v>
      </c>
      <c r="R15" s="50" t="s">
        <v>96</v>
      </c>
      <c r="S15" s="51"/>
      <c r="T15" s="46"/>
      <c r="U15" s="46"/>
      <c r="V15" s="46"/>
      <c r="W15" s="46"/>
      <c r="X15" s="46"/>
      <c r="Y15" s="46"/>
      <c r="Z15" s="46"/>
      <c r="AA15" s="46"/>
      <c r="AB15" s="46"/>
      <c r="AC15" s="46"/>
      <c r="AD15" s="46"/>
      <c r="AE15" s="46"/>
    </row>
    <row r="16">
      <c r="A16" s="33">
        <f t="shared" si="2"/>
        <v>11</v>
      </c>
      <c r="B16" s="40" t="str">
        <f t="shared" si="1"/>
        <v>MD-011</v>
      </c>
      <c r="C16" s="19" t="s">
        <v>681</v>
      </c>
      <c r="D16" s="23"/>
      <c r="E16" s="42" t="s">
        <v>683</v>
      </c>
      <c r="F16" s="19" t="s">
        <v>511</v>
      </c>
      <c r="G16" s="19" t="s">
        <v>178</v>
      </c>
      <c r="H16" s="40" t="s">
        <v>177</v>
      </c>
      <c r="I16" s="40" t="str">
        <f t="array" ref="I16">IF(G16="","",IFERROR(INDEX('Người sử dụng'!$H$5:$H$140,MATCH(G16,'Người sử dụng'!$C$5:$C$140,0)),"Chưa có trong DS"))</f>
        <v>Đang làm</v>
      </c>
      <c r="J16" s="19" t="s">
        <v>89</v>
      </c>
      <c r="K16" s="19" t="s">
        <v>511</v>
      </c>
      <c r="L16" s="41" t="s">
        <v>644</v>
      </c>
      <c r="M16" s="19" t="s">
        <v>91</v>
      </c>
      <c r="N16" s="24"/>
      <c r="O16" s="19" t="s">
        <v>92</v>
      </c>
      <c r="P16" s="26"/>
      <c r="Q16" s="42" t="s">
        <v>685</v>
      </c>
      <c r="R16" s="50" t="s">
        <v>96</v>
      </c>
      <c r="S16" s="51"/>
      <c r="T16" s="46"/>
      <c r="U16" s="46"/>
      <c r="V16" s="46"/>
      <c r="W16" s="46"/>
      <c r="X16" s="46"/>
      <c r="Y16" s="46"/>
      <c r="Z16" s="46"/>
      <c r="AA16" s="46"/>
      <c r="AB16" s="46"/>
      <c r="AC16" s="46"/>
      <c r="AD16" s="46"/>
      <c r="AE16" s="46"/>
    </row>
    <row r="17">
      <c r="A17" s="33">
        <f t="shared" si="2"/>
        <v>12</v>
      </c>
      <c r="B17" s="40" t="str">
        <f t="shared" si="1"/>
        <v>MD-012</v>
      </c>
      <c r="C17" s="19" t="s">
        <v>681</v>
      </c>
      <c r="D17" s="23"/>
      <c r="E17" s="42" t="s">
        <v>683</v>
      </c>
      <c r="F17" s="19" t="s">
        <v>500</v>
      </c>
      <c r="G17" s="19" t="s">
        <v>178</v>
      </c>
      <c r="H17" s="40" t="s">
        <v>177</v>
      </c>
      <c r="I17" s="40" t="str">
        <f t="array" ref="I17">IF(G17="","",IFERROR(INDEX('Người sử dụng'!$H$5:$H$140,MATCH(G17,'Người sử dụng'!$C$5:$C$140,0)),"Chưa có trong DS"))</f>
        <v>Đang làm</v>
      </c>
      <c r="J17" s="19" t="s">
        <v>89</v>
      </c>
      <c r="K17" s="19" t="s">
        <v>500</v>
      </c>
      <c r="L17" s="41" t="s">
        <v>647</v>
      </c>
      <c r="M17" s="19" t="s">
        <v>91</v>
      </c>
      <c r="N17" s="24"/>
      <c r="O17" s="19" t="s">
        <v>92</v>
      </c>
      <c r="P17" s="26"/>
      <c r="Q17" s="42" t="s">
        <v>685</v>
      </c>
      <c r="R17" s="50" t="s">
        <v>96</v>
      </c>
      <c r="S17" s="51"/>
      <c r="T17" s="46"/>
      <c r="U17" s="46"/>
      <c r="V17" s="46"/>
      <c r="W17" s="46"/>
      <c r="X17" s="46"/>
      <c r="Y17" s="46"/>
      <c r="Z17" s="46"/>
      <c r="AA17" s="46"/>
      <c r="AB17" s="46"/>
      <c r="AC17" s="46"/>
      <c r="AD17" s="46"/>
      <c r="AE17" s="46"/>
    </row>
    <row r="18">
      <c r="A18" s="33">
        <f t="shared" si="2"/>
        <v>13</v>
      </c>
      <c r="B18" s="40" t="str">
        <f t="shared" si="1"/>
        <v>MD-013</v>
      </c>
      <c r="C18" s="19" t="s">
        <v>681</v>
      </c>
      <c r="D18" s="23"/>
      <c r="E18" s="42" t="s">
        <v>683</v>
      </c>
      <c r="F18" s="19" t="s">
        <v>653</v>
      </c>
      <c r="G18" s="19" t="s">
        <v>178</v>
      </c>
      <c r="H18" s="40" t="s">
        <v>177</v>
      </c>
      <c r="I18" s="40" t="str">
        <f t="array" ref="I18">IF(G18="","",IFERROR(INDEX('Người sử dụng'!$H$5:$H$140,MATCH(G18,'Người sử dụng'!$C$5:$C$140,0)),"Chưa có trong DS"))</f>
        <v>Đang làm</v>
      </c>
      <c r="J18" s="19" t="s">
        <v>89</v>
      </c>
      <c r="K18" s="19" t="s">
        <v>653</v>
      </c>
      <c r="L18" s="41" t="s">
        <v>512</v>
      </c>
      <c r="M18" s="19" t="s">
        <v>91</v>
      </c>
      <c r="N18" s="24"/>
      <c r="O18" s="19" t="s">
        <v>92</v>
      </c>
      <c r="P18" s="26"/>
      <c r="Q18" s="42" t="s">
        <v>685</v>
      </c>
      <c r="R18" s="50" t="s">
        <v>96</v>
      </c>
      <c r="S18" s="51"/>
      <c r="T18" s="46"/>
      <c r="U18" s="46"/>
      <c r="V18" s="46"/>
      <c r="W18" s="46"/>
      <c r="X18" s="46"/>
      <c r="Y18" s="46"/>
      <c r="Z18" s="46"/>
      <c r="AA18" s="46"/>
      <c r="AB18" s="46"/>
      <c r="AC18" s="46"/>
      <c r="AD18" s="46"/>
      <c r="AE18" s="46"/>
    </row>
    <row r="19">
      <c r="A19" s="33">
        <f t="shared" si="2"/>
        <v>14</v>
      </c>
      <c r="B19" s="40" t="str">
        <f t="shared" si="1"/>
        <v>MD-014</v>
      </c>
      <c r="C19" s="19" t="s">
        <v>681</v>
      </c>
      <c r="D19" s="23"/>
      <c r="E19" s="42" t="s">
        <v>683</v>
      </c>
      <c r="F19" s="19" t="s">
        <v>492</v>
      </c>
      <c r="G19" s="19" t="s">
        <v>178</v>
      </c>
      <c r="H19" s="40" t="s">
        <v>177</v>
      </c>
      <c r="I19" s="40" t="str">
        <f t="array" ref="I19">IF(G19="","",IFERROR(INDEX('Người sử dụng'!$H$5:$H$140,MATCH(G19,'Người sử dụng'!$C$5:$C$140,0)),"Chưa có trong DS"))</f>
        <v>Đang làm</v>
      </c>
      <c r="J19" s="19" t="s">
        <v>89</v>
      </c>
      <c r="K19" s="19" t="s">
        <v>492</v>
      </c>
      <c r="L19" s="41" t="s">
        <v>493</v>
      </c>
      <c r="M19" s="19" t="s">
        <v>91</v>
      </c>
      <c r="N19" s="24"/>
      <c r="O19" s="19" t="s">
        <v>92</v>
      </c>
      <c r="P19" s="26"/>
      <c r="Q19" s="42" t="s">
        <v>685</v>
      </c>
      <c r="R19" s="50" t="s">
        <v>96</v>
      </c>
      <c r="S19" s="51"/>
      <c r="T19" s="46"/>
      <c r="U19" s="46"/>
      <c r="V19" s="46"/>
      <c r="W19" s="46"/>
      <c r="X19" s="46"/>
      <c r="Y19" s="46"/>
      <c r="Z19" s="46"/>
      <c r="AA19" s="46"/>
      <c r="AB19" s="46"/>
      <c r="AC19" s="46"/>
      <c r="AD19" s="46"/>
      <c r="AE19" s="46"/>
    </row>
    <row r="20">
      <c r="A20" s="33">
        <f t="shared" si="2"/>
        <v>15</v>
      </c>
      <c r="B20" s="40" t="str">
        <f t="shared" si="1"/>
        <v>MD-015</v>
      </c>
      <c r="C20" s="19" t="s">
        <v>681</v>
      </c>
      <c r="D20" s="23"/>
      <c r="E20" s="42" t="s">
        <v>683</v>
      </c>
      <c r="F20" s="19" t="s">
        <v>517</v>
      </c>
      <c r="G20" s="19" t="s">
        <v>178</v>
      </c>
      <c r="H20" s="40" t="s">
        <v>177</v>
      </c>
      <c r="I20" s="40" t="str">
        <f t="array" ref="I20">IF(G20="","",IFERROR(INDEX('Người sử dụng'!$H$5:$H$140,MATCH(G20,'Người sử dụng'!$C$5:$C$140,0)),"Chưa có trong DS"))</f>
        <v>Đang làm</v>
      </c>
      <c r="J20" s="19" t="s">
        <v>89</v>
      </c>
      <c r="K20" s="19" t="s">
        <v>517</v>
      </c>
      <c r="L20" s="23"/>
      <c r="M20" s="19" t="s">
        <v>91</v>
      </c>
      <c r="N20" s="24"/>
      <c r="O20" s="19" t="s">
        <v>92</v>
      </c>
      <c r="P20" s="26"/>
      <c r="Q20" s="42" t="s">
        <v>685</v>
      </c>
      <c r="R20" s="50" t="s">
        <v>96</v>
      </c>
      <c r="S20" s="51"/>
      <c r="T20" s="46"/>
      <c r="U20" s="46"/>
      <c r="V20" s="46"/>
      <c r="W20" s="46"/>
      <c r="X20" s="46"/>
      <c r="Y20" s="46"/>
      <c r="Z20" s="46"/>
      <c r="AA20" s="46"/>
      <c r="AB20" s="46"/>
      <c r="AC20" s="46"/>
      <c r="AD20" s="46"/>
      <c r="AE20" s="46"/>
    </row>
    <row r="21" ht="15.75" customHeight="1">
      <c r="A21" s="33">
        <f t="shared" si="2"/>
        <v>16</v>
      </c>
      <c r="B21" s="40" t="str">
        <f t="shared" si="1"/>
        <v>MD-016</v>
      </c>
      <c r="C21" s="19" t="s">
        <v>681</v>
      </c>
      <c r="D21" s="23"/>
      <c r="E21" s="42" t="s">
        <v>683</v>
      </c>
      <c r="F21" s="19" t="s">
        <v>523</v>
      </c>
      <c r="G21" s="19" t="s">
        <v>178</v>
      </c>
      <c r="H21" s="40" t="s">
        <v>177</v>
      </c>
      <c r="I21" s="40" t="str">
        <f t="array" ref="I21">IF(G21="","",IFERROR(INDEX('Người sử dụng'!$H$5:$H$140,MATCH(G21,'Người sử dụng'!$C$5:$C$140,0)),"Chưa có trong DS"))</f>
        <v>Đang làm</v>
      </c>
      <c r="J21" s="19" t="s">
        <v>89</v>
      </c>
      <c r="K21" s="19" t="s">
        <v>523</v>
      </c>
      <c r="L21" s="41" t="s">
        <v>660</v>
      </c>
      <c r="M21" s="19" t="s">
        <v>91</v>
      </c>
      <c r="N21" s="24"/>
      <c r="O21" s="19" t="s">
        <v>92</v>
      </c>
      <c r="P21" s="26"/>
      <c r="Q21" s="42" t="s">
        <v>685</v>
      </c>
      <c r="R21" s="50" t="s">
        <v>96</v>
      </c>
      <c r="S21" s="51"/>
      <c r="T21" s="46"/>
      <c r="U21" s="46"/>
      <c r="V21" s="46"/>
      <c r="W21" s="46"/>
      <c r="X21" s="46"/>
      <c r="Y21" s="46"/>
      <c r="Z21" s="46"/>
      <c r="AA21" s="46"/>
      <c r="AB21" s="46"/>
      <c r="AC21" s="46"/>
      <c r="AD21" s="46"/>
      <c r="AE21" s="46"/>
    </row>
    <row r="22" ht="15.75" customHeight="1">
      <c r="A22" s="33">
        <f t="shared" si="2"/>
        <v>17</v>
      </c>
      <c r="B22" s="40" t="str">
        <f t="shared" si="1"/>
        <v>MD-017</v>
      </c>
      <c r="C22" s="19" t="s">
        <v>681</v>
      </c>
      <c r="D22" s="23"/>
      <c r="E22" s="42" t="s">
        <v>683</v>
      </c>
      <c r="F22" s="19" t="s">
        <v>665</v>
      </c>
      <c r="G22" s="19" t="s">
        <v>178</v>
      </c>
      <c r="H22" s="40" t="s">
        <v>177</v>
      </c>
      <c r="I22" s="40" t="str">
        <f t="array" ref="I22">IF(G22="","",IFERROR(INDEX('Người sử dụng'!$H$5:$H$140,MATCH(G22,'Người sử dụng'!$C$5:$C$140,0)),"Chưa có trong DS"))</f>
        <v>Đang làm</v>
      </c>
      <c r="J22" s="19" t="s">
        <v>89</v>
      </c>
      <c r="K22" s="19" t="s">
        <v>665</v>
      </c>
      <c r="L22" s="41" t="s">
        <v>666</v>
      </c>
      <c r="M22" s="19" t="s">
        <v>91</v>
      </c>
      <c r="N22" s="24"/>
      <c r="O22" s="19" t="s">
        <v>92</v>
      </c>
      <c r="P22" s="26"/>
      <c r="Q22" s="42" t="s">
        <v>685</v>
      </c>
      <c r="R22" s="50" t="s">
        <v>96</v>
      </c>
      <c r="S22" s="51"/>
      <c r="T22" s="46"/>
      <c r="U22" s="46"/>
      <c r="V22" s="46"/>
      <c r="W22" s="46"/>
      <c r="X22" s="46"/>
      <c r="Y22" s="46"/>
      <c r="Z22" s="46"/>
      <c r="AA22" s="46"/>
      <c r="AB22" s="46"/>
      <c r="AC22" s="46"/>
      <c r="AD22" s="46"/>
      <c r="AE22" s="46"/>
    </row>
    <row r="23" ht="15.75" customHeight="1">
      <c r="A23" s="33">
        <f t="shared" si="2"/>
        <v>18</v>
      </c>
      <c r="B23" s="40" t="str">
        <f t="shared" si="1"/>
        <v>MD-018</v>
      </c>
      <c r="C23" s="19" t="s">
        <v>681</v>
      </c>
      <c r="D23" s="23"/>
      <c r="E23" s="42" t="s">
        <v>683</v>
      </c>
      <c r="F23" s="19" t="s">
        <v>670</v>
      </c>
      <c r="G23" s="19" t="s">
        <v>178</v>
      </c>
      <c r="H23" s="40" t="s">
        <v>177</v>
      </c>
      <c r="I23" s="40" t="str">
        <f t="array" ref="I23">IF(G23="","",IFERROR(INDEX('Người sử dụng'!$H$5:$H$140,MATCH(G23,'Người sử dụng'!$C$5:$C$140,0)),"Chưa có trong DS"))</f>
        <v>Đang làm</v>
      </c>
      <c r="J23" s="19" t="s">
        <v>89</v>
      </c>
      <c r="K23" s="19" t="s">
        <v>670</v>
      </c>
      <c r="L23" s="41" t="s">
        <v>671</v>
      </c>
      <c r="M23" s="19" t="s">
        <v>91</v>
      </c>
      <c r="N23" s="24"/>
      <c r="O23" s="19" t="s">
        <v>92</v>
      </c>
      <c r="P23" s="26"/>
      <c r="Q23" s="42" t="s">
        <v>685</v>
      </c>
      <c r="R23" s="50" t="s">
        <v>96</v>
      </c>
      <c r="S23" s="51"/>
      <c r="T23" s="46"/>
      <c r="U23" s="46"/>
      <c r="V23" s="46"/>
      <c r="W23" s="46"/>
      <c r="X23" s="46"/>
      <c r="Y23" s="46"/>
      <c r="Z23" s="46"/>
      <c r="AA23" s="46"/>
      <c r="AB23" s="46"/>
      <c r="AC23" s="46"/>
      <c r="AD23" s="46"/>
      <c r="AE23" s="46"/>
    </row>
    <row r="24" ht="15.75" customHeight="1">
      <c r="A24" s="33">
        <f t="shared" si="2"/>
        <v>19</v>
      </c>
      <c r="B24" s="40" t="str">
        <f t="shared" si="1"/>
        <v>MD-019</v>
      </c>
      <c r="C24" s="19" t="s">
        <v>681</v>
      </c>
      <c r="D24" s="23"/>
      <c r="E24" s="42" t="s">
        <v>683</v>
      </c>
      <c r="F24" s="19" t="s">
        <v>676</v>
      </c>
      <c r="G24" s="19" t="s">
        <v>178</v>
      </c>
      <c r="H24" s="40" t="s">
        <v>177</v>
      </c>
      <c r="I24" s="40" t="str">
        <f t="array" ref="I24">IF(G24="","",IFERROR(INDEX('Người sử dụng'!$H$5:$H$140,MATCH(G24,'Người sử dụng'!$C$5:$C$140,0)),"Chưa có trong DS"))</f>
        <v>Đang làm</v>
      </c>
      <c r="J24" s="19" t="s">
        <v>89</v>
      </c>
      <c r="K24" s="19" t="s">
        <v>676</v>
      </c>
      <c r="L24" s="41" t="s">
        <v>677</v>
      </c>
      <c r="M24" s="19" t="s">
        <v>91</v>
      </c>
      <c r="N24" s="24"/>
      <c r="O24" s="19" t="s">
        <v>92</v>
      </c>
      <c r="P24" s="26"/>
      <c r="Q24" s="42" t="s">
        <v>685</v>
      </c>
      <c r="R24" s="50" t="s">
        <v>96</v>
      </c>
      <c r="S24" s="51"/>
      <c r="T24" s="46"/>
      <c r="U24" s="46"/>
      <c r="V24" s="46"/>
      <c r="W24" s="46"/>
      <c r="X24" s="46"/>
      <c r="Y24" s="46"/>
      <c r="Z24" s="46"/>
      <c r="AA24" s="46"/>
      <c r="AB24" s="46"/>
      <c r="AC24" s="46"/>
      <c r="AD24" s="46"/>
      <c r="AE24" s="46"/>
    </row>
    <row r="25" ht="15.75" customHeight="1">
      <c r="A25" s="33">
        <f t="shared" si="2"/>
        <v>20</v>
      </c>
      <c r="B25" s="40" t="str">
        <f t="shared" si="1"/>
        <v>MD-020</v>
      </c>
      <c r="C25" s="19" t="s">
        <v>681</v>
      </c>
      <c r="D25" s="23"/>
      <c r="E25" s="42" t="s">
        <v>683</v>
      </c>
      <c r="F25" s="19" t="s">
        <v>486</v>
      </c>
      <c r="G25" s="19" t="s">
        <v>178</v>
      </c>
      <c r="H25" s="40" t="s">
        <v>177</v>
      </c>
      <c r="I25" s="40" t="str">
        <f t="array" ref="I25">IF(G25="","",IFERROR(INDEX('Người sử dụng'!$H$5:$H$140,MATCH(G25,'Người sử dụng'!$C$5:$C$140,0)),"Chưa có trong DS"))</f>
        <v>Đang làm</v>
      </c>
      <c r="J25" s="19" t="s">
        <v>89</v>
      </c>
      <c r="K25" s="19" t="s">
        <v>486</v>
      </c>
      <c r="L25" s="23"/>
      <c r="M25" s="19" t="s">
        <v>91</v>
      </c>
      <c r="N25" s="24"/>
      <c r="O25" s="19" t="s">
        <v>92</v>
      </c>
      <c r="P25" s="26"/>
      <c r="Q25" s="42" t="s">
        <v>702</v>
      </c>
      <c r="R25" s="50" t="s">
        <v>96</v>
      </c>
      <c r="S25" s="51"/>
      <c r="T25" s="46"/>
      <c r="U25" s="46"/>
      <c r="V25" s="46"/>
      <c r="W25" s="46"/>
      <c r="X25" s="46"/>
      <c r="Y25" s="46"/>
      <c r="Z25" s="46"/>
      <c r="AA25" s="46"/>
      <c r="AB25" s="46"/>
      <c r="AC25" s="46"/>
      <c r="AD25" s="46"/>
      <c r="AE25" s="46"/>
    </row>
    <row r="26" ht="15.75" customHeight="1">
      <c r="A26" s="33">
        <f t="shared" si="2"/>
        <v>21</v>
      </c>
      <c r="B26" s="40" t="str">
        <f t="shared" si="1"/>
        <v/>
      </c>
      <c r="C26" s="24"/>
      <c r="D26" s="23"/>
      <c r="E26" s="51"/>
      <c r="F26" s="51"/>
      <c r="G26" s="24"/>
      <c r="H26" s="40"/>
      <c r="I26" s="40" t="str">
        <f t="array" ref="I26">IF(G26="","",IFERROR(INDEX('Người sử dụng'!$H$5:$H$140,MATCH(G26,'Người sử dụng'!$C$5:$C$140,0)),"Chưa có trong DS"))</f>
        <v/>
      </c>
      <c r="J26" s="24"/>
      <c r="K26" s="24"/>
      <c r="L26" s="23"/>
      <c r="M26" s="24"/>
      <c r="N26" s="24"/>
      <c r="O26" s="24"/>
      <c r="P26" s="26"/>
      <c r="Q26" s="51"/>
      <c r="R26" s="46"/>
      <c r="S26" s="51"/>
      <c r="T26" s="46"/>
      <c r="U26" s="46"/>
      <c r="V26" s="46"/>
      <c r="W26" s="46"/>
      <c r="X26" s="46"/>
      <c r="Y26" s="46"/>
      <c r="Z26" s="46"/>
      <c r="AA26" s="46"/>
      <c r="AB26" s="46"/>
      <c r="AC26" s="46"/>
      <c r="AD26" s="46"/>
      <c r="AE26" s="46"/>
    </row>
    <row r="27" ht="15.75" customHeight="1">
      <c r="A27" s="33">
        <f t="shared" si="2"/>
        <v>22</v>
      </c>
      <c r="B27" s="40" t="str">
        <f t="shared" si="1"/>
        <v/>
      </c>
      <c r="C27" s="24"/>
      <c r="D27" s="23"/>
      <c r="E27" s="51"/>
      <c r="F27" s="51"/>
      <c r="G27" s="24"/>
      <c r="H27" s="40"/>
      <c r="I27" s="40" t="str">
        <f t="array" ref="I27">IF(G27="","",IFERROR(INDEX('Người sử dụng'!$H$5:$H$140,MATCH(G27,'Người sử dụng'!$C$5:$C$140,0)),"Chưa có trong DS"))</f>
        <v/>
      </c>
      <c r="J27" s="24"/>
      <c r="K27" s="24"/>
      <c r="L27" s="23"/>
      <c r="M27" s="24"/>
      <c r="N27" s="24"/>
      <c r="O27" s="24"/>
      <c r="P27" s="26"/>
      <c r="Q27" s="51"/>
      <c r="R27" s="46"/>
      <c r="S27" s="51"/>
      <c r="T27" s="46"/>
      <c r="U27" s="46"/>
      <c r="V27" s="46"/>
      <c r="W27" s="46"/>
      <c r="X27" s="46"/>
      <c r="Y27" s="46"/>
      <c r="Z27" s="46"/>
      <c r="AA27" s="46"/>
      <c r="AB27" s="46"/>
      <c r="AC27" s="46"/>
      <c r="AD27" s="46"/>
      <c r="AE27" s="46"/>
    </row>
    <row r="28" ht="15.75" customHeight="1">
      <c r="A28" s="33">
        <f t="shared" si="2"/>
        <v>23</v>
      </c>
      <c r="B28" s="40" t="str">
        <f t="shared" si="1"/>
        <v/>
      </c>
      <c r="C28" s="24"/>
      <c r="D28" s="23"/>
      <c r="E28" s="51"/>
      <c r="F28" s="51"/>
      <c r="G28" s="24"/>
      <c r="H28" s="40"/>
      <c r="I28" s="40" t="str">
        <f t="array" ref="I28">IF(G28="","",IFERROR(INDEX('Người sử dụng'!$H$5:$H$140,MATCH(G28,'Người sử dụng'!$C$5:$C$140,0)),"Chưa có trong DS"))</f>
        <v/>
      </c>
      <c r="J28" s="24"/>
      <c r="K28" s="24"/>
      <c r="L28" s="23"/>
      <c r="M28" s="24"/>
      <c r="N28" s="24"/>
      <c r="O28" s="24"/>
      <c r="P28" s="26"/>
      <c r="Q28" s="51"/>
      <c r="R28" s="46"/>
      <c r="S28" s="51"/>
      <c r="T28" s="46"/>
      <c r="U28" s="46"/>
      <c r="V28" s="46"/>
      <c r="W28" s="46"/>
      <c r="X28" s="46"/>
      <c r="Y28" s="46"/>
      <c r="Z28" s="46"/>
      <c r="AA28" s="46"/>
      <c r="AB28" s="46"/>
      <c r="AC28" s="46"/>
      <c r="AD28" s="46"/>
      <c r="AE28" s="46"/>
    </row>
    <row r="29" ht="15.75" customHeight="1">
      <c r="A29" s="33">
        <f t="shared" si="2"/>
        <v>24</v>
      </c>
      <c r="B29" s="40" t="str">
        <f t="shared" si="1"/>
        <v/>
      </c>
      <c r="C29" s="24"/>
      <c r="D29" s="23"/>
      <c r="E29" s="51"/>
      <c r="F29" s="51"/>
      <c r="G29" s="24"/>
      <c r="H29" s="40"/>
      <c r="I29" s="40" t="str">
        <f t="array" ref="I29">IF(G29="","",IFERROR(INDEX('Người sử dụng'!$H$5:$H$140,MATCH(G29,'Người sử dụng'!$C$5:$C$140,0)),"Chưa có trong DS"))</f>
        <v/>
      </c>
      <c r="J29" s="24"/>
      <c r="K29" s="24"/>
      <c r="L29" s="23"/>
      <c r="M29" s="24"/>
      <c r="N29" s="24"/>
      <c r="O29" s="24"/>
      <c r="P29" s="26"/>
      <c r="Q29" s="51"/>
      <c r="R29" s="46"/>
      <c r="S29" s="51"/>
      <c r="T29" s="46"/>
      <c r="U29" s="46"/>
      <c r="V29" s="46"/>
      <c r="W29" s="46"/>
      <c r="X29" s="46"/>
      <c r="Y29" s="46"/>
      <c r="Z29" s="46"/>
      <c r="AA29" s="46"/>
      <c r="AB29" s="46"/>
      <c r="AC29" s="46"/>
      <c r="AD29" s="46"/>
      <c r="AE29" s="46"/>
    </row>
    <row r="30" ht="15.75" customHeight="1">
      <c r="A30" s="33">
        <f t="shared" si="2"/>
        <v>25</v>
      </c>
      <c r="B30" s="40" t="str">
        <f t="shared" si="1"/>
        <v/>
      </c>
      <c r="C30" s="24"/>
      <c r="D30" s="23"/>
      <c r="E30" s="51"/>
      <c r="F30" s="51"/>
      <c r="G30" s="24"/>
      <c r="H30" s="40"/>
      <c r="I30" s="40" t="str">
        <f t="array" ref="I30">IF(G30="","",IFERROR(INDEX('Người sử dụng'!$H$5:$H$140,MATCH(G30,'Người sử dụng'!$C$5:$C$140,0)),"Chưa có trong DS"))</f>
        <v/>
      </c>
      <c r="J30" s="24"/>
      <c r="K30" s="24"/>
      <c r="L30" s="23"/>
      <c r="M30" s="24"/>
      <c r="N30" s="24"/>
      <c r="O30" s="24"/>
      <c r="P30" s="26"/>
      <c r="Q30" s="51"/>
      <c r="R30" s="46"/>
      <c r="S30" s="51"/>
      <c r="T30" s="46"/>
      <c r="U30" s="46"/>
      <c r="V30" s="46"/>
      <c r="W30" s="46"/>
      <c r="X30" s="46"/>
      <c r="Y30" s="46"/>
      <c r="Z30" s="46"/>
      <c r="AA30" s="46"/>
      <c r="AB30" s="46"/>
      <c r="AC30" s="46"/>
      <c r="AD30" s="46"/>
      <c r="AE30" s="46"/>
    </row>
    <row r="31" ht="15.75" customHeight="1">
      <c r="A31" s="33">
        <f t="shared" si="2"/>
        <v>26</v>
      </c>
      <c r="B31" s="40" t="str">
        <f t="shared" si="1"/>
        <v/>
      </c>
      <c r="C31" s="24"/>
      <c r="D31" s="23"/>
      <c r="E31" s="51"/>
      <c r="F31" s="51"/>
      <c r="G31" s="24"/>
      <c r="H31" s="40"/>
      <c r="I31" s="40" t="str">
        <f t="array" ref="I31">IF(G31="","",IFERROR(INDEX('Người sử dụng'!$H$5:$H$140,MATCH(G31,'Người sử dụng'!$C$5:$C$140,0)),"Chưa có trong DS"))</f>
        <v/>
      </c>
      <c r="J31" s="24"/>
      <c r="K31" s="24"/>
      <c r="L31" s="23"/>
      <c r="M31" s="24"/>
      <c r="N31" s="24"/>
      <c r="O31" s="24"/>
      <c r="P31" s="26"/>
      <c r="Q31" s="51"/>
      <c r="R31" s="46"/>
      <c r="S31" s="51"/>
      <c r="T31" s="46"/>
      <c r="U31" s="46"/>
      <c r="V31" s="46"/>
      <c r="W31" s="46"/>
      <c r="X31" s="46"/>
      <c r="Y31" s="46"/>
      <c r="Z31" s="46"/>
      <c r="AA31" s="46"/>
      <c r="AB31" s="46"/>
      <c r="AC31" s="46"/>
      <c r="AD31" s="46"/>
      <c r="AE31" s="46"/>
    </row>
    <row r="32" ht="15.75" customHeight="1">
      <c r="A32" s="33">
        <f t="shared" si="2"/>
        <v>27</v>
      </c>
      <c r="B32" s="40" t="str">
        <f t="shared" si="1"/>
        <v/>
      </c>
      <c r="C32" s="24"/>
      <c r="D32" s="23"/>
      <c r="E32" s="51"/>
      <c r="F32" s="51"/>
      <c r="G32" s="24"/>
      <c r="H32" s="40"/>
      <c r="I32" s="40" t="str">
        <f t="array" ref="I32">IF(G32="","",IFERROR(INDEX('Người sử dụng'!$H$5:$H$140,MATCH(G32,'Người sử dụng'!$C$5:$C$140,0)),"Chưa có trong DS"))</f>
        <v/>
      </c>
      <c r="J32" s="24"/>
      <c r="K32" s="24"/>
      <c r="L32" s="23"/>
      <c r="M32" s="24"/>
      <c r="N32" s="24"/>
      <c r="O32" s="24"/>
      <c r="P32" s="26"/>
      <c r="Q32" s="51"/>
      <c r="R32" s="46"/>
      <c r="S32" s="51"/>
      <c r="T32" s="46"/>
      <c r="U32" s="46"/>
      <c r="V32" s="46"/>
      <c r="W32" s="46"/>
      <c r="X32" s="46"/>
      <c r="Y32" s="46"/>
      <c r="Z32" s="46"/>
      <c r="AA32" s="46"/>
      <c r="AB32" s="46"/>
      <c r="AC32" s="46"/>
      <c r="AD32" s="46"/>
      <c r="AE32" s="46"/>
    </row>
    <row r="33" ht="15.75" customHeight="1">
      <c r="A33" s="33">
        <f t="shared" si="2"/>
        <v>28</v>
      </c>
      <c r="B33" s="40" t="str">
        <f t="shared" si="1"/>
        <v/>
      </c>
      <c r="C33" s="24"/>
      <c r="D33" s="23"/>
      <c r="E33" s="51"/>
      <c r="F33" s="51"/>
      <c r="G33" s="24"/>
      <c r="H33" s="40"/>
      <c r="I33" s="40" t="str">
        <f t="array" ref="I33">IF(G33="","",IFERROR(INDEX('Người sử dụng'!$H$5:$H$140,MATCH(G33,'Người sử dụng'!$C$5:$C$140,0)),"Chưa có trong DS"))</f>
        <v/>
      </c>
      <c r="J33" s="24"/>
      <c r="K33" s="24"/>
      <c r="L33" s="23"/>
      <c r="M33" s="24"/>
      <c r="N33" s="24"/>
      <c r="O33" s="24"/>
      <c r="P33" s="26"/>
      <c r="Q33" s="51"/>
      <c r="R33" s="46"/>
      <c r="S33" s="51"/>
      <c r="T33" s="46"/>
      <c r="U33" s="46"/>
      <c r="V33" s="46"/>
      <c r="W33" s="46"/>
      <c r="X33" s="46"/>
      <c r="Y33" s="46"/>
      <c r="Z33" s="46"/>
      <c r="AA33" s="46"/>
      <c r="AB33" s="46"/>
      <c r="AC33" s="46"/>
      <c r="AD33" s="46"/>
      <c r="AE33" s="46"/>
    </row>
    <row r="34" ht="15.75" customHeight="1">
      <c r="A34" s="33">
        <f t="shared" si="2"/>
        <v>29</v>
      </c>
      <c r="B34" s="40" t="str">
        <f t="shared" si="1"/>
        <v/>
      </c>
      <c r="C34" s="24"/>
      <c r="D34" s="23"/>
      <c r="E34" s="51"/>
      <c r="F34" s="51"/>
      <c r="G34" s="24"/>
      <c r="H34" s="40"/>
      <c r="I34" s="40" t="str">
        <f t="array" ref="I34">IF(G34="","",IFERROR(INDEX('Người sử dụng'!$H$5:$H$140,MATCH(G34,'Người sử dụng'!$C$5:$C$140,0)),"Chưa có trong DS"))</f>
        <v/>
      </c>
      <c r="J34" s="24"/>
      <c r="K34" s="24"/>
      <c r="L34" s="23"/>
      <c r="M34" s="24"/>
      <c r="N34" s="24"/>
      <c r="O34" s="24"/>
      <c r="P34" s="26"/>
      <c r="Q34" s="51"/>
      <c r="R34" s="46"/>
      <c r="S34" s="51"/>
      <c r="T34" s="46"/>
      <c r="U34" s="46"/>
      <c r="V34" s="46"/>
      <c r="W34" s="46"/>
      <c r="X34" s="46"/>
      <c r="Y34" s="46"/>
      <c r="Z34" s="46"/>
      <c r="AA34" s="46"/>
      <c r="AB34" s="46"/>
      <c r="AC34" s="46"/>
      <c r="AD34" s="46"/>
      <c r="AE34" s="46"/>
    </row>
    <row r="35" ht="15.75" customHeight="1">
      <c r="A35" s="33">
        <f t="shared" si="2"/>
        <v>30</v>
      </c>
      <c r="B35" s="40" t="str">
        <f t="shared" si="1"/>
        <v/>
      </c>
      <c r="C35" s="24"/>
      <c r="D35" s="23"/>
      <c r="E35" s="51"/>
      <c r="F35" s="51"/>
      <c r="G35" s="24"/>
      <c r="H35" s="40"/>
      <c r="I35" s="40" t="str">
        <f t="array" ref="I35">IF(G35="","",IFERROR(INDEX('Người sử dụng'!$H$5:$H$140,MATCH(G35,'Người sử dụng'!$C$5:$C$140,0)),"Chưa có trong DS"))</f>
        <v/>
      </c>
      <c r="J35" s="24"/>
      <c r="K35" s="24"/>
      <c r="L35" s="23"/>
      <c r="M35" s="24"/>
      <c r="N35" s="24"/>
      <c r="O35" s="24"/>
      <c r="P35" s="26"/>
      <c r="Q35" s="51"/>
      <c r="R35" s="46"/>
      <c r="S35" s="51"/>
      <c r="T35" s="46"/>
      <c r="U35" s="46"/>
      <c r="V35" s="46"/>
      <c r="W35" s="46"/>
      <c r="X35" s="46"/>
      <c r="Y35" s="46"/>
      <c r="Z35" s="46"/>
      <c r="AA35" s="46"/>
      <c r="AB35" s="46"/>
      <c r="AC35" s="46"/>
      <c r="AD35" s="46"/>
      <c r="AE35" s="46"/>
    </row>
    <row r="36" ht="15.75" customHeight="1">
      <c r="A36" s="33">
        <f t="shared" si="2"/>
        <v>31</v>
      </c>
      <c r="B36" s="40" t="str">
        <f t="shared" si="1"/>
        <v/>
      </c>
      <c r="C36" s="24"/>
      <c r="D36" s="23"/>
      <c r="E36" s="51"/>
      <c r="F36" s="51"/>
      <c r="G36" s="24"/>
      <c r="H36" s="40"/>
      <c r="I36" s="40" t="str">
        <f t="array" ref="I36">IF(G36="","",IFERROR(INDEX('Người sử dụng'!$H$5:$H$140,MATCH(G36,'Người sử dụng'!$C$5:$C$140,0)),"Chưa có trong DS"))</f>
        <v/>
      </c>
      <c r="J36" s="24"/>
      <c r="K36" s="24"/>
      <c r="L36" s="23"/>
      <c r="M36" s="24"/>
      <c r="N36" s="24"/>
      <c r="O36" s="24"/>
      <c r="P36" s="26"/>
      <c r="Q36" s="51"/>
      <c r="R36" s="46"/>
      <c r="S36" s="51"/>
      <c r="T36" s="46"/>
      <c r="U36" s="46"/>
      <c r="V36" s="46"/>
      <c r="W36" s="46"/>
      <c r="X36" s="46"/>
      <c r="Y36" s="46"/>
      <c r="Z36" s="46"/>
      <c r="AA36" s="46"/>
      <c r="AB36" s="46"/>
      <c r="AC36" s="46"/>
      <c r="AD36" s="46"/>
      <c r="AE36" s="46"/>
    </row>
    <row r="37" ht="15.75" customHeight="1">
      <c r="A37" s="33">
        <f t="shared" si="2"/>
        <v>32</v>
      </c>
      <c r="B37" s="40" t="str">
        <f t="shared" si="1"/>
        <v/>
      </c>
      <c r="C37" s="24"/>
      <c r="D37" s="23"/>
      <c r="E37" s="51"/>
      <c r="F37" s="51"/>
      <c r="G37" s="24"/>
      <c r="H37" s="40"/>
      <c r="I37" s="40" t="str">
        <f t="array" ref="I37">IF(G37="","",IFERROR(INDEX('Người sử dụng'!$H$5:$H$140,MATCH(G37,'Người sử dụng'!$C$5:$C$140,0)),"Chưa có trong DS"))</f>
        <v/>
      </c>
      <c r="J37" s="24"/>
      <c r="K37" s="24"/>
      <c r="L37" s="23"/>
      <c r="M37" s="24"/>
      <c r="N37" s="24"/>
      <c r="O37" s="24"/>
      <c r="P37" s="26"/>
      <c r="Q37" s="51"/>
      <c r="R37" s="46"/>
      <c r="S37" s="51"/>
      <c r="T37" s="46"/>
      <c r="U37" s="46"/>
      <c r="V37" s="46"/>
      <c r="W37" s="46"/>
      <c r="X37" s="46"/>
      <c r="Y37" s="46"/>
      <c r="Z37" s="46"/>
      <c r="AA37" s="46"/>
      <c r="AB37" s="46"/>
      <c r="AC37" s="46"/>
      <c r="AD37" s="46"/>
      <c r="AE37" s="46"/>
    </row>
    <row r="38" ht="15.75" customHeight="1">
      <c r="A38" s="33" t="str">
        <f t="shared" ref="A38:A205" si="3">IF(C38="","",ROW()-5)</f>
        <v/>
      </c>
      <c r="B38" s="40" t="str">
        <f t="shared" si="1"/>
        <v/>
      </c>
      <c r="C38" s="24"/>
      <c r="D38" s="23"/>
      <c r="E38" s="51"/>
      <c r="F38" s="51"/>
      <c r="G38" s="24"/>
      <c r="H38" s="40"/>
      <c r="I38" s="40" t="str">
        <f t="array" ref="I38">IF(G38="","",IFERROR(INDEX('Người sử dụng'!$H$5:$H$140,MATCH(G38,'Người sử dụng'!$C$5:$C$140,0)),"Chưa có trong DS"))</f>
        <v/>
      </c>
      <c r="J38" s="24"/>
      <c r="K38" s="24"/>
      <c r="L38" s="23"/>
      <c r="M38" s="24"/>
      <c r="N38" s="24"/>
      <c r="O38" s="24"/>
      <c r="P38" s="26"/>
      <c r="Q38" s="51"/>
      <c r="R38" s="46"/>
      <c r="S38" s="51"/>
      <c r="T38" s="46"/>
      <c r="U38" s="46"/>
      <c r="V38" s="46"/>
      <c r="W38" s="46"/>
      <c r="X38" s="46"/>
      <c r="Y38" s="46"/>
      <c r="Z38" s="46"/>
      <c r="AA38" s="46"/>
      <c r="AB38" s="46"/>
      <c r="AC38" s="46"/>
      <c r="AD38" s="46"/>
      <c r="AE38" s="46"/>
    </row>
    <row r="39" ht="15.75" customHeight="1">
      <c r="A39" s="33" t="str">
        <f t="shared" si="3"/>
        <v/>
      </c>
      <c r="B39" s="40" t="str">
        <f t="shared" si="1"/>
        <v/>
      </c>
      <c r="C39" s="24"/>
      <c r="D39" s="23"/>
      <c r="E39" s="51"/>
      <c r="F39" s="51"/>
      <c r="G39" s="24"/>
      <c r="H39" s="40"/>
      <c r="I39" s="40" t="str">
        <f t="array" ref="I39">IF(G39="","",IFERROR(INDEX('Người sử dụng'!$H$5:$H$140,MATCH(G39,'Người sử dụng'!$C$5:$C$140,0)),"Chưa có trong DS"))</f>
        <v/>
      </c>
      <c r="J39" s="24"/>
      <c r="K39" s="24"/>
      <c r="L39" s="23"/>
      <c r="M39" s="24"/>
      <c r="N39" s="24"/>
      <c r="O39" s="24"/>
      <c r="P39" s="26"/>
      <c r="Q39" s="51"/>
      <c r="R39" s="46"/>
      <c r="S39" s="51"/>
      <c r="T39" s="46"/>
      <c r="U39" s="46"/>
      <c r="V39" s="46"/>
      <c r="W39" s="46"/>
      <c r="X39" s="46"/>
      <c r="Y39" s="46"/>
      <c r="Z39" s="46"/>
      <c r="AA39" s="46"/>
      <c r="AB39" s="46"/>
      <c r="AC39" s="46"/>
      <c r="AD39" s="46"/>
      <c r="AE39" s="46"/>
    </row>
    <row r="40" ht="15.75" customHeight="1">
      <c r="A40" s="33" t="str">
        <f t="shared" si="3"/>
        <v/>
      </c>
      <c r="B40" s="40" t="str">
        <f t="shared" si="1"/>
        <v/>
      </c>
      <c r="C40" s="24"/>
      <c r="D40" s="23"/>
      <c r="E40" s="51"/>
      <c r="F40" s="51"/>
      <c r="G40" s="24"/>
      <c r="H40" s="40"/>
      <c r="I40" s="40" t="str">
        <f t="array" ref="I40">IF(G40="","",IFERROR(INDEX('Người sử dụng'!$H$5:$H$140,MATCH(G40,'Người sử dụng'!$C$5:$C$140,0)),"Chưa có trong DS"))</f>
        <v/>
      </c>
      <c r="J40" s="24"/>
      <c r="K40" s="24"/>
      <c r="L40" s="23"/>
      <c r="M40" s="24"/>
      <c r="N40" s="24"/>
      <c r="O40" s="24"/>
      <c r="P40" s="26"/>
      <c r="Q40" s="51"/>
      <c r="R40" s="46"/>
      <c r="S40" s="51"/>
      <c r="T40" s="46"/>
      <c r="U40" s="46"/>
      <c r="V40" s="46"/>
      <c r="W40" s="46"/>
      <c r="X40" s="46"/>
      <c r="Y40" s="46"/>
      <c r="Z40" s="46"/>
      <c r="AA40" s="46"/>
      <c r="AB40" s="46"/>
      <c r="AC40" s="46"/>
      <c r="AD40" s="46"/>
      <c r="AE40" s="46"/>
    </row>
    <row r="41" ht="15.75" customHeight="1">
      <c r="A41" s="33" t="str">
        <f t="shared" si="3"/>
        <v/>
      </c>
      <c r="B41" s="40" t="str">
        <f t="shared" si="1"/>
        <v/>
      </c>
      <c r="C41" s="24"/>
      <c r="D41" s="23"/>
      <c r="E41" s="51"/>
      <c r="F41" s="51"/>
      <c r="G41" s="24"/>
      <c r="H41" s="40"/>
      <c r="I41" s="40" t="str">
        <f t="array" ref="I41">IF(G41="","",IFERROR(INDEX('Người sử dụng'!$H$5:$H$140,MATCH(G41,'Người sử dụng'!$C$5:$C$140,0)),"Chưa có trong DS"))</f>
        <v/>
      </c>
      <c r="J41" s="24"/>
      <c r="K41" s="24"/>
      <c r="L41" s="23"/>
      <c r="M41" s="24"/>
      <c r="N41" s="24"/>
      <c r="O41" s="24"/>
      <c r="P41" s="26"/>
      <c r="Q41" s="51"/>
      <c r="R41" s="46"/>
      <c r="S41" s="51"/>
      <c r="T41" s="46"/>
      <c r="U41" s="46"/>
      <c r="V41" s="46"/>
      <c r="W41" s="46"/>
      <c r="X41" s="46"/>
      <c r="Y41" s="46"/>
      <c r="Z41" s="46"/>
      <c r="AA41" s="46"/>
      <c r="AB41" s="46"/>
      <c r="AC41" s="46"/>
      <c r="AD41" s="46"/>
      <c r="AE41" s="46"/>
    </row>
    <row r="42" ht="15.75" customHeight="1">
      <c r="A42" s="33" t="str">
        <f t="shared" si="3"/>
        <v/>
      </c>
      <c r="B42" s="40" t="str">
        <f t="shared" si="1"/>
        <v/>
      </c>
      <c r="C42" s="24"/>
      <c r="D42" s="23"/>
      <c r="E42" s="51"/>
      <c r="F42" s="51"/>
      <c r="G42" s="24"/>
      <c r="H42" s="40"/>
      <c r="I42" s="40" t="str">
        <f t="array" ref="I42">IF(G42="","",IFERROR(INDEX('Người sử dụng'!$H$5:$H$140,MATCH(G42,'Người sử dụng'!$C$5:$C$140,0)),"Chưa có trong DS"))</f>
        <v/>
      </c>
      <c r="J42" s="24"/>
      <c r="K42" s="24"/>
      <c r="L42" s="23"/>
      <c r="M42" s="24"/>
      <c r="N42" s="24"/>
      <c r="O42" s="24"/>
      <c r="P42" s="26"/>
      <c r="Q42" s="51"/>
      <c r="R42" s="46"/>
      <c r="S42" s="51"/>
      <c r="T42" s="46"/>
      <c r="U42" s="46"/>
      <c r="V42" s="46"/>
      <c r="W42" s="46"/>
      <c r="X42" s="46"/>
      <c r="Y42" s="46"/>
      <c r="Z42" s="46"/>
      <c r="AA42" s="46"/>
      <c r="AB42" s="46"/>
      <c r="AC42" s="46"/>
      <c r="AD42" s="46"/>
      <c r="AE42" s="46"/>
    </row>
    <row r="43" ht="15.75" customHeight="1">
      <c r="A43" s="33" t="str">
        <f t="shared" si="3"/>
        <v/>
      </c>
      <c r="B43" s="40" t="str">
        <f t="shared" si="1"/>
        <v/>
      </c>
      <c r="C43" s="24"/>
      <c r="D43" s="23"/>
      <c r="E43" s="51"/>
      <c r="F43" s="51"/>
      <c r="G43" s="24"/>
      <c r="H43" s="40"/>
      <c r="I43" s="40" t="str">
        <f t="array" ref="I43">IF(G43="","",IFERROR(INDEX('Người sử dụng'!$H$5:$H$140,MATCH(G43,'Người sử dụng'!$C$5:$C$140,0)),"Chưa có trong DS"))</f>
        <v/>
      </c>
      <c r="J43" s="24"/>
      <c r="K43" s="24"/>
      <c r="L43" s="23"/>
      <c r="M43" s="24"/>
      <c r="N43" s="24"/>
      <c r="O43" s="24"/>
      <c r="P43" s="26"/>
      <c r="Q43" s="51"/>
      <c r="R43" s="46"/>
      <c r="S43" s="51"/>
      <c r="T43" s="46"/>
      <c r="U43" s="46"/>
      <c r="V43" s="46"/>
      <c r="W43" s="46"/>
      <c r="X43" s="46"/>
      <c r="Y43" s="46"/>
      <c r="Z43" s="46"/>
      <c r="AA43" s="46"/>
      <c r="AB43" s="46"/>
      <c r="AC43" s="46"/>
      <c r="AD43" s="46"/>
      <c r="AE43" s="46"/>
    </row>
    <row r="44" ht="15.75" customHeight="1">
      <c r="A44" s="33" t="str">
        <f t="shared" si="3"/>
        <v/>
      </c>
      <c r="B44" s="40" t="str">
        <f t="shared" si="1"/>
        <v/>
      </c>
      <c r="C44" s="24"/>
      <c r="D44" s="23"/>
      <c r="E44" s="51"/>
      <c r="F44" s="51"/>
      <c r="G44" s="24"/>
      <c r="H44" s="40"/>
      <c r="I44" s="40" t="str">
        <f t="array" ref="I44">IF(G44="","",IFERROR(INDEX('Người sử dụng'!$H$5:$H$140,MATCH(G44,'Người sử dụng'!$C$5:$C$140,0)),"Chưa có trong DS"))</f>
        <v/>
      </c>
      <c r="J44" s="24"/>
      <c r="K44" s="24"/>
      <c r="L44" s="23"/>
      <c r="M44" s="24"/>
      <c r="N44" s="24"/>
      <c r="O44" s="24"/>
      <c r="P44" s="26"/>
      <c r="Q44" s="51"/>
      <c r="R44" s="46"/>
      <c r="S44" s="51"/>
      <c r="T44" s="46"/>
      <c r="U44" s="46"/>
      <c r="V44" s="46"/>
      <c r="W44" s="46"/>
      <c r="X44" s="46"/>
      <c r="Y44" s="46"/>
      <c r="Z44" s="46"/>
      <c r="AA44" s="46"/>
      <c r="AB44" s="46"/>
      <c r="AC44" s="46"/>
      <c r="AD44" s="46"/>
      <c r="AE44" s="46"/>
    </row>
    <row r="45" ht="15.75" customHeight="1">
      <c r="A45" s="33" t="str">
        <f t="shared" si="3"/>
        <v/>
      </c>
      <c r="B45" s="40" t="str">
        <f t="shared" si="1"/>
        <v/>
      </c>
      <c r="C45" s="24"/>
      <c r="D45" s="23"/>
      <c r="E45" s="51"/>
      <c r="F45" s="51"/>
      <c r="G45" s="24"/>
      <c r="H45" s="40"/>
      <c r="I45" s="40" t="str">
        <f t="array" ref="I45">IF(G45="","",IFERROR(INDEX('Người sử dụng'!$H$5:$H$140,MATCH(G45,'Người sử dụng'!$C$5:$C$140,0)),"Chưa có trong DS"))</f>
        <v/>
      </c>
      <c r="J45" s="24"/>
      <c r="K45" s="24"/>
      <c r="L45" s="23"/>
      <c r="M45" s="24"/>
      <c r="N45" s="24"/>
      <c r="O45" s="24"/>
      <c r="P45" s="26"/>
      <c r="Q45" s="51"/>
      <c r="R45" s="46"/>
      <c r="S45" s="51"/>
      <c r="T45" s="46"/>
      <c r="U45" s="46"/>
      <c r="V45" s="46"/>
      <c r="W45" s="46"/>
      <c r="X45" s="46"/>
      <c r="Y45" s="46"/>
      <c r="Z45" s="46"/>
      <c r="AA45" s="46"/>
      <c r="AB45" s="46"/>
      <c r="AC45" s="46"/>
      <c r="AD45" s="46"/>
      <c r="AE45" s="46"/>
    </row>
    <row r="46" ht="15.75" customHeight="1">
      <c r="A46" s="33" t="str">
        <f t="shared" si="3"/>
        <v/>
      </c>
      <c r="B46" s="40" t="str">
        <f t="shared" si="1"/>
        <v/>
      </c>
      <c r="C46" s="24"/>
      <c r="D46" s="23"/>
      <c r="E46" s="51"/>
      <c r="F46" s="51"/>
      <c r="G46" s="24"/>
      <c r="H46" s="40"/>
      <c r="I46" s="40" t="str">
        <f t="array" ref="I46">IF(G46="","",IFERROR(INDEX('Người sử dụng'!$H$5:$H$140,MATCH(G46,'Người sử dụng'!$C$5:$C$140,0)),"Chưa có trong DS"))</f>
        <v/>
      </c>
      <c r="J46" s="24"/>
      <c r="K46" s="24"/>
      <c r="L46" s="23"/>
      <c r="M46" s="24"/>
      <c r="N46" s="24"/>
      <c r="O46" s="24"/>
      <c r="P46" s="26"/>
      <c r="Q46" s="51"/>
      <c r="R46" s="46"/>
      <c r="S46" s="51"/>
      <c r="T46" s="46"/>
      <c r="U46" s="46"/>
      <c r="V46" s="46"/>
      <c r="W46" s="46"/>
      <c r="X46" s="46"/>
      <c r="Y46" s="46"/>
      <c r="Z46" s="46"/>
      <c r="AA46" s="46"/>
      <c r="AB46" s="46"/>
      <c r="AC46" s="46"/>
      <c r="AD46" s="46"/>
      <c r="AE46" s="46"/>
    </row>
    <row r="47" ht="15.75" customHeight="1">
      <c r="A47" s="33" t="str">
        <f t="shared" si="3"/>
        <v/>
      </c>
      <c r="B47" s="40" t="str">
        <f t="shared" si="1"/>
        <v/>
      </c>
      <c r="C47" s="24"/>
      <c r="D47" s="23"/>
      <c r="E47" s="51"/>
      <c r="F47" s="51"/>
      <c r="G47" s="24"/>
      <c r="H47" s="40"/>
      <c r="I47" s="40" t="str">
        <f t="array" ref="I47">IF(G47="","",IFERROR(INDEX('Người sử dụng'!$H$5:$H$140,MATCH(G47,'Người sử dụng'!$C$5:$C$140,0)),"Chưa có trong DS"))</f>
        <v/>
      </c>
      <c r="J47" s="24"/>
      <c r="K47" s="24"/>
      <c r="L47" s="23"/>
      <c r="M47" s="24"/>
      <c r="N47" s="24"/>
      <c r="O47" s="24"/>
      <c r="P47" s="26"/>
      <c r="Q47" s="51"/>
      <c r="R47" s="46"/>
      <c r="S47" s="51"/>
      <c r="T47" s="46"/>
      <c r="U47" s="46"/>
      <c r="V47" s="46"/>
      <c r="W47" s="46"/>
      <c r="X47" s="46"/>
      <c r="Y47" s="46"/>
      <c r="Z47" s="46"/>
      <c r="AA47" s="46"/>
      <c r="AB47" s="46"/>
      <c r="AC47" s="46"/>
      <c r="AD47" s="46"/>
      <c r="AE47" s="46"/>
    </row>
    <row r="48" ht="15.75" customHeight="1">
      <c r="A48" s="33" t="str">
        <f t="shared" si="3"/>
        <v/>
      </c>
      <c r="B48" s="40" t="str">
        <f t="shared" si="1"/>
        <v/>
      </c>
      <c r="C48" s="24"/>
      <c r="D48" s="23"/>
      <c r="E48" s="51"/>
      <c r="F48" s="51"/>
      <c r="G48" s="24"/>
      <c r="H48" s="40"/>
      <c r="I48" s="40" t="str">
        <f t="array" ref="I48">IF(G48="","",IFERROR(INDEX('Người sử dụng'!$H$5:$H$140,MATCH(G48,'Người sử dụng'!$C$5:$C$140,0)),"Chưa có trong DS"))</f>
        <v/>
      </c>
      <c r="J48" s="24"/>
      <c r="K48" s="24"/>
      <c r="L48" s="23"/>
      <c r="M48" s="24"/>
      <c r="N48" s="24"/>
      <c r="O48" s="24"/>
      <c r="P48" s="26"/>
      <c r="Q48" s="51"/>
      <c r="R48" s="46"/>
      <c r="S48" s="51"/>
      <c r="T48" s="46"/>
      <c r="U48" s="46"/>
      <c r="V48" s="46"/>
      <c r="W48" s="46"/>
      <c r="X48" s="46"/>
      <c r="Y48" s="46"/>
      <c r="Z48" s="46"/>
      <c r="AA48" s="46"/>
      <c r="AB48" s="46"/>
      <c r="AC48" s="46"/>
      <c r="AD48" s="46"/>
      <c r="AE48" s="46"/>
    </row>
    <row r="49" ht="15.75" customHeight="1">
      <c r="A49" s="33" t="str">
        <f t="shared" si="3"/>
        <v/>
      </c>
      <c r="B49" s="40" t="str">
        <f t="shared" si="1"/>
        <v/>
      </c>
      <c r="C49" s="24"/>
      <c r="D49" s="23"/>
      <c r="E49" s="51"/>
      <c r="F49" s="51"/>
      <c r="G49" s="24"/>
      <c r="H49" s="40"/>
      <c r="I49" s="40" t="str">
        <f t="array" ref="I49">IF(G49="","",IFERROR(INDEX('Người sử dụng'!$H$5:$H$140,MATCH(G49,'Người sử dụng'!$C$5:$C$140,0)),"Chưa có trong DS"))</f>
        <v/>
      </c>
      <c r="J49" s="24"/>
      <c r="K49" s="24"/>
      <c r="L49" s="23"/>
      <c r="M49" s="24"/>
      <c r="N49" s="24"/>
      <c r="O49" s="24"/>
      <c r="P49" s="26"/>
      <c r="Q49" s="51"/>
      <c r="R49" s="46"/>
      <c r="S49" s="51"/>
      <c r="T49" s="46"/>
      <c r="U49" s="46"/>
      <c r="V49" s="46"/>
      <c r="W49" s="46"/>
      <c r="X49" s="46"/>
      <c r="Y49" s="46"/>
      <c r="Z49" s="46"/>
      <c r="AA49" s="46"/>
      <c r="AB49" s="46"/>
      <c r="AC49" s="46"/>
      <c r="AD49" s="46"/>
      <c r="AE49" s="46"/>
    </row>
    <row r="50" ht="15.75" customHeight="1">
      <c r="A50" s="33" t="str">
        <f t="shared" si="3"/>
        <v/>
      </c>
      <c r="B50" s="40" t="str">
        <f t="shared" si="1"/>
        <v/>
      </c>
      <c r="C50" s="24"/>
      <c r="D50" s="23"/>
      <c r="E50" s="51"/>
      <c r="F50" s="51"/>
      <c r="G50" s="24"/>
      <c r="H50" s="40"/>
      <c r="I50" s="40" t="str">
        <f t="array" ref="I50">IF(G50="","",IFERROR(INDEX('Người sử dụng'!$H$5:$H$140,MATCH(G50,'Người sử dụng'!$C$5:$C$140,0)),"Chưa có trong DS"))</f>
        <v/>
      </c>
      <c r="J50" s="24"/>
      <c r="K50" s="24"/>
      <c r="L50" s="23"/>
      <c r="M50" s="24"/>
      <c r="N50" s="24"/>
      <c r="O50" s="24"/>
      <c r="P50" s="26"/>
      <c r="Q50" s="51"/>
      <c r="R50" s="46"/>
      <c r="S50" s="51"/>
      <c r="T50" s="46"/>
      <c r="U50" s="46"/>
      <c r="V50" s="46"/>
      <c r="W50" s="46"/>
      <c r="X50" s="46"/>
      <c r="Y50" s="46"/>
      <c r="Z50" s="46"/>
      <c r="AA50" s="46"/>
      <c r="AB50" s="46"/>
      <c r="AC50" s="46"/>
      <c r="AD50" s="46"/>
      <c r="AE50" s="46"/>
    </row>
    <row r="51" ht="15.75" customHeight="1">
      <c r="A51" s="33" t="str">
        <f t="shared" si="3"/>
        <v/>
      </c>
      <c r="B51" s="40" t="str">
        <f t="shared" si="1"/>
        <v/>
      </c>
      <c r="C51" s="24"/>
      <c r="D51" s="23"/>
      <c r="E51" s="51"/>
      <c r="F51" s="51"/>
      <c r="G51" s="24"/>
      <c r="H51" s="40"/>
      <c r="I51" s="40" t="str">
        <f t="array" ref="I51">IF(G51="","",IFERROR(INDEX('Người sử dụng'!$H$5:$H$140,MATCH(G51,'Người sử dụng'!$C$5:$C$140,0)),"Chưa có trong DS"))</f>
        <v/>
      </c>
      <c r="J51" s="24"/>
      <c r="K51" s="24"/>
      <c r="L51" s="23"/>
      <c r="M51" s="24"/>
      <c r="N51" s="24"/>
      <c r="O51" s="24"/>
      <c r="P51" s="26"/>
      <c r="Q51" s="51"/>
      <c r="R51" s="46"/>
      <c r="S51" s="51"/>
      <c r="T51" s="46"/>
      <c r="U51" s="46"/>
      <c r="V51" s="46"/>
      <c r="W51" s="46"/>
      <c r="X51" s="46"/>
      <c r="Y51" s="46"/>
      <c r="Z51" s="46"/>
      <c r="AA51" s="46"/>
      <c r="AB51" s="46"/>
      <c r="AC51" s="46"/>
      <c r="AD51" s="46"/>
      <c r="AE51" s="46"/>
    </row>
    <row r="52" ht="15.75" customHeight="1">
      <c r="A52" s="33" t="str">
        <f t="shared" si="3"/>
        <v/>
      </c>
      <c r="B52" s="40" t="str">
        <f t="shared" si="1"/>
        <v/>
      </c>
      <c r="C52" s="24"/>
      <c r="D52" s="23"/>
      <c r="E52" s="51"/>
      <c r="F52" s="51"/>
      <c r="G52" s="24"/>
      <c r="H52" s="40"/>
      <c r="I52" s="40" t="str">
        <f t="array" ref="I52">IF(G52="","",IFERROR(INDEX('Người sử dụng'!$H$5:$H$140,MATCH(G52,'Người sử dụng'!$C$5:$C$140,0)),"Chưa có trong DS"))</f>
        <v/>
      </c>
      <c r="J52" s="24"/>
      <c r="K52" s="24"/>
      <c r="L52" s="23"/>
      <c r="M52" s="24"/>
      <c r="N52" s="24"/>
      <c r="O52" s="24"/>
      <c r="P52" s="26"/>
      <c r="Q52" s="51"/>
      <c r="R52" s="46"/>
      <c r="S52" s="51"/>
      <c r="T52" s="46"/>
      <c r="U52" s="46"/>
      <c r="V52" s="46"/>
      <c r="W52" s="46"/>
      <c r="X52" s="46"/>
      <c r="Y52" s="46"/>
      <c r="Z52" s="46"/>
      <c r="AA52" s="46"/>
      <c r="AB52" s="46"/>
      <c r="AC52" s="46"/>
      <c r="AD52" s="46"/>
      <c r="AE52" s="46"/>
    </row>
    <row r="53" ht="15.75" customHeight="1">
      <c r="A53" s="33" t="str">
        <f t="shared" si="3"/>
        <v/>
      </c>
      <c r="B53" s="40" t="str">
        <f t="shared" si="1"/>
        <v/>
      </c>
      <c r="C53" s="24"/>
      <c r="D53" s="23"/>
      <c r="E53" s="51"/>
      <c r="F53" s="51"/>
      <c r="G53" s="24"/>
      <c r="H53" s="40"/>
      <c r="I53" s="40" t="str">
        <f t="array" ref="I53">IF(G53="","",IFERROR(INDEX('Người sử dụng'!$H$5:$H$140,MATCH(G53,'Người sử dụng'!$C$5:$C$140,0)),"Chưa có trong DS"))</f>
        <v/>
      </c>
      <c r="J53" s="24"/>
      <c r="K53" s="24"/>
      <c r="L53" s="23"/>
      <c r="M53" s="24"/>
      <c r="N53" s="24"/>
      <c r="O53" s="24"/>
      <c r="P53" s="26"/>
      <c r="Q53" s="51"/>
      <c r="R53" s="46"/>
      <c r="S53" s="51"/>
      <c r="T53" s="46"/>
      <c r="U53" s="46"/>
      <c r="V53" s="46"/>
      <c r="W53" s="46"/>
      <c r="X53" s="46"/>
      <c r="Y53" s="46"/>
      <c r="Z53" s="46"/>
      <c r="AA53" s="46"/>
      <c r="AB53" s="46"/>
      <c r="AC53" s="46"/>
      <c r="AD53" s="46"/>
      <c r="AE53" s="46"/>
    </row>
    <row r="54" ht="15.75" customHeight="1">
      <c r="A54" s="33" t="str">
        <f t="shared" si="3"/>
        <v/>
      </c>
      <c r="B54" s="40" t="str">
        <f t="shared" si="1"/>
        <v/>
      </c>
      <c r="C54" s="24"/>
      <c r="D54" s="23"/>
      <c r="E54" s="51"/>
      <c r="F54" s="51"/>
      <c r="G54" s="24"/>
      <c r="H54" s="40"/>
      <c r="I54" s="40" t="str">
        <f t="array" ref="I54">IF(G54="","",IFERROR(INDEX('Người sử dụng'!$H$5:$H$140,MATCH(G54,'Người sử dụng'!$C$5:$C$140,0)),"Chưa có trong DS"))</f>
        <v/>
      </c>
      <c r="J54" s="24"/>
      <c r="K54" s="24"/>
      <c r="L54" s="23"/>
      <c r="M54" s="24"/>
      <c r="N54" s="24"/>
      <c r="O54" s="24"/>
      <c r="P54" s="26"/>
      <c r="Q54" s="51"/>
      <c r="R54" s="46"/>
      <c r="S54" s="51"/>
      <c r="T54" s="46"/>
      <c r="U54" s="46"/>
      <c r="V54" s="46"/>
      <c r="W54" s="46"/>
      <c r="X54" s="46"/>
      <c r="Y54" s="46"/>
      <c r="Z54" s="46"/>
      <c r="AA54" s="46"/>
      <c r="AB54" s="46"/>
      <c r="AC54" s="46"/>
      <c r="AD54" s="46"/>
      <c r="AE54" s="46"/>
    </row>
    <row r="55" ht="15.75" customHeight="1">
      <c r="A55" s="33" t="str">
        <f t="shared" si="3"/>
        <v/>
      </c>
      <c r="B55" s="40" t="str">
        <f t="shared" si="1"/>
        <v/>
      </c>
      <c r="C55" s="24"/>
      <c r="D55" s="23"/>
      <c r="E55" s="51"/>
      <c r="F55" s="51"/>
      <c r="G55" s="24"/>
      <c r="H55" s="40"/>
      <c r="I55" s="40" t="str">
        <f t="array" ref="I55">IF(G55="","",IFERROR(INDEX('Người sử dụng'!$H$5:$H$140,MATCH(G55,'Người sử dụng'!$C$5:$C$140,0)),"Chưa có trong DS"))</f>
        <v/>
      </c>
      <c r="J55" s="24"/>
      <c r="K55" s="24"/>
      <c r="L55" s="23"/>
      <c r="M55" s="24"/>
      <c r="N55" s="24"/>
      <c r="O55" s="24"/>
      <c r="P55" s="26"/>
      <c r="Q55" s="51"/>
      <c r="R55" s="46"/>
      <c r="S55" s="51"/>
      <c r="T55" s="46"/>
      <c r="U55" s="46"/>
      <c r="V55" s="46"/>
      <c r="W55" s="46"/>
      <c r="X55" s="46"/>
      <c r="Y55" s="46"/>
      <c r="Z55" s="46"/>
      <c r="AA55" s="46"/>
      <c r="AB55" s="46"/>
      <c r="AC55" s="46"/>
      <c r="AD55" s="46"/>
      <c r="AE55" s="46"/>
    </row>
    <row r="56" ht="15.75" customHeight="1">
      <c r="A56" s="33" t="str">
        <f t="shared" si="3"/>
        <v/>
      </c>
      <c r="B56" s="40" t="str">
        <f t="shared" si="1"/>
        <v/>
      </c>
      <c r="C56" s="24"/>
      <c r="D56" s="23"/>
      <c r="E56" s="51"/>
      <c r="F56" s="51"/>
      <c r="G56" s="24"/>
      <c r="H56" s="40"/>
      <c r="I56" s="40" t="str">
        <f t="array" ref="I56">IF(G56="","",IFERROR(INDEX('Người sử dụng'!$H$5:$H$140,MATCH(G56,'Người sử dụng'!$C$5:$C$140,0)),"Chưa có trong DS"))</f>
        <v/>
      </c>
      <c r="J56" s="24"/>
      <c r="K56" s="24"/>
      <c r="L56" s="23"/>
      <c r="M56" s="24"/>
      <c r="N56" s="24"/>
      <c r="O56" s="24"/>
      <c r="P56" s="26"/>
      <c r="Q56" s="51"/>
      <c r="R56" s="46"/>
      <c r="S56" s="51"/>
      <c r="T56" s="46"/>
      <c r="U56" s="46"/>
      <c r="V56" s="46"/>
      <c r="W56" s="46"/>
      <c r="X56" s="46"/>
      <c r="Y56" s="46"/>
      <c r="Z56" s="46"/>
      <c r="AA56" s="46"/>
      <c r="AB56" s="46"/>
      <c r="AC56" s="46"/>
      <c r="AD56" s="46"/>
      <c r="AE56" s="46"/>
    </row>
    <row r="57" ht="15.75" customHeight="1">
      <c r="A57" s="33" t="str">
        <f t="shared" si="3"/>
        <v/>
      </c>
      <c r="B57" s="40" t="str">
        <f t="shared" si="1"/>
        <v/>
      </c>
      <c r="C57" s="24"/>
      <c r="D57" s="23"/>
      <c r="E57" s="51"/>
      <c r="F57" s="51"/>
      <c r="G57" s="24"/>
      <c r="H57" s="40"/>
      <c r="I57" s="40" t="str">
        <f t="array" ref="I57">IF(G57="","",IFERROR(INDEX('Người sử dụng'!$H$5:$H$140,MATCH(G57,'Người sử dụng'!$C$5:$C$140,0)),"Chưa có trong DS"))</f>
        <v/>
      </c>
      <c r="J57" s="24"/>
      <c r="K57" s="24"/>
      <c r="L57" s="23"/>
      <c r="M57" s="24"/>
      <c r="N57" s="24"/>
      <c r="O57" s="24"/>
      <c r="P57" s="26"/>
      <c r="Q57" s="51"/>
      <c r="R57" s="46"/>
      <c r="S57" s="51"/>
      <c r="T57" s="46"/>
      <c r="U57" s="46"/>
      <c r="V57" s="46"/>
      <c r="W57" s="46"/>
      <c r="X57" s="46"/>
      <c r="Y57" s="46"/>
      <c r="Z57" s="46"/>
      <c r="AA57" s="46"/>
      <c r="AB57" s="46"/>
      <c r="AC57" s="46"/>
      <c r="AD57" s="46"/>
      <c r="AE57" s="46"/>
    </row>
    <row r="58" ht="15.75" customHeight="1">
      <c r="A58" s="33" t="str">
        <f t="shared" si="3"/>
        <v/>
      </c>
      <c r="B58" s="40" t="str">
        <f t="shared" si="1"/>
        <v/>
      </c>
      <c r="C58" s="24"/>
      <c r="D58" s="23"/>
      <c r="E58" s="51"/>
      <c r="F58" s="51"/>
      <c r="G58" s="24"/>
      <c r="H58" s="40"/>
      <c r="I58" s="40" t="str">
        <f t="array" ref="I58">IF(G58="","",IFERROR(INDEX('Người sử dụng'!$H$5:$H$140,MATCH(G58,'Người sử dụng'!$C$5:$C$140,0)),"Chưa có trong DS"))</f>
        <v/>
      </c>
      <c r="J58" s="24"/>
      <c r="K58" s="24"/>
      <c r="L58" s="23"/>
      <c r="M58" s="24"/>
      <c r="N58" s="24"/>
      <c r="O58" s="24"/>
      <c r="P58" s="26"/>
      <c r="Q58" s="51"/>
      <c r="R58" s="46"/>
      <c r="S58" s="51"/>
      <c r="T58" s="46"/>
      <c r="U58" s="46"/>
      <c r="V58" s="46"/>
      <c r="W58" s="46"/>
      <c r="X58" s="46"/>
      <c r="Y58" s="46"/>
      <c r="Z58" s="46"/>
      <c r="AA58" s="46"/>
      <c r="AB58" s="46"/>
      <c r="AC58" s="46"/>
      <c r="AD58" s="46"/>
      <c r="AE58" s="46"/>
    </row>
    <row r="59" ht="15.75" customHeight="1">
      <c r="A59" s="33" t="str">
        <f t="shared" si="3"/>
        <v/>
      </c>
      <c r="B59" s="40" t="str">
        <f t="shared" si="1"/>
        <v/>
      </c>
      <c r="C59" s="24"/>
      <c r="D59" s="23"/>
      <c r="E59" s="51"/>
      <c r="F59" s="51"/>
      <c r="G59" s="24"/>
      <c r="H59" s="40"/>
      <c r="I59" s="40" t="str">
        <f t="array" ref="I59">IF(G59="","",IFERROR(INDEX('Người sử dụng'!$H$5:$H$140,MATCH(G59,'Người sử dụng'!$C$5:$C$140,0)),"Chưa có trong DS"))</f>
        <v/>
      </c>
      <c r="J59" s="24"/>
      <c r="K59" s="24"/>
      <c r="L59" s="23"/>
      <c r="M59" s="24"/>
      <c r="N59" s="24"/>
      <c r="O59" s="24"/>
      <c r="P59" s="26"/>
      <c r="Q59" s="51"/>
      <c r="R59" s="46"/>
      <c r="S59" s="51"/>
      <c r="T59" s="46"/>
      <c r="U59" s="46"/>
      <c r="V59" s="46"/>
      <c r="W59" s="46"/>
      <c r="X59" s="46"/>
      <c r="Y59" s="46"/>
      <c r="Z59" s="46"/>
      <c r="AA59" s="46"/>
      <c r="AB59" s="46"/>
      <c r="AC59" s="46"/>
      <c r="AD59" s="46"/>
      <c r="AE59" s="46"/>
    </row>
    <row r="60" ht="15.75" customHeight="1">
      <c r="A60" s="33" t="str">
        <f t="shared" si="3"/>
        <v/>
      </c>
      <c r="B60" s="40" t="str">
        <f t="shared" si="1"/>
        <v/>
      </c>
      <c r="C60" s="24"/>
      <c r="D60" s="23"/>
      <c r="E60" s="51"/>
      <c r="F60" s="51"/>
      <c r="G60" s="24"/>
      <c r="H60" s="40"/>
      <c r="I60" s="40" t="str">
        <f t="array" ref="I60">IF(G60="","",IFERROR(INDEX('Người sử dụng'!$H$5:$H$140,MATCH(G60,'Người sử dụng'!$C$5:$C$140,0)),"Chưa có trong DS"))</f>
        <v/>
      </c>
      <c r="J60" s="24"/>
      <c r="K60" s="24"/>
      <c r="L60" s="23"/>
      <c r="M60" s="24"/>
      <c r="N60" s="24"/>
      <c r="O60" s="24"/>
      <c r="P60" s="26"/>
      <c r="Q60" s="51"/>
      <c r="R60" s="46"/>
      <c r="S60" s="51"/>
      <c r="T60" s="46"/>
      <c r="U60" s="46"/>
      <c r="V60" s="46"/>
      <c r="W60" s="46"/>
      <c r="X60" s="46"/>
      <c r="Y60" s="46"/>
      <c r="Z60" s="46"/>
      <c r="AA60" s="46"/>
      <c r="AB60" s="46"/>
      <c r="AC60" s="46"/>
      <c r="AD60" s="46"/>
      <c r="AE60" s="46"/>
    </row>
    <row r="61" ht="15.75" customHeight="1">
      <c r="A61" s="33" t="str">
        <f t="shared" si="3"/>
        <v/>
      </c>
      <c r="B61" s="40" t="str">
        <f t="shared" si="1"/>
        <v/>
      </c>
      <c r="C61" s="24"/>
      <c r="D61" s="23"/>
      <c r="E61" s="51"/>
      <c r="F61" s="51"/>
      <c r="G61" s="24"/>
      <c r="H61" s="40"/>
      <c r="I61" s="40" t="str">
        <f t="array" ref="I61">IF(G61="","",IFERROR(INDEX('Người sử dụng'!$H$5:$H$140,MATCH(G61,'Người sử dụng'!$C$5:$C$140,0)),"Chưa có trong DS"))</f>
        <v/>
      </c>
      <c r="J61" s="24"/>
      <c r="K61" s="24"/>
      <c r="L61" s="23"/>
      <c r="M61" s="24"/>
      <c r="N61" s="24"/>
      <c r="O61" s="24"/>
      <c r="P61" s="26"/>
      <c r="Q61" s="51"/>
      <c r="R61" s="46"/>
      <c r="S61" s="51"/>
      <c r="T61" s="46"/>
      <c r="U61" s="46"/>
      <c r="V61" s="46"/>
      <c r="W61" s="46"/>
      <c r="X61" s="46"/>
      <c r="Y61" s="46"/>
      <c r="Z61" s="46"/>
      <c r="AA61" s="46"/>
      <c r="AB61" s="46"/>
      <c r="AC61" s="46"/>
      <c r="AD61" s="46"/>
      <c r="AE61" s="46"/>
    </row>
    <row r="62" ht="15.75" customHeight="1">
      <c r="A62" s="33" t="str">
        <f t="shared" si="3"/>
        <v/>
      </c>
      <c r="B62" s="40" t="str">
        <f t="shared" si="1"/>
        <v/>
      </c>
      <c r="C62" s="24"/>
      <c r="D62" s="23"/>
      <c r="E62" s="51"/>
      <c r="F62" s="51"/>
      <c r="G62" s="24"/>
      <c r="H62" s="40"/>
      <c r="I62" s="40" t="str">
        <f t="array" ref="I62">IF(G62="","",IFERROR(INDEX('Người sử dụng'!$H$5:$H$140,MATCH(G62,'Người sử dụng'!$C$5:$C$140,0)),"Chưa có trong DS"))</f>
        <v/>
      </c>
      <c r="J62" s="24"/>
      <c r="K62" s="24"/>
      <c r="L62" s="23"/>
      <c r="M62" s="24"/>
      <c r="N62" s="24"/>
      <c r="O62" s="24"/>
      <c r="P62" s="26"/>
      <c r="Q62" s="51"/>
      <c r="R62" s="46"/>
      <c r="S62" s="51"/>
      <c r="T62" s="46"/>
      <c r="U62" s="46"/>
      <c r="V62" s="46"/>
      <c r="W62" s="46"/>
      <c r="X62" s="46"/>
      <c r="Y62" s="46"/>
      <c r="Z62" s="46"/>
      <c r="AA62" s="46"/>
      <c r="AB62" s="46"/>
      <c r="AC62" s="46"/>
      <c r="AD62" s="46"/>
      <c r="AE62" s="46"/>
    </row>
    <row r="63" ht="15.75" customHeight="1">
      <c r="A63" s="33" t="str">
        <f t="shared" si="3"/>
        <v/>
      </c>
      <c r="B63" s="40" t="str">
        <f t="shared" si="1"/>
        <v/>
      </c>
      <c r="C63" s="24"/>
      <c r="D63" s="23"/>
      <c r="E63" s="51"/>
      <c r="F63" s="51"/>
      <c r="G63" s="24"/>
      <c r="H63" s="40"/>
      <c r="I63" s="40" t="str">
        <f t="array" ref="I63">IF(G63="","",IFERROR(INDEX('Người sử dụng'!$H$5:$H$140,MATCH(G63,'Người sử dụng'!$C$5:$C$140,0)),"Chưa có trong DS"))</f>
        <v/>
      </c>
      <c r="J63" s="24"/>
      <c r="K63" s="24"/>
      <c r="L63" s="23"/>
      <c r="M63" s="24"/>
      <c r="N63" s="24"/>
      <c r="O63" s="24"/>
      <c r="P63" s="26"/>
      <c r="Q63" s="51"/>
      <c r="R63" s="46"/>
      <c r="S63" s="51"/>
      <c r="T63" s="46"/>
      <c r="U63" s="46"/>
      <c r="V63" s="46"/>
      <c r="W63" s="46"/>
      <c r="X63" s="46"/>
      <c r="Y63" s="46"/>
      <c r="Z63" s="46"/>
      <c r="AA63" s="46"/>
      <c r="AB63" s="46"/>
      <c r="AC63" s="46"/>
      <c r="AD63" s="46"/>
      <c r="AE63" s="46"/>
    </row>
    <row r="64" ht="15.75" customHeight="1">
      <c r="A64" s="33" t="str">
        <f t="shared" si="3"/>
        <v/>
      </c>
      <c r="B64" s="40" t="str">
        <f t="shared" si="1"/>
        <v/>
      </c>
      <c r="C64" s="24"/>
      <c r="D64" s="23"/>
      <c r="E64" s="51"/>
      <c r="F64" s="51"/>
      <c r="G64" s="24"/>
      <c r="H64" s="40"/>
      <c r="I64" s="40" t="str">
        <f t="array" ref="I64">IF(G64="","",IFERROR(INDEX('Người sử dụng'!$H$5:$H$140,MATCH(G64,'Người sử dụng'!$C$5:$C$140,0)),"Chưa có trong DS"))</f>
        <v/>
      </c>
      <c r="J64" s="24"/>
      <c r="K64" s="24"/>
      <c r="L64" s="23"/>
      <c r="M64" s="24"/>
      <c r="N64" s="24"/>
      <c r="O64" s="24"/>
      <c r="P64" s="26"/>
      <c r="Q64" s="51"/>
      <c r="R64" s="46"/>
      <c r="S64" s="51"/>
      <c r="T64" s="46"/>
      <c r="U64" s="46"/>
      <c r="V64" s="46"/>
      <c r="W64" s="46"/>
      <c r="X64" s="46"/>
      <c r="Y64" s="46"/>
      <c r="Z64" s="46"/>
      <c r="AA64" s="46"/>
      <c r="AB64" s="46"/>
      <c r="AC64" s="46"/>
      <c r="AD64" s="46"/>
      <c r="AE64" s="46"/>
    </row>
    <row r="65" ht="15.75" customHeight="1">
      <c r="A65" s="33" t="str">
        <f t="shared" si="3"/>
        <v/>
      </c>
      <c r="B65" s="40" t="str">
        <f t="shared" si="1"/>
        <v/>
      </c>
      <c r="C65" s="24"/>
      <c r="D65" s="23"/>
      <c r="E65" s="51"/>
      <c r="F65" s="51"/>
      <c r="G65" s="24"/>
      <c r="H65" s="40"/>
      <c r="I65" s="40" t="str">
        <f t="array" ref="I65">IF(G65="","",IFERROR(INDEX('Người sử dụng'!$H$5:$H$140,MATCH(G65,'Người sử dụng'!$C$5:$C$140,0)),"Chưa có trong DS"))</f>
        <v/>
      </c>
      <c r="J65" s="24"/>
      <c r="K65" s="24"/>
      <c r="L65" s="23"/>
      <c r="M65" s="24"/>
      <c r="N65" s="24"/>
      <c r="O65" s="24"/>
      <c r="P65" s="26"/>
      <c r="Q65" s="51"/>
      <c r="R65" s="46"/>
      <c r="S65" s="51"/>
      <c r="T65" s="46"/>
      <c r="U65" s="46"/>
      <c r="V65" s="46"/>
      <c r="W65" s="46"/>
      <c r="X65" s="46"/>
      <c r="Y65" s="46"/>
      <c r="Z65" s="46"/>
      <c r="AA65" s="46"/>
      <c r="AB65" s="46"/>
      <c r="AC65" s="46"/>
      <c r="AD65" s="46"/>
      <c r="AE65" s="46"/>
    </row>
    <row r="66" ht="15.75" customHeight="1">
      <c r="A66" s="33" t="str">
        <f t="shared" si="3"/>
        <v/>
      </c>
      <c r="B66" s="40" t="str">
        <f t="shared" si="1"/>
        <v/>
      </c>
      <c r="C66" s="24"/>
      <c r="D66" s="23"/>
      <c r="E66" s="51"/>
      <c r="F66" s="51"/>
      <c r="G66" s="24"/>
      <c r="H66" s="40"/>
      <c r="I66" s="40" t="str">
        <f t="array" ref="I66">IF(G66="","",IFERROR(INDEX('Người sử dụng'!$H$5:$H$140,MATCH(G66,'Người sử dụng'!$C$5:$C$140,0)),"Chưa có trong DS"))</f>
        <v/>
      </c>
      <c r="J66" s="24"/>
      <c r="K66" s="24"/>
      <c r="L66" s="23"/>
      <c r="M66" s="24"/>
      <c r="N66" s="24"/>
      <c r="O66" s="24"/>
      <c r="P66" s="26"/>
      <c r="Q66" s="51"/>
      <c r="R66" s="46"/>
      <c r="S66" s="51"/>
      <c r="T66" s="46"/>
      <c r="U66" s="46"/>
      <c r="V66" s="46"/>
      <c r="W66" s="46"/>
      <c r="X66" s="46"/>
      <c r="Y66" s="46"/>
      <c r="Z66" s="46"/>
      <c r="AA66" s="46"/>
      <c r="AB66" s="46"/>
      <c r="AC66" s="46"/>
      <c r="AD66" s="46"/>
      <c r="AE66" s="46"/>
    </row>
    <row r="67" ht="15.75" customHeight="1">
      <c r="A67" s="33" t="str">
        <f t="shared" si="3"/>
        <v/>
      </c>
      <c r="B67" s="40" t="str">
        <f t="shared" si="1"/>
        <v/>
      </c>
      <c r="C67" s="24"/>
      <c r="D67" s="23"/>
      <c r="E67" s="51"/>
      <c r="F67" s="51"/>
      <c r="G67" s="24"/>
      <c r="H67" s="40"/>
      <c r="I67" s="40" t="str">
        <f t="array" ref="I67">IF(G67="","",IFERROR(INDEX('Người sử dụng'!$H$5:$H$140,MATCH(G67,'Người sử dụng'!$C$5:$C$140,0)),"Chưa có trong DS"))</f>
        <v/>
      </c>
      <c r="J67" s="24"/>
      <c r="K67" s="24"/>
      <c r="L67" s="23"/>
      <c r="M67" s="24"/>
      <c r="N67" s="24"/>
      <c r="O67" s="24"/>
      <c r="P67" s="26"/>
      <c r="Q67" s="51"/>
      <c r="R67" s="46"/>
      <c r="S67" s="51"/>
      <c r="T67" s="46"/>
      <c r="U67" s="46"/>
      <c r="V67" s="46"/>
      <c r="W67" s="46"/>
      <c r="X67" s="46"/>
      <c r="Y67" s="46"/>
      <c r="Z67" s="46"/>
      <c r="AA67" s="46"/>
      <c r="AB67" s="46"/>
      <c r="AC67" s="46"/>
      <c r="AD67" s="46"/>
      <c r="AE67" s="46"/>
    </row>
    <row r="68" ht="15.75" customHeight="1">
      <c r="A68" s="33" t="str">
        <f t="shared" si="3"/>
        <v/>
      </c>
      <c r="B68" s="40" t="str">
        <f t="shared" si="1"/>
        <v/>
      </c>
      <c r="C68" s="24"/>
      <c r="D68" s="23"/>
      <c r="E68" s="51"/>
      <c r="F68" s="51"/>
      <c r="G68" s="24"/>
      <c r="H68" s="40"/>
      <c r="I68" s="40" t="str">
        <f t="array" ref="I68">IF(G68="","",IFERROR(INDEX('Người sử dụng'!$H$5:$H$140,MATCH(G68,'Người sử dụng'!$C$5:$C$140,0)),"Chưa có trong DS"))</f>
        <v/>
      </c>
      <c r="J68" s="24"/>
      <c r="K68" s="24"/>
      <c r="L68" s="23"/>
      <c r="M68" s="24"/>
      <c r="N68" s="24"/>
      <c r="O68" s="24"/>
      <c r="P68" s="26"/>
      <c r="Q68" s="51"/>
      <c r="R68" s="46"/>
      <c r="S68" s="51"/>
      <c r="T68" s="46"/>
      <c r="U68" s="46"/>
      <c r="V68" s="46"/>
      <c r="W68" s="46"/>
      <c r="X68" s="46"/>
      <c r="Y68" s="46"/>
      <c r="Z68" s="46"/>
      <c r="AA68" s="46"/>
      <c r="AB68" s="46"/>
      <c r="AC68" s="46"/>
      <c r="AD68" s="46"/>
      <c r="AE68" s="46"/>
    </row>
    <row r="69" ht="15.75" customHeight="1">
      <c r="A69" s="33" t="str">
        <f t="shared" si="3"/>
        <v/>
      </c>
      <c r="B69" s="40" t="str">
        <f t="shared" si="1"/>
        <v/>
      </c>
      <c r="C69" s="24"/>
      <c r="D69" s="23"/>
      <c r="E69" s="51"/>
      <c r="F69" s="51"/>
      <c r="G69" s="24"/>
      <c r="H69" s="40"/>
      <c r="I69" s="40" t="str">
        <f t="array" ref="I69">IF(G69="","",IFERROR(INDEX('Người sử dụng'!$H$5:$H$140,MATCH(G69,'Người sử dụng'!$C$5:$C$140,0)),"Chưa có trong DS"))</f>
        <v/>
      </c>
      <c r="J69" s="24"/>
      <c r="K69" s="24"/>
      <c r="L69" s="23"/>
      <c r="M69" s="24"/>
      <c r="N69" s="24"/>
      <c r="O69" s="24"/>
      <c r="P69" s="26"/>
      <c r="Q69" s="51"/>
      <c r="R69" s="46"/>
      <c r="S69" s="51"/>
      <c r="T69" s="46"/>
      <c r="U69" s="46"/>
      <c r="V69" s="46"/>
      <c r="W69" s="46"/>
      <c r="X69" s="46"/>
      <c r="Y69" s="46"/>
      <c r="Z69" s="46"/>
      <c r="AA69" s="46"/>
      <c r="AB69" s="46"/>
      <c r="AC69" s="46"/>
      <c r="AD69" s="46"/>
      <c r="AE69" s="46"/>
    </row>
    <row r="70" ht="15.75" customHeight="1">
      <c r="A70" s="33" t="str">
        <f t="shared" si="3"/>
        <v/>
      </c>
      <c r="B70" s="40" t="str">
        <f t="shared" si="1"/>
        <v/>
      </c>
      <c r="C70" s="24"/>
      <c r="D70" s="23"/>
      <c r="E70" s="51"/>
      <c r="F70" s="51"/>
      <c r="G70" s="24"/>
      <c r="H70" s="40"/>
      <c r="I70" s="40" t="str">
        <f t="array" ref="I70">IF(G70="","",IFERROR(INDEX('Người sử dụng'!$H$5:$H$140,MATCH(G70,'Người sử dụng'!$C$5:$C$140,0)),"Chưa có trong DS"))</f>
        <v/>
      </c>
      <c r="J70" s="24"/>
      <c r="K70" s="24"/>
      <c r="L70" s="23"/>
      <c r="M70" s="24"/>
      <c r="N70" s="24"/>
      <c r="O70" s="24"/>
      <c r="P70" s="26"/>
      <c r="Q70" s="51"/>
      <c r="R70" s="46"/>
      <c r="S70" s="51"/>
      <c r="T70" s="46"/>
      <c r="U70" s="46"/>
      <c r="V70" s="46"/>
      <c r="W70" s="46"/>
      <c r="X70" s="46"/>
      <c r="Y70" s="46"/>
      <c r="Z70" s="46"/>
      <c r="AA70" s="46"/>
      <c r="AB70" s="46"/>
      <c r="AC70" s="46"/>
      <c r="AD70" s="46"/>
      <c r="AE70" s="46"/>
    </row>
    <row r="71" ht="15.75" customHeight="1">
      <c r="A71" s="33" t="str">
        <f t="shared" si="3"/>
        <v/>
      </c>
      <c r="B71" s="40" t="str">
        <f t="shared" si="1"/>
        <v/>
      </c>
      <c r="C71" s="24"/>
      <c r="D71" s="23"/>
      <c r="E71" s="51"/>
      <c r="F71" s="51"/>
      <c r="G71" s="24"/>
      <c r="H71" s="40"/>
      <c r="I71" s="40" t="str">
        <f t="array" ref="I71">IF(G71="","",IFERROR(INDEX('Người sử dụng'!$H$5:$H$140,MATCH(G71,'Người sử dụng'!$C$5:$C$140,0)),"Chưa có trong DS"))</f>
        <v/>
      </c>
      <c r="J71" s="24"/>
      <c r="K71" s="24"/>
      <c r="L71" s="23"/>
      <c r="M71" s="24"/>
      <c r="N71" s="24"/>
      <c r="O71" s="24"/>
      <c r="P71" s="26"/>
      <c r="Q71" s="51"/>
      <c r="R71" s="46"/>
      <c r="S71" s="51"/>
      <c r="T71" s="46"/>
      <c r="U71" s="46"/>
      <c r="V71" s="46"/>
      <c r="W71" s="46"/>
      <c r="X71" s="46"/>
      <c r="Y71" s="46"/>
      <c r="Z71" s="46"/>
      <c r="AA71" s="46"/>
      <c r="AB71" s="46"/>
      <c r="AC71" s="46"/>
      <c r="AD71" s="46"/>
      <c r="AE71" s="46"/>
    </row>
    <row r="72" ht="15.75" customHeight="1">
      <c r="A72" s="33" t="str">
        <f t="shared" si="3"/>
        <v/>
      </c>
      <c r="B72" s="40" t="str">
        <f t="shared" si="1"/>
        <v/>
      </c>
      <c r="C72" s="24"/>
      <c r="D72" s="23"/>
      <c r="E72" s="51"/>
      <c r="F72" s="51"/>
      <c r="G72" s="24"/>
      <c r="H72" s="40"/>
      <c r="I72" s="40" t="str">
        <f t="array" ref="I72">IF(G72="","",IFERROR(INDEX('Người sử dụng'!$H$5:$H$140,MATCH(G72,'Người sử dụng'!$C$5:$C$140,0)),"Chưa có trong DS"))</f>
        <v/>
      </c>
      <c r="J72" s="24"/>
      <c r="K72" s="24"/>
      <c r="L72" s="23"/>
      <c r="M72" s="24"/>
      <c r="N72" s="24"/>
      <c r="O72" s="24"/>
      <c r="P72" s="26"/>
      <c r="Q72" s="51"/>
      <c r="R72" s="46"/>
      <c r="S72" s="51"/>
      <c r="T72" s="46"/>
      <c r="U72" s="46"/>
      <c r="V72" s="46"/>
      <c r="W72" s="46"/>
      <c r="X72" s="46"/>
      <c r="Y72" s="46"/>
      <c r="Z72" s="46"/>
      <c r="AA72" s="46"/>
      <c r="AB72" s="46"/>
      <c r="AC72" s="46"/>
      <c r="AD72" s="46"/>
      <c r="AE72" s="46"/>
    </row>
    <row r="73" ht="15.75" customHeight="1">
      <c r="A73" s="33" t="str">
        <f t="shared" si="3"/>
        <v/>
      </c>
      <c r="B73" s="40" t="str">
        <f t="shared" si="1"/>
        <v/>
      </c>
      <c r="C73" s="24"/>
      <c r="D73" s="23"/>
      <c r="E73" s="51"/>
      <c r="F73" s="51"/>
      <c r="G73" s="24"/>
      <c r="H73" s="40"/>
      <c r="I73" s="40" t="str">
        <f t="array" ref="I73">IF(G73="","",IFERROR(INDEX('Người sử dụng'!$H$5:$H$140,MATCH(G73,'Người sử dụng'!$C$5:$C$140,0)),"Chưa có trong DS"))</f>
        <v/>
      </c>
      <c r="J73" s="24"/>
      <c r="K73" s="24"/>
      <c r="L73" s="23"/>
      <c r="M73" s="24"/>
      <c r="N73" s="24"/>
      <c r="O73" s="24"/>
      <c r="P73" s="26"/>
      <c r="Q73" s="51"/>
      <c r="R73" s="46"/>
      <c r="S73" s="51"/>
      <c r="T73" s="46"/>
      <c r="U73" s="46"/>
      <c r="V73" s="46"/>
      <c r="W73" s="46"/>
      <c r="X73" s="46"/>
      <c r="Y73" s="46"/>
      <c r="Z73" s="46"/>
      <c r="AA73" s="46"/>
      <c r="AB73" s="46"/>
      <c r="AC73" s="46"/>
      <c r="AD73" s="46"/>
      <c r="AE73" s="46"/>
    </row>
    <row r="74" ht="15.75" customHeight="1">
      <c r="A74" s="33" t="str">
        <f t="shared" si="3"/>
        <v/>
      </c>
      <c r="B74" s="40" t="str">
        <f t="shared" si="1"/>
        <v/>
      </c>
      <c r="C74" s="24"/>
      <c r="D74" s="23"/>
      <c r="E74" s="51"/>
      <c r="F74" s="51"/>
      <c r="G74" s="24"/>
      <c r="H74" s="40"/>
      <c r="I74" s="40" t="str">
        <f t="array" ref="I74">IF(G74="","",IFERROR(INDEX('Người sử dụng'!$H$5:$H$140,MATCH(G74,'Người sử dụng'!$C$5:$C$140,0)),"Chưa có trong DS"))</f>
        <v/>
      </c>
      <c r="J74" s="24"/>
      <c r="K74" s="24"/>
      <c r="L74" s="23"/>
      <c r="M74" s="24"/>
      <c r="N74" s="24"/>
      <c r="O74" s="24"/>
      <c r="P74" s="26"/>
      <c r="Q74" s="51"/>
      <c r="R74" s="46"/>
      <c r="S74" s="51"/>
      <c r="T74" s="46"/>
      <c r="U74" s="46"/>
      <c r="V74" s="46"/>
      <c r="W74" s="46"/>
      <c r="X74" s="46"/>
      <c r="Y74" s="46"/>
      <c r="Z74" s="46"/>
      <c r="AA74" s="46"/>
      <c r="AB74" s="46"/>
      <c r="AC74" s="46"/>
      <c r="AD74" s="46"/>
      <c r="AE74" s="46"/>
    </row>
    <row r="75" ht="15.75" customHeight="1">
      <c r="A75" s="33" t="str">
        <f t="shared" si="3"/>
        <v/>
      </c>
      <c r="B75" s="40" t="str">
        <f t="shared" si="1"/>
        <v/>
      </c>
      <c r="C75" s="24"/>
      <c r="D75" s="23"/>
      <c r="E75" s="51"/>
      <c r="F75" s="51"/>
      <c r="G75" s="24"/>
      <c r="H75" s="40"/>
      <c r="I75" s="40" t="str">
        <f t="array" ref="I75">IF(G75="","",IFERROR(INDEX('Người sử dụng'!$H$5:$H$140,MATCH(G75,'Người sử dụng'!$C$5:$C$140,0)),"Chưa có trong DS"))</f>
        <v/>
      </c>
      <c r="J75" s="24"/>
      <c r="K75" s="24"/>
      <c r="L75" s="23"/>
      <c r="M75" s="24"/>
      <c r="N75" s="24"/>
      <c r="O75" s="24"/>
      <c r="P75" s="26"/>
      <c r="Q75" s="51"/>
      <c r="R75" s="46"/>
      <c r="S75" s="51"/>
      <c r="T75" s="46"/>
      <c r="U75" s="46"/>
      <c r="V75" s="46"/>
      <c r="W75" s="46"/>
      <c r="X75" s="46"/>
      <c r="Y75" s="46"/>
      <c r="Z75" s="46"/>
      <c r="AA75" s="46"/>
      <c r="AB75" s="46"/>
      <c r="AC75" s="46"/>
      <c r="AD75" s="46"/>
      <c r="AE75" s="46"/>
    </row>
    <row r="76" ht="15.75" customHeight="1">
      <c r="A76" s="33" t="str">
        <f t="shared" si="3"/>
        <v/>
      </c>
      <c r="B76" s="40" t="str">
        <f t="shared" si="1"/>
        <v/>
      </c>
      <c r="C76" s="24"/>
      <c r="D76" s="23"/>
      <c r="E76" s="51"/>
      <c r="F76" s="51"/>
      <c r="G76" s="24"/>
      <c r="H76" s="40"/>
      <c r="I76" s="40" t="str">
        <f t="array" ref="I76">IF(G76="","",IFERROR(INDEX('Người sử dụng'!$H$5:$H$140,MATCH(G76,'Người sử dụng'!$C$5:$C$140,0)),"Chưa có trong DS"))</f>
        <v/>
      </c>
      <c r="J76" s="24"/>
      <c r="K76" s="24"/>
      <c r="L76" s="23"/>
      <c r="M76" s="24"/>
      <c r="N76" s="24"/>
      <c r="O76" s="24"/>
      <c r="P76" s="26"/>
      <c r="Q76" s="51"/>
      <c r="R76" s="46"/>
      <c r="S76" s="51"/>
      <c r="T76" s="46"/>
      <c r="U76" s="46"/>
      <c r="V76" s="46"/>
      <c r="W76" s="46"/>
      <c r="X76" s="46"/>
      <c r="Y76" s="46"/>
      <c r="Z76" s="46"/>
      <c r="AA76" s="46"/>
      <c r="AB76" s="46"/>
      <c r="AC76" s="46"/>
      <c r="AD76" s="46"/>
      <c r="AE76" s="46"/>
    </row>
    <row r="77" ht="15.75" customHeight="1">
      <c r="A77" s="33" t="str">
        <f t="shared" si="3"/>
        <v/>
      </c>
      <c r="B77" s="40" t="str">
        <f t="shared" si="1"/>
        <v/>
      </c>
      <c r="C77" s="24"/>
      <c r="D77" s="23"/>
      <c r="E77" s="51"/>
      <c r="F77" s="51"/>
      <c r="G77" s="24"/>
      <c r="H77" s="40"/>
      <c r="I77" s="40" t="str">
        <f t="array" ref="I77">IF(G77="","",IFERROR(INDEX('Người sử dụng'!$H$5:$H$140,MATCH(G77,'Người sử dụng'!$C$5:$C$140,0)),"Chưa có trong DS"))</f>
        <v/>
      </c>
      <c r="J77" s="24"/>
      <c r="K77" s="24"/>
      <c r="L77" s="23"/>
      <c r="M77" s="24"/>
      <c r="N77" s="24"/>
      <c r="O77" s="24"/>
      <c r="P77" s="26"/>
      <c r="Q77" s="51"/>
      <c r="R77" s="46"/>
      <c r="S77" s="51"/>
      <c r="T77" s="46"/>
      <c r="U77" s="46"/>
      <c r="V77" s="46"/>
      <c r="W77" s="46"/>
      <c r="X77" s="46"/>
      <c r="Y77" s="46"/>
      <c r="Z77" s="46"/>
      <c r="AA77" s="46"/>
      <c r="AB77" s="46"/>
      <c r="AC77" s="46"/>
      <c r="AD77" s="46"/>
      <c r="AE77" s="46"/>
    </row>
    <row r="78" ht="15.75" customHeight="1">
      <c r="A78" s="33" t="str">
        <f t="shared" si="3"/>
        <v/>
      </c>
      <c r="B78" s="40" t="str">
        <f t="shared" si="1"/>
        <v/>
      </c>
      <c r="C78" s="24"/>
      <c r="D78" s="23"/>
      <c r="E78" s="51"/>
      <c r="F78" s="51"/>
      <c r="G78" s="24"/>
      <c r="H78" s="40"/>
      <c r="I78" s="40" t="str">
        <f t="array" ref="I78">IF(G78="","",IFERROR(INDEX('Người sử dụng'!$H$5:$H$140,MATCH(G78,'Người sử dụng'!$C$5:$C$140,0)),"Chưa có trong DS"))</f>
        <v/>
      </c>
      <c r="J78" s="24"/>
      <c r="K78" s="24"/>
      <c r="L78" s="23"/>
      <c r="M78" s="24"/>
      <c r="N78" s="24"/>
      <c r="O78" s="24"/>
      <c r="P78" s="26"/>
      <c r="Q78" s="51"/>
      <c r="R78" s="46"/>
      <c r="S78" s="51"/>
      <c r="T78" s="46"/>
      <c r="U78" s="46"/>
      <c r="V78" s="46"/>
      <c r="W78" s="46"/>
      <c r="X78" s="46"/>
      <c r="Y78" s="46"/>
      <c r="Z78" s="46"/>
      <c r="AA78" s="46"/>
      <c r="AB78" s="46"/>
      <c r="AC78" s="46"/>
      <c r="AD78" s="46"/>
      <c r="AE78" s="46"/>
    </row>
    <row r="79" ht="15.75" customHeight="1">
      <c r="A79" s="33" t="str">
        <f t="shared" si="3"/>
        <v/>
      </c>
      <c r="B79" s="40" t="str">
        <f t="shared" si="1"/>
        <v/>
      </c>
      <c r="C79" s="24"/>
      <c r="D79" s="23"/>
      <c r="E79" s="51"/>
      <c r="F79" s="51"/>
      <c r="G79" s="24"/>
      <c r="H79" s="40"/>
      <c r="I79" s="40" t="str">
        <f t="array" ref="I79">IF(G79="","",IFERROR(INDEX('Người sử dụng'!$H$5:$H$140,MATCH(G79,'Người sử dụng'!$C$5:$C$140,0)),"Chưa có trong DS"))</f>
        <v/>
      </c>
      <c r="J79" s="24"/>
      <c r="K79" s="24"/>
      <c r="L79" s="23"/>
      <c r="M79" s="24"/>
      <c r="N79" s="24"/>
      <c r="O79" s="24"/>
      <c r="P79" s="26"/>
      <c r="Q79" s="51"/>
      <c r="R79" s="46"/>
      <c r="S79" s="51"/>
      <c r="T79" s="46"/>
      <c r="U79" s="46"/>
      <c r="V79" s="46"/>
      <c r="W79" s="46"/>
      <c r="X79" s="46"/>
      <c r="Y79" s="46"/>
      <c r="Z79" s="46"/>
      <c r="AA79" s="46"/>
      <c r="AB79" s="46"/>
      <c r="AC79" s="46"/>
      <c r="AD79" s="46"/>
      <c r="AE79" s="46"/>
    </row>
    <row r="80" ht="15.75" customHeight="1">
      <c r="A80" s="33" t="str">
        <f t="shared" si="3"/>
        <v/>
      </c>
      <c r="B80" s="40" t="str">
        <f t="shared" si="1"/>
        <v/>
      </c>
      <c r="C80" s="24"/>
      <c r="D80" s="23"/>
      <c r="E80" s="51"/>
      <c r="F80" s="51"/>
      <c r="G80" s="24"/>
      <c r="H80" s="40"/>
      <c r="I80" s="40" t="str">
        <f t="array" ref="I80">IF(G80="","",IFERROR(INDEX('Người sử dụng'!$H$5:$H$140,MATCH(G80,'Người sử dụng'!$C$5:$C$140,0)),"Chưa có trong DS"))</f>
        <v/>
      </c>
      <c r="J80" s="24"/>
      <c r="K80" s="24"/>
      <c r="L80" s="23"/>
      <c r="M80" s="24"/>
      <c r="N80" s="24"/>
      <c r="O80" s="24"/>
      <c r="P80" s="26"/>
      <c r="Q80" s="51"/>
      <c r="R80" s="46"/>
      <c r="S80" s="51"/>
      <c r="T80" s="46"/>
      <c r="U80" s="46"/>
      <c r="V80" s="46"/>
      <c r="W80" s="46"/>
      <c r="X80" s="46"/>
      <c r="Y80" s="46"/>
      <c r="Z80" s="46"/>
      <c r="AA80" s="46"/>
      <c r="AB80" s="46"/>
      <c r="AC80" s="46"/>
      <c r="AD80" s="46"/>
      <c r="AE80" s="46"/>
    </row>
    <row r="81" ht="15.75" customHeight="1">
      <c r="A81" s="33" t="str">
        <f t="shared" si="3"/>
        <v/>
      </c>
      <c r="B81" s="40" t="str">
        <f t="shared" si="1"/>
        <v/>
      </c>
      <c r="C81" s="24"/>
      <c r="D81" s="23"/>
      <c r="E81" s="51"/>
      <c r="F81" s="51"/>
      <c r="G81" s="24"/>
      <c r="H81" s="40"/>
      <c r="I81" s="40" t="str">
        <f t="array" ref="I81">IF(G81="","",IFERROR(INDEX('Người sử dụng'!$H$5:$H$140,MATCH(G81,'Người sử dụng'!$C$5:$C$140,0)),"Chưa có trong DS"))</f>
        <v/>
      </c>
      <c r="J81" s="24"/>
      <c r="K81" s="24"/>
      <c r="L81" s="23"/>
      <c r="M81" s="24"/>
      <c r="N81" s="24"/>
      <c r="O81" s="24"/>
      <c r="P81" s="26"/>
      <c r="Q81" s="51"/>
      <c r="R81" s="46"/>
      <c r="S81" s="51"/>
      <c r="T81" s="46"/>
      <c r="U81" s="46"/>
      <c r="V81" s="46"/>
      <c r="W81" s="46"/>
      <c r="X81" s="46"/>
      <c r="Y81" s="46"/>
      <c r="Z81" s="46"/>
      <c r="AA81" s="46"/>
      <c r="AB81" s="46"/>
      <c r="AC81" s="46"/>
      <c r="AD81" s="46"/>
      <c r="AE81" s="46"/>
    </row>
    <row r="82" ht="15.75" customHeight="1">
      <c r="A82" s="33" t="str">
        <f t="shared" si="3"/>
        <v/>
      </c>
      <c r="B82" s="40" t="str">
        <f t="shared" si="1"/>
        <v/>
      </c>
      <c r="C82" s="24"/>
      <c r="D82" s="23"/>
      <c r="E82" s="51"/>
      <c r="F82" s="51"/>
      <c r="G82" s="24"/>
      <c r="H82" s="40"/>
      <c r="I82" s="40" t="str">
        <f t="array" ref="I82">IF(G82="","",IFERROR(INDEX('Người sử dụng'!$H$5:$H$140,MATCH(G82,'Người sử dụng'!$C$5:$C$140,0)),"Chưa có trong DS"))</f>
        <v/>
      </c>
      <c r="J82" s="24"/>
      <c r="K82" s="24"/>
      <c r="L82" s="23"/>
      <c r="M82" s="24"/>
      <c r="N82" s="24"/>
      <c r="O82" s="24"/>
      <c r="P82" s="26"/>
      <c r="Q82" s="51"/>
      <c r="R82" s="46"/>
      <c r="S82" s="51"/>
      <c r="T82" s="46"/>
      <c r="U82" s="46"/>
      <c r="V82" s="46"/>
      <c r="W82" s="46"/>
      <c r="X82" s="46"/>
      <c r="Y82" s="46"/>
      <c r="Z82" s="46"/>
      <c r="AA82" s="46"/>
      <c r="AB82" s="46"/>
      <c r="AC82" s="46"/>
      <c r="AD82" s="46"/>
      <c r="AE82" s="46"/>
    </row>
    <row r="83" ht="15.75" customHeight="1">
      <c r="A83" s="33" t="str">
        <f t="shared" si="3"/>
        <v/>
      </c>
      <c r="B83" s="40" t="str">
        <f t="shared" si="1"/>
        <v/>
      </c>
      <c r="C83" s="24"/>
      <c r="D83" s="23"/>
      <c r="E83" s="51"/>
      <c r="F83" s="51"/>
      <c r="G83" s="24"/>
      <c r="H83" s="40"/>
      <c r="I83" s="40" t="str">
        <f t="array" ref="I83">IF(G83="","",IFERROR(INDEX('Người sử dụng'!$H$5:$H$140,MATCH(G83,'Người sử dụng'!$C$5:$C$140,0)),"Chưa có trong DS"))</f>
        <v/>
      </c>
      <c r="J83" s="24"/>
      <c r="K83" s="24"/>
      <c r="L83" s="23"/>
      <c r="M83" s="24"/>
      <c r="N83" s="24"/>
      <c r="O83" s="24"/>
      <c r="P83" s="26"/>
      <c r="Q83" s="51"/>
      <c r="R83" s="46"/>
      <c r="S83" s="51"/>
      <c r="T83" s="46"/>
      <c r="U83" s="46"/>
      <c r="V83" s="46"/>
      <c r="W83" s="46"/>
      <c r="X83" s="46"/>
      <c r="Y83" s="46"/>
      <c r="Z83" s="46"/>
      <c r="AA83" s="46"/>
      <c r="AB83" s="46"/>
      <c r="AC83" s="46"/>
      <c r="AD83" s="46"/>
      <c r="AE83" s="46"/>
    </row>
    <row r="84" ht="15.75" customHeight="1">
      <c r="A84" s="33" t="str">
        <f t="shared" si="3"/>
        <v/>
      </c>
      <c r="B84" s="40" t="str">
        <f t="shared" si="1"/>
        <v/>
      </c>
      <c r="C84" s="24"/>
      <c r="D84" s="23"/>
      <c r="E84" s="51"/>
      <c r="F84" s="51"/>
      <c r="G84" s="24"/>
      <c r="H84" s="40"/>
      <c r="I84" s="40" t="str">
        <f t="array" ref="I84">IF(G84="","",IFERROR(INDEX('Người sử dụng'!$H$5:$H$140,MATCH(G84,'Người sử dụng'!$C$5:$C$140,0)),"Chưa có trong DS"))</f>
        <v/>
      </c>
      <c r="J84" s="24"/>
      <c r="K84" s="24"/>
      <c r="L84" s="23"/>
      <c r="M84" s="24"/>
      <c r="N84" s="24"/>
      <c r="O84" s="24"/>
      <c r="P84" s="26"/>
      <c r="Q84" s="51"/>
      <c r="R84" s="46"/>
      <c r="S84" s="51"/>
      <c r="T84" s="46"/>
      <c r="U84" s="46"/>
      <c r="V84" s="46"/>
      <c r="W84" s="46"/>
      <c r="X84" s="46"/>
      <c r="Y84" s="46"/>
      <c r="Z84" s="46"/>
      <c r="AA84" s="46"/>
      <c r="AB84" s="46"/>
      <c r="AC84" s="46"/>
      <c r="AD84" s="46"/>
      <c r="AE84" s="46"/>
    </row>
    <row r="85" ht="15.75" customHeight="1">
      <c r="A85" s="33" t="str">
        <f t="shared" si="3"/>
        <v/>
      </c>
      <c r="B85" s="40" t="str">
        <f t="shared" si="1"/>
        <v/>
      </c>
      <c r="C85" s="24"/>
      <c r="D85" s="23"/>
      <c r="E85" s="51"/>
      <c r="F85" s="51"/>
      <c r="G85" s="24"/>
      <c r="H85" s="40"/>
      <c r="I85" s="40" t="str">
        <f t="array" ref="I85">IF(G85="","",IFERROR(INDEX('Người sử dụng'!$H$5:$H$140,MATCH(G85,'Người sử dụng'!$C$5:$C$140,0)),"Chưa có trong DS"))</f>
        <v/>
      </c>
      <c r="J85" s="24"/>
      <c r="K85" s="24"/>
      <c r="L85" s="23"/>
      <c r="M85" s="24"/>
      <c r="N85" s="24"/>
      <c r="O85" s="24"/>
      <c r="P85" s="26"/>
      <c r="Q85" s="51"/>
      <c r="R85" s="46"/>
      <c r="S85" s="51"/>
      <c r="T85" s="46"/>
      <c r="U85" s="46"/>
      <c r="V85" s="46"/>
      <c r="W85" s="46"/>
      <c r="X85" s="46"/>
      <c r="Y85" s="46"/>
      <c r="Z85" s="46"/>
      <c r="AA85" s="46"/>
      <c r="AB85" s="46"/>
      <c r="AC85" s="46"/>
      <c r="AD85" s="46"/>
      <c r="AE85" s="46"/>
    </row>
    <row r="86" ht="15.75" customHeight="1">
      <c r="A86" s="33" t="str">
        <f t="shared" si="3"/>
        <v/>
      </c>
      <c r="B86" s="40" t="str">
        <f t="shared" si="1"/>
        <v/>
      </c>
      <c r="C86" s="24"/>
      <c r="D86" s="23"/>
      <c r="E86" s="51"/>
      <c r="F86" s="51"/>
      <c r="G86" s="24"/>
      <c r="H86" s="40"/>
      <c r="I86" s="40" t="str">
        <f t="array" ref="I86">IF(G86="","",IFERROR(INDEX('Người sử dụng'!$H$5:$H$140,MATCH(G86,'Người sử dụng'!$C$5:$C$140,0)),"Chưa có trong DS"))</f>
        <v/>
      </c>
      <c r="J86" s="24"/>
      <c r="K86" s="24"/>
      <c r="L86" s="23"/>
      <c r="M86" s="24"/>
      <c r="N86" s="24"/>
      <c r="O86" s="24"/>
      <c r="P86" s="26"/>
      <c r="Q86" s="51"/>
      <c r="R86" s="46"/>
      <c r="S86" s="51"/>
      <c r="T86" s="46"/>
      <c r="U86" s="46"/>
      <c r="V86" s="46"/>
      <c r="W86" s="46"/>
      <c r="X86" s="46"/>
      <c r="Y86" s="46"/>
      <c r="Z86" s="46"/>
      <c r="AA86" s="46"/>
      <c r="AB86" s="46"/>
      <c r="AC86" s="46"/>
      <c r="AD86" s="46"/>
      <c r="AE86" s="46"/>
    </row>
    <row r="87" ht="15.75" customHeight="1">
      <c r="A87" s="33" t="str">
        <f t="shared" si="3"/>
        <v/>
      </c>
      <c r="B87" s="40" t="str">
        <f t="shared" si="1"/>
        <v/>
      </c>
      <c r="C87" s="24"/>
      <c r="D87" s="23"/>
      <c r="E87" s="51"/>
      <c r="F87" s="51"/>
      <c r="G87" s="24"/>
      <c r="H87" s="40"/>
      <c r="I87" s="40" t="str">
        <f t="array" ref="I87">IF(G87="","",IFERROR(INDEX('Người sử dụng'!$H$5:$H$140,MATCH(G87,'Người sử dụng'!$C$5:$C$140,0)),"Chưa có trong DS"))</f>
        <v/>
      </c>
      <c r="J87" s="24"/>
      <c r="K87" s="24"/>
      <c r="L87" s="23"/>
      <c r="M87" s="24"/>
      <c r="N87" s="24"/>
      <c r="O87" s="24"/>
      <c r="P87" s="26"/>
      <c r="Q87" s="51"/>
      <c r="R87" s="46"/>
      <c r="S87" s="51"/>
      <c r="T87" s="46"/>
      <c r="U87" s="46"/>
      <c r="V87" s="46"/>
      <c r="W87" s="46"/>
      <c r="X87" s="46"/>
      <c r="Y87" s="46"/>
      <c r="Z87" s="46"/>
      <c r="AA87" s="46"/>
      <c r="AB87" s="46"/>
      <c r="AC87" s="46"/>
      <c r="AD87" s="46"/>
      <c r="AE87" s="46"/>
    </row>
    <row r="88" ht="15.75" customHeight="1">
      <c r="A88" s="33" t="str">
        <f t="shared" si="3"/>
        <v/>
      </c>
      <c r="B88" s="40" t="str">
        <f t="shared" si="1"/>
        <v/>
      </c>
      <c r="C88" s="24"/>
      <c r="D88" s="23"/>
      <c r="E88" s="51"/>
      <c r="F88" s="51"/>
      <c r="G88" s="24"/>
      <c r="H88" s="40"/>
      <c r="I88" s="40" t="str">
        <f t="array" ref="I88">IF(G88="","",IFERROR(INDEX('Người sử dụng'!$H$5:$H$140,MATCH(G88,'Người sử dụng'!$C$5:$C$140,0)),"Chưa có trong DS"))</f>
        <v/>
      </c>
      <c r="J88" s="24"/>
      <c r="K88" s="24"/>
      <c r="L88" s="23"/>
      <c r="M88" s="24"/>
      <c r="N88" s="24"/>
      <c r="O88" s="24"/>
      <c r="P88" s="26"/>
      <c r="Q88" s="51"/>
      <c r="R88" s="46"/>
      <c r="S88" s="51"/>
      <c r="T88" s="46"/>
      <c r="U88" s="46"/>
      <c r="V88" s="46"/>
      <c r="W88" s="46"/>
      <c r="X88" s="46"/>
      <c r="Y88" s="46"/>
      <c r="Z88" s="46"/>
      <c r="AA88" s="46"/>
      <c r="AB88" s="46"/>
      <c r="AC88" s="46"/>
      <c r="AD88" s="46"/>
      <c r="AE88" s="46"/>
    </row>
    <row r="89" ht="15.75" customHeight="1">
      <c r="A89" s="33" t="str">
        <f t="shared" si="3"/>
        <v/>
      </c>
      <c r="B89" s="40" t="str">
        <f t="shared" si="1"/>
        <v/>
      </c>
      <c r="C89" s="24"/>
      <c r="D89" s="23"/>
      <c r="E89" s="51"/>
      <c r="F89" s="51"/>
      <c r="G89" s="24"/>
      <c r="H89" s="40"/>
      <c r="I89" s="40" t="str">
        <f t="array" ref="I89">IF(G89="","",IFERROR(INDEX('Người sử dụng'!$H$5:$H$140,MATCH(G89,'Người sử dụng'!$C$5:$C$140,0)),"Chưa có trong DS"))</f>
        <v/>
      </c>
      <c r="J89" s="24"/>
      <c r="K89" s="24"/>
      <c r="L89" s="23"/>
      <c r="M89" s="24"/>
      <c r="N89" s="24"/>
      <c r="O89" s="24"/>
      <c r="P89" s="26"/>
      <c r="Q89" s="51"/>
      <c r="R89" s="46"/>
      <c r="S89" s="51"/>
      <c r="T89" s="46"/>
      <c r="U89" s="46"/>
      <c r="V89" s="46"/>
      <c r="W89" s="46"/>
      <c r="X89" s="46"/>
      <c r="Y89" s="46"/>
      <c r="Z89" s="46"/>
      <c r="AA89" s="46"/>
      <c r="AB89" s="46"/>
      <c r="AC89" s="46"/>
      <c r="AD89" s="46"/>
      <c r="AE89" s="46"/>
    </row>
    <row r="90" ht="15.75" customHeight="1">
      <c r="A90" s="33" t="str">
        <f t="shared" si="3"/>
        <v/>
      </c>
      <c r="B90" s="40" t="str">
        <f t="shared" si="1"/>
        <v/>
      </c>
      <c r="C90" s="24"/>
      <c r="D90" s="23"/>
      <c r="E90" s="51"/>
      <c r="F90" s="51"/>
      <c r="G90" s="24"/>
      <c r="H90" s="40"/>
      <c r="I90" s="40" t="str">
        <f t="array" ref="I90">IF(G90="","",IFERROR(INDEX('Người sử dụng'!$H$5:$H$140,MATCH(G90,'Người sử dụng'!$C$5:$C$140,0)),"Chưa có trong DS"))</f>
        <v/>
      </c>
      <c r="J90" s="24"/>
      <c r="K90" s="24"/>
      <c r="L90" s="23"/>
      <c r="M90" s="24"/>
      <c r="N90" s="24"/>
      <c r="O90" s="24"/>
      <c r="P90" s="26"/>
      <c r="Q90" s="51"/>
      <c r="R90" s="46"/>
      <c r="S90" s="51"/>
      <c r="T90" s="46"/>
      <c r="U90" s="46"/>
      <c r="V90" s="46"/>
      <c r="W90" s="46"/>
      <c r="X90" s="46"/>
      <c r="Y90" s="46"/>
      <c r="Z90" s="46"/>
      <c r="AA90" s="46"/>
      <c r="AB90" s="46"/>
      <c r="AC90" s="46"/>
      <c r="AD90" s="46"/>
      <c r="AE90" s="46"/>
    </row>
    <row r="91" ht="15.75" customHeight="1">
      <c r="A91" s="33" t="str">
        <f t="shared" si="3"/>
        <v/>
      </c>
      <c r="B91" s="40" t="str">
        <f t="shared" si="1"/>
        <v/>
      </c>
      <c r="C91" s="24"/>
      <c r="D91" s="23"/>
      <c r="E91" s="51"/>
      <c r="F91" s="51"/>
      <c r="G91" s="24"/>
      <c r="H91" s="40"/>
      <c r="I91" s="40" t="str">
        <f t="array" ref="I91">IF(G91="","",IFERROR(INDEX('Người sử dụng'!$H$5:$H$140,MATCH(G91,'Người sử dụng'!$C$5:$C$140,0)),"Chưa có trong DS"))</f>
        <v/>
      </c>
      <c r="J91" s="24"/>
      <c r="K91" s="24"/>
      <c r="L91" s="23"/>
      <c r="M91" s="24"/>
      <c r="N91" s="24"/>
      <c r="O91" s="24"/>
      <c r="P91" s="26"/>
      <c r="Q91" s="51"/>
      <c r="R91" s="46"/>
      <c r="S91" s="51"/>
      <c r="T91" s="46"/>
      <c r="U91" s="46"/>
      <c r="V91" s="46"/>
      <c r="W91" s="46"/>
      <c r="X91" s="46"/>
      <c r="Y91" s="46"/>
      <c r="Z91" s="46"/>
      <c r="AA91" s="46"/>
      <c r="AB91" s="46"/>
      <c r="AC91" s="46"/>
      <c r="AD91" s="46"/>
      <c r="AE91" s="46"/>
    </row>
    <row r="92" ht="15.75" customHeight="1">
      <c r="A92" s="33" t="str">
        <f t="shared" si="3"/>
        <v/>
      </c>
      <c r="B92" s="40" t="str">
        <f t="shared" si="1"/>
        <v/>
      </c>
      <c r="C92" s="24"/>
      <c r="D92" s="23"/>
      <c r="E92" s="51"/>
      <c r="F92" s="51"/>
      <c r="G92" s="24"/>
      <c r="H92" s="40"/>
      <c r="I92" s="40" t="str">
        <f t="array" ref="I92">IF(G92="","",IFERROR(INDEX('Người sử dụng'!$H$5:$H$140,MATCH(G92,'Người sử dụng'!$C$5:$C$140,0)),"Chưa có trong DS"))</f>
        <v/>
      </c>
      <c r="J92" s="24"/>
      <c r="K92" s="24"/>
      <c r="L92" s="23"/>
      <c r="M92" s="24"/>
      <c r="N92" s="24"/>
      <c r="O92" s="24"/>
      <c r="P92" s="26"/>
      <c r="Q92" s="51"/>
      <c r="R92" s="46"/>
      <c r="S92" s="51"/>
      <c r="T92" s="46"/>
      <c r="U92" s="46"/>
      <c r="V92" s="46"/>
      <c r="W92" s="46"/>
      <c r="X92" s="46"/>
      <c r="Y92" s="46"/>
      <c r="Z92" s="46"/>
      <c r="AA92" s="46"/>
      <c r="AB92" s="46"/>
      <c r="AC92" s="46"/>
      <c r="AD92" s="46"/>
      <c r="AE92" s="46"/>
    </row>
    <row r="93" ht="15.75" customHeight="1">
      <c r="A93" s="33" t="str">
        <f t="shared" si="3"/>
        <v/>
      </c>
      <c r="B93" s="40" t="str">
        <f t="shared" si="1"/>
        <v/>
      </c>
      <c r="C93" s="24"/>
      <c r="D93" s="23"/>
      <c r="E93" s="51"/>
      <c r="F93" s="51"/>
      <c r="G93" s="24"/>
      <c r="H93" s="40"/>
      <c r="I93" s="40" t="str">
        <f t="array" ref="I93">IF(G93="","",IFERROR(INDEX('Người sử dụng'!$H$5:$H$140,MATCH(G93,'Người sử dụng'!$C$5:$C$140,0)),"Chưa có trong DS"))</f>
        <v/>
      </c>
      <c r="J93" s="24"/>
      <c r="K93" s="24"/>
      <c r="L93" s="23"/>
      <c r="M93" s="24"/>
      <c r="N93" s="24"/>
      <c r="O93" s="24"/>
      <c r="P93" s="26"/>
      <c r="Q93" s="51"/>
      <c r="R93" s="46"/>
      <c r="S93" s="51"/>
      <c r="T93" s="46"/>
      <c r="U93" s="46"/>
      <c r="V93" s="46"/>
      <c r="W93" s="46"/>
      <c r="X93" s="46"/>
      <c r="Y93" s="46"/>
      <c r="Z93" s="46"/>
      <c r="AA93" s="46"/>
      <c r="AB93" s="46"/>
      <c r="AC93" s="46"/>
      <c r="AD93" s="46"/>
      <c r="AE93" s="46"/>
    </row>
    <row r="94" ht="15.75" customHeight="1">
      <c r="A94" s="33" t="str">
        <f t="shared" si="3"/>
        <v/>
      </c>
      <c r="B94" s="40" t="str">
        <f t="shared" si="1"/>
        <v/>
      </c>
      <c r="C94" s="24"/>
      <c r="D94" s="23"/>
      <c r="E94" s="51"/>
      <c r="F94" s="51"/>
      <c r="G94" s="24"/>
      <c r="H94" s="40"/>
      <c r="I94" s="40" t="str">
        <f t="array" ref="I94">IF(G94="","",IFERROR(INDEX('Người sử dụng'!$H$5:$H$140,MATCH(G94,'Người sử dụng'!$C$5:$C$140,0)),"Chưa có trong DS"))</f>
        <v/>
      </c>
      <c r="J94" s="24"/>
      <c r="K94" s="24"/>
      <c r="L94" s="23"/>
      <c r="M94" s="24"/>
      <c r="N94" s="24"/>
      <c r="O94" s="24"/>
      <c r="P94" s="26"/>
      <c r="Q94" s="51"/>
      <c r="R94" s="46"/>
      <c r="S94" s="51"/>
      <c r="T94" s="46"/>
      <c r="U94" s="46"/>
      <c r="V94" s="46"/>
      <c r="W94" s="46"/>
      <c r="X94" s="46"/>
      <c r="Y94" s="46"/>
      <c r="Z94" s="46"/>
      <c r="AA94" s="46"/>
      <c r="AB94" s="46"/>
      <c r="AC94" s="46"/>
      <c r="AD94" s="46"/>
      <c r="AE94" s="46"/>
    </row>
    <row r="95" ht="15.75" customHeight="1">
      <c r="A95" s="33" t="str">
        <f t="shared" si="3"/>
        <v/>
      </c>
      <c r="B95" s="40" t="str">
        <f t="shared" si="1"/>
        <v/>
      </c>
      <c r="C95" s="24"/>
      <c r="D95" s="23"/>
      <c r="E95" s="51"/>
      <c r="F95" s="51"/>
      <c r="G95" s="24"/>
      <c r="H95" s="40"/>
      <c r="I95" s="40" t="str">
        <f t="array" ref="I95">IF(G95="","",IFERROR(INDEX('Người sử dụng'!$H$5:$H$140,MATCH(G95,'Người sử dụng'!$C$5:$C$140,0)),"Chưa có trong DS"))</f>
        <v/>
      </c>
      <c r="J95" s="24"/>
      <c r="K95" s="24"/>
      <c r="L95" s="23"/>
      <c r="M95" s="24"/>
      <c r="N95" s="24"/>
      <c r="O95" s="24"/>
      <c r="P95" s="26"/>
      <c r="Q95" s="51"/>
      <c r="R95" s="46"/>
      <c r="S95" s="51"/>
      <c r="T95" s="46"/>
      <c r="U95" s="46"/>
      <c r="V95" s="46"/>
      <c r="W95" s="46"/>
      <c r="X95" s="46"/>
      <c r="Y95" s="46"/>
      <c r="Z95" s="46"/>
      <c r="AA95" s="46"/>
      <c r="AB95" s="46"/>
      <c r="AC95" s="46"/>
      <c r="AD95" s="46"/>
      <c r="AE95" s="46"/>
    </row>
    <row r="96" ht="15.75" customHeight="1">
      <c r="A96" s="33" t="str">
        <f t="shared" si="3"/>
        <v/>
      </c>
      <c r="B96" s="40" t="str">
        <f t="shared" si="1"/>
        <v/>
      </c>
      <c r="C96" s="24"/>
      <c r="D96" s="23"/>
      <c r="E96" s="51"/>
      <c r="F96" s="51"/>
      <c r="G96" s="24"/>
      <c r="H96" s="40"/>
      <c r="I96" s="40" t="str">
        <f t="array" ref="I96">IF(G96="","",IFERROR(INDEX('Người sử dụng'!$H$5:$H$140,MATCH(G96,'Người sử dụng'!$C$5:$C$140,0)),"Chưa có trong DS"))</f>
        <v/>
      </c>
      <c r="J96" s="24"/>
      <c r="K96" s="24"/>
      <c r="L96" s="23"/>
      <c r="M96" s="24"/>
      <c r="N96" s="24"/>
      <c r="O96" s="24"/>
      <c r="P96" s="26"/>
      <c r="Q96" s="51"/>
      <c r="R96" s="46"/>
      <c r="S96" s="51"/>
      <c r="T96" s="46"/>
      <c r="U96" s="46"/>
      <c r="V96" s="46"/>
      <c r="W96" s="46"/>
      <c r="X96" s="46"/>
      <c r="Y96" s="46"/>
      <c r="Z96" s="46"/>
      <c r="AA96" s="46"/>
      <c r="AB96" s="46"/>
      <c r="AC96" s="46"/>
      <c r="AD96" s="46"/>
      <c r="AE96" s="46"/>
    </row>
    <row r="97" ht="15.75" customHeight="1">
      <c r="A97" s="33" t="str">
        <f t="shared" si="3"/>
        <v/>
      </c>
      <c r="B97" s="40" t="str">
        <f t="shared" si="1"/>
        <v/>
      </c>
      <c r="C97" s="24"/>
      <c r="D97" s="23"/>
      <c r="E97" s="51"/>
      <c r="F97" s="51"/>
      <c r="G97" s="24"/>
      <c r="H97" s="40"/>
      <c r="I97" s="40" t="str">
        <f t="array" ref="I97">IF(G97="","",IFERROR(INDEX('Người sử dụng'!$H$5:$H$140,MATCH(G97,'Người sử dụng'!$C$5:$C$140,0)),"Chưa có trong DS"))</f>
        <v/>
      </c>
      <c r="J97" s="24"/>
      <c r="K97" s="24"/>
      <c r="L97" s="23"/>
      <c r="M97" s="24"/>
      <c r="N97" s="24"/>
      <c r="O97" s="24"/>
      <c r="P97" s="26"/>
      <c r="Q97" s="51"/>
      <c r="R97" s="46"/>
      <c r="S97" s="51"/>
      <c r="T97" s="46"/>
      <c r="U97" s="46"/>
      <c r="V97" s="46"/>
      <c r="W97" s="46"/>
      <c r="X97" s="46"/>
      <c r="Y97" s="46"/>
      <c r="Z97" s="46"/>
      <c r="AA97" s="46"/>
      <c r="AB97" s="46"/>
      <c r="AC97" s="46"/>
      <c r="AD97" s="46"/>
      <c r="AE97" s="46"/>
    </row>
    <row r="98" ht="15.75" customHeight="1">
      <c r="A98" s="33" t="str">
        <f t="shared" si="3"/>
        <v/>
      </c>
      <c r="B98" s="40" t="str">
        <f t="shared" si="1"/>
        <v/>
      </c>
      <c r="C98" s="24"/>
      <c r="D98" s="23"/>
      <c r="E98" s="51"/>
      <c r="F98" s="51"/>
      <c r="G98" s="24"/>
      <c r="H98" s="40"/>
      <c r="I98" s="40" t="str">
        <f t="array" ref="I98">IF(G98="","",IFERROR(INDEX('Người sử dụng'!$H$5:$H$140,MATCH(G98,'Người sử dụng'!$C$5:$C$140,0)),"Chưa có trong DS"))</f>
        <v/>
      </c>
      <c r="J98" s="24"/>
      <c r="K98" s="24"/>
      <c r="L98" s="23"/>
      <c r="M98" s="24"/>
      <c r="N98" s="24"/>
      <c r="O98" s="24"/>
      <c r="P98" s="26"/>
      <c r="Q98" s="51"/>
      <c r="R98" s="46"/>
      <c r="S98" s="51"/>
      <c r="T98" s="46"/>
      <c r="U98" s="46"/>
      <c r="V98" s="46"/>
      <c r="W98" s="46"/>
      <c r="X98" s="46"/>
      <c r="Y98" s="46"/>
      <c r="Z98" s="46"/>
      <c r="AA98" s="46"/>
      <c r="AB98" s="46"/>
      <c r="AC98" s="46"/>
      <c r="AD98" s="46"/>
      <c r="AE98" s="46"/>
    </row>
    <row r="99" ht="15.75" customHeight="1">
      <c r="A99" s="33" t="str">
        <f t="shared" si="3"/>
        <v/>
      </c>
      <c r="B99" s="40" t="str">
        <f t="shared" si="1"/>
        <v/>
      </c>
      <c r="C99" s="24"/>
      <c r="D99" s="23"/>
      <c r="E99" s="51"/>
      <c r="F99" s="51"/>
      <c r="G99" s="24"/>
      <c r="H99" s="40"/>
      <c r="I99" s="40" t="str">
        <f t="array" ref="I99">IF(G99="","",IFERROR(INDEX('Người sử dụng'!$H$5:$H$140,MATCH(G99,'Người sử dụng'!$C$5:$C$140,0)),"Chưa có trong DS"))</f>
        <v/>
      </c>
      <c r="J99" s="24"/>
      <c r="K99" s="24"/>
      <c r="L99" s="23"/>
      <c r="M99" s="24"/>
      <c r="N99" s="24"/>
      <c r="O99" s="24"/>
      <c r="P99" s="26"/>
      <c r="Q99" s="51"/>
      <c r="R99" s="46"/>
      <c r="S99" s="51"/>
      <c r="T99" s="46"/>
      <c r="U99" s="46"/>
      <c r="V99" s="46"/>
      <c r="W99" s="46"/>
      <c r="X99" s="46"/>
      <c r="Y99" s="46"/>
      <c r="Z99" s="46"/>
      <c r="AA99" s="46"/>
      <c r="AB99" s="46"/>
      <c r="AC99" s="46"/>
      <c r="AD99" s="46"/>
      <c r="AE99" s="46"/>
    </row>
    <row r="100" ht="15.75" customHeight="1">
      <c r="A100" s="33" t="str">
        <f t="shared" si="3"/>
        <v/>
      </c>
      <c r="B100" s="40" t="str">
        <f t="shared" si="1"/>
        <v/>
      </c>
      <c r="C100" s="24"/>
      <c r="D100" s="23"/>
      <c r="E100" s="51"/>
      <c r="F100" s="51"/>
      <c r="G100" s="24"/>
      <c r="H100" s="40"/>
      <c r="I100" s="40" t="str">
        <f t="array" ref="I100">IF(G100="","",IFERROR(INDEX('Người sử dụng'!$H$5:$H$140,MATCH(G100,'Người sử dụng'!$C$5:$C$140,0)),"Chưa có trong DS"))</f>
        <v/>
      </c>
      <c r="J100" s="24"/>
      <c r="K100" s="24"/>
      <c r="L100" s="23"/>
      <c r="M100" s="24"/>
      <c r="N100" s="24"/>
      <c r="O100" s="24"/>
      <c r="P100" s="26"/>
      <c r="Q100" s="51"/>
      <c r="R100" s="46"/>
      <c r="S100" s="51"/>
      <c r="T100" s="46"/>
      <c r="U100" s="46"/>
      <c r="V100" s="46"/>
      <c r="W100" s="46"/>
      <c r="X100" s="46"/>
      <c r="Y100" s="46"/>
      <c r="Z100" s="46"/>
      <c r="AA100" s="46"/>
      <c r="AB100" s="46"/>
      <c r="AC100" s="46"/>
      <c r="AD100" s="46"/>
      <c r="AE100" s="46"/>
    </row>
    <row r="101" ht="15.75" customHeight="1">
      <c r="A101" s="33" t="str">
        <f t="shared" si="3"/>
        <v/>
      </c>
      <c r="B101" s="40" t="str">
        <f t="shared" si="1"/>
        <v/>
      </c>
      <c r="C101" s="24"/>
      <c r="D101" s="23"/>
      <c r="E101" s="51"/>
      <c r="F101" s="51"/>
      <c r="G101" s="24"/>
      <c r="H101" s="40"/>
      <c r="I101" s="40" t="str">
        <f t="array" ref="I101">IF(G101="","",IFERROR(INDEX('Người sử dụng'!$H$5:$H$140,MATCH(G101,'Người sử dụng'!$C$5:$C$140,0)),"Chưa có trong DS"))</f>
        <v/>
      </c>
      <c r="J101" s="24"/>
      <c r="K101" s="24"/>
      <c r="L101" s="23"/>
      <c r="M101" s="24"/>
      <c r="N101" s="24"/>
      <c r="O101" s="24"/>
      <c r="P101" s="26"/>
      <c r="Q101" s="51"/>
      <c r="R101" s="46"/>
      <c r="S101" s="51"/>
      <c r="T101" s="46"/>
      <c r="U101" s="46"/>
      <c r="V101" s="46"/>
      <c r="W101" s="46"/>
      <c r="X101" s="46"/>
      <c r="Y101" s="46"/>
      <c r="Z101" s="46"/>
      <c r="AA101" s="46"/>
      <c r="AB101" s="46"/>
      <c r="AC101" s="46"/>
      <c r="AD101" s="46"/>
      <c r="AE101" s="46"/>
    </row>
    <row r="102" ht="15.75" customHeight="1">
      <c r="A102" s="33" t="str">
        <f t="shared" si="3"/>
        <v/>
      </c>
      <c r="B102" s="40" t="str">
        <f t="shared" si="1"/>
        <v/>
      </c>
      <c r="C102" s="24"/>
      <c r="D102" s="23"/>
      <c r="E102" s="51"/>
      <c r="F102" s="51"/>
      <c r="G102" s="24"/>
      <c r="H102" s="40"/>
      <c r="I102" s="40" t="str">
        <f t="array" ref="I102">IF(G102="","",IFERROR(INDEX('Người sử dụng'!$H$5:$H$140,MATCH(G102,'Người sử dụng'!$C$5:$C$140,0)),"Chưa có trong DS"))</f>
        <v/>
      </c>
      <c r="J102" s="24"/>
      <c r="K102" s="24"/>
      <c r="L102" s="23"/>
      <c r="M102" s="24"/>
      <c r="N102" s="24"/>
      <c r="O102" s="24"/>
      <c r="P102" s="26"/>
      <c r="Q102" s="51"/>
      <c r="R102" s="46"/>
      <c r="S102" s="51"/>
      <c r="T102" s="46"/>
      <c r="U102" s="46"/>
      <c r="V102" s="46"/>
      <c r="W102" s="46"/>
      <c r="X102" s="46"/>
      <c r="Y102" s="46"/>
      <c r="Z102" s="46"/>
      <c r="AA102" s="46"/>
      <c r="AB102" s="46"/>
      <c r="AC102" s="46"/>
      <c r="AD102" s="46"/>
      <c r="AE102" s="46"/>
    </row>
    <row r="103" ht="15.75" customHeight="1">
      <c r="A103" s="33" t="str">
        <f t="shared" si="3"/>
        <v/>
      </c>
      <c r="B103" s="40" t="str">
        <f t="shared" si="1"/>
        <v/>
      </c>
      <c r="C103" s="24"/>
      <c r="D103" s="23"/>
      <c r="E103" s="51"/>
      <c r="F103" s="51"/>
      <c r="G103" s="24"/>
      <c r="H103" s="40"/>
      <c r="I103" s="40" t="str">
        <f t="array" ref="I103">IF(G103="","",IFERROR(INDEX('Người sử dụng'!$H$5:$H$140,MATCH(G103,'Người sử dụng'!$C$5:$C$140,0)),"Chưa có trong DS"))</f>
        <v/>
      </c>
      <c r="J103" s="24"/>
      <c r="K103" s="24"/>
      <c r="L103" s="23"/>
      <c r="M103" s="24"/>
      <c r="N103" s="24"/>
      <c r="O103" s="24"/>
      <c r="P103" s="26"/>
      <c r="Q103" s="51"/>
      <c r="R103" s="46"/>
      <c r="S103" s="51"/>
      <c r="T103" s="46"/>
      <c r="U103" s="46"/>
      <c r="V103" s="46"/>
      <c r="W103" s="46"/>
      <c r="X103" s="46"/>
      <c r="Y103" s="46"/>
      <c r="Z103" s="46"/>
      <c r="AA103" s="46"/>
      <c r="AB103" s="46"/>
      <c r="AC103" s="46"/>
      <c r="AD103" s="46"/>
      <c r="AE103" s="46"/>
    </row>
    <row r="104" ht="15.75" customHeight="1">
      <c r="A104" s="33" t="str">
        <f t="shared" si="3"/>
        <v/>
      </c>
      <c r="B104" s="40" t="str">
        <f t="shared" si="1"/>
        <v/>
      </c>
      <c r="C104" s="24"/>
      <c r="D104" s="23"/>
      <c r="E104" s="51"/>
      <c r="F104" s="51"/>
      <c r="G104" s="24"/>
      <c r="H104" s="40"/>
      <c r="I104" s="40" t="str">
        <f t="array" ref="I104">IF(G104="","",IFERROR(INDEX('Người sử dụng'!$H$5:$H$140,MATCH(G104,'Người sử dụng'!$C$5:$C$140,0)),"Chưa có trong DS"))</f>
        <v/>
      </c>
      <c r="J104" s="24"/>
      <c r="K104" s="24"/>
      <c r="L104" s="23"/>
      <c r="M104" s="24"/>
      <c r="N104" s="24"/>
      <c r="O104" s="24"/>
      <c r="P104" s="26"/>
      <c r="Q104" s="51"/>
      <c r="R104" s="46"/>
      <c r="S104" s="51"/>
      <c r="T104" s="46"/>
      <c r="U104" s="46"/>
      <c r="V104" s="46"/>
      <c r="W104" s="46"/>
      <c r="X104" s="46"/>
      <c r="Y104" s="46"/>
      <c r="Z104" s="46"/>
      <c r="AA104" s="46"/>
      <c r="AB104" s="46"/>
      <c r="AC104" s="46"/>
      <c r="AD104" s="46"/>
      <c r="AE104" s="46"/>
    </row>
    <row r="105" ht="15.75" customHeight="1">
      <c r="A105" s="33" t="str">
        <f t="shared" si="3"/>
        <v/>
      </c>
      <c r="B105" s="40" t="str">
        <f t="shared" si="1"/>
        <v/>
      </c>
      <c r="C105" s="24"/>
      <c r="D105" s="23"/>
      <c r="E105" s="51"/>
      <c r="F105" s="51"/>
      <c r="G105" s="24"/>
      <c r="H105" s="40"/>
      <c r="I105" s="40" t="str">
        <f t="array" ref="I105">IF(G105="","",IFERROR(INDEX('Người sử dụng'!$H$5:$H$140,MATCH(G105,'Người sử dụng'!$C$5:$C$140,0)),"Chưa có trong DS"))</f>
        <v/>
      </c>
      <c r="J105" s="24"/>
      <c r="K105" s="24"/>
      <c r="L105" s="23"/>
      <c r="M105" s="24"/>
      <c r="N105" s="24"/>
      <c r="O105" s="24"/>
      <c r="P105" s="26"/>
      <c r="Q105" s="51"/>
      <c r="R105" s="46"/>
      <c r="S105" s="51"/>
      <c r="T105" s="46"/>
      <c r="U105" s="46"/>
      <c r="V105" s="46"/>
      <c r="W105" s="46"/>
      <c r="X105" s="46"/>
      <c r="Y105" s="46"/>
      <c r="Z105" s="46"/>
      <c r="AA105" s="46"/>
      <c r="AB105" s="46"/>
      <c r="AC105" s="46"/>
      <c r="AD105" s="46"/>
      <c r="AE105" s="46"/>
    </row>
    <row r="106" ht="15.75" customHeight="1">
      <c r="A106" s="33" t="str">
        <f t="shared" si="3"/>
        <v/>
      </c>
      <c r="B106" s="40" t="str">
        <f t="shared" si="1"/>
        <v/>
      </c>
      <c r="C106" s="24"/>
      <c r="D106" s="23"/>
      <c r="E106" s="51"/>
      <c r="F106" s="51"/>
      <c r="G106" s="24"/>
      <c r="H106" s="40"/>
      <c r="I106" s="40" t="str">
        <f t="array" ref="I106">IF(G106="","",IFERROR(INDEX('Người sử dụng'!$H$5:$H$140,MATCH(G106,'Người sử dụng'!$C$5:$C$140,0)),"Chưa có trong DS"))</f>
        <v/>
      </c>
      <c r="J106" s="24"/>
      <c r="K106" s="24"/>
      <c r="L106" s="23"/>
      <c r="M106" s="24"/>
      <c r="N106" s="24"/>
      <c r="O106" s="24"/>
      <c r="P106" s="26"/>
      <c r="Q106" s="51"/>
      <c r="R106" s="46"/>
      <c r="S106" s="51"/>
      <c r="T106" s="46"/>
      <c r="U106" s="46"/>
      <c r="V106" s="46"/>
      <c r="W106" s="46"/>
      <c r="X106" s="46"/>
      <c r="Y106" s="46"/>
      <c r="Z106" s="46"/>
      <c r="AA106" s="46"/>
      <c r="AB106" s="46"/>
      <c r="AC106" s="46"/>
      <c r="AD106" s="46"/>
      <c r="AE106" s="46"/>
    </row>
    <row r="107" ht="15.75" customHeight="1">
      <c r="A107" s="33" t="str">
        <f t="shared" si="3"/>
        <v/>
      </c>
      <c r="B107" s="40" t="str">
        <f t="shared" si="1"/>
        <v/>
      </c>
      <c r="C107" s="24"/>
      <c r="D107" s="23"/>
      <c r="E107" s="51"/>
      <c r="F107" s="51"/>
      <c r="G107" s="24"/>
      <c r="H107" s="40"/>
      <c r="I107" s="40" t="str">
        <f t="array" ref="I107">IF(G107="","",IFERROR(INDEX('Người sử dụng'!$H$5:$H$140,MATCH(G107,'Người sử dụng'!$C$5:$C$140,0)),"Chưa có trong DS"))</f>
        <v/>
      </c>
      <c r="J107" s="24"/>
      <c r="K107" s="24"/>
      <c r="L107" s="23"/>
      <c r="M107" s="24"/>
      <c r="N107" s="24"/>
      <c r="O107" s="24"/>
      <c r="P107" s="26"/>
      <c r="Q107" s="51"/>
      <c r="R107" s="46"/>
      <c r="S107" s="51"/>
      <c r="T107" s="46"/>
      <c r="U107" s="46"/>
      <c r="V107" s="46"/>
      <c r="W107" s="46"/>
      <c r="X107" s="46"/>
      <c r="Y107" s="46"/>
      <c r="Z107" s="46"/>
      <c r="AA107" s="46"/>
      <c r="AB107" s="46"/>
      <c r="AC107" s="46"/>
      <c r="AD107" s="46"/>
      <c r="AE107" s="46"/>
    </row>
    <row r="108" ht="15.75" customHeight="1">
      <c r="A108" s="33" t="str">
        <f t="shared" si="3"/>
        <v/>
      </c>
      <c r="B108" s="40" t="str">
        <f t="shared" si="1"/>
        <v/>
      </c>
      <c r="C108" s="24"/>
      <c r="D108" s="23"/>
      <c r="E108" s="51"/>
      <c r="F108" s="51"/>
      <c r="G108" s="24"/>
      <c r="H108" s="40"/>
      <c r="I108" s="40" t="str">
        <f t="array" ref="I108">IF(G108="","",IFERROR(INDEX('Người sử dụng'!$H$5:$H$140,MATCH(G108,'Người sử dụng'!$C$5:$C$140,0)),"Chưa có trong DS"))</f>
        <v/>
      </c>
      <c r="J108" s="24"/>
      <c r="K108" s="24"/>
      <c r="L108" s="23"/>
      <c r="M108" s="24"/>
      <c r="N108" s="24"/>
      <c r="O108" s="24"/>
      <c r="P108" s="26"/>
      <c r="Q108" s="51"/>
      <c r="R108" s="46"/>
      <c r="S108" s="51"/>
      <c r="T108" s="46"/>
      <c r="U108" s="46"/>
      <c r="V108" s="46"/>
      <c r="W108" s="46"/>
      <c r="X108" s="46"/>
      <c r="Y108" s="46"/>
      <c r="Z108" s="46"/>
      <c r="AA108" s="46"/>
      <c r="AB108" s="46"/>
      <c r="AC108" s="46"/>
      <c r="AD108" s="46"/>
      <c r="AE108" s="46"/>
    </row>
    <row r="109" ht="15.75" customHeight="1">
      <c r="A109" s="33" t="str">
        <f t="shared" si="3"/>
        <v/>
      </c>
      <c r="B109" s="40" t="str">
        <f t="shared" si="1"/>
        <v/>
      </c>
      <c r="C109" s="24"/>
      <c r="D109" s="23"/>
      <c r="E109" s="51"/>
      <c r="F109" s="51"/>
      <c r="G109" s="24"/>
      <c r="H109" s="40"/>
      <c r="I109" s="40" t="str">
        <f t="array" ref="I109">IF(G109="","",IFERROR(INDEX('Người sử dụng'!$H$5:$H$140,MATCH(G109,'Người sử dụng'!$C$5:$C$140,0)),"Chưa có trong DS"))</f>
        <v/>
      </c>
      <c r="J109" s="24"/>
      <c r="K109" s="24"/>
      <c r="L109" s="23"/>
      <c r="M109" s="24"/>
      <c r="N109" s="24"/>
      <c r="O109" s="24"/>
      <c r="P109" s="26"/>
      <c r="Q109" s="51"/>
      <c r="R109" s="46"/>
      <c r="S109" s="51"/>
      <c r="T109" s="46"/>
      <c r="U109" s="46"/>
      <c r="V109" s="46"/>
      <c r="W109" s="46"/>
      <c r="X109" s="46"/>
      <c r="Y109" s="46"/>
      <c r="Z109" s="46"/>
      <c r="AA109" s="46"/>
      <c r="AB109" s="46"/>
      <c r="AC109" s="46"/>
      <c r="AD109" s="46"/>
      <c r="AE109" s="46"/>
    </row>
    <row r="110" ht="15.75" customHeight="1">
      <c r="A110" s="33" t="str">
        <f t="shared" si="3"/>
        <v/>
      </c>
      <c r="B110" s="40" t="str">
        <f t="shared" si="1"/>
        <v/>
      </c>
      <c r="C110" s="24"/>
      <c r="D110" s="23"/>
      <c r="E110" s="51"/>
      <c r="F110" s="51"/>
      <c r="G110" s="24"/>
      <c r="H110" s="40"/>
      <c r="I110" s="40" t="str">
        <f t="array" ref="I110">IF(G110="","",IFERROR(INDEX('Người sử dụng'!$H$5:$H$140,MATCH(G110,'Người sử dụng'!$C$5:$C$140,0)),"Chưa có trong DS"))</f>
        <v/>
      </c>
      <c r="J110" s="24"/>
      <c r="K110" s="24"/>
      <c r="L110" s="23"/>
      <c r="M110" s="24"/>
      <c r="N110" s="24"/>
      <c r="O110" s="24"/>
      <c r="P110" s="26"/>
      <c r="Q110" s="51"/>
      <c r="R110" s="46"/>
      <c r="S110" s="51"/>
      <c r="T110" s="46"/>
      <c r="U110" s="46"/>
      <c r="V110" s="46"/>
      <c r="W110" s="46"/>
      <c r="X110" s="46"/>
      <c r="Y110" s="46"/>
      <c r="Z110" s="46"/>
      <c r="AA110" s="46"/>
      <c r="AB110" s="46"/>
      <c r="AC110" s="46"/>
      <c r="AD110" s="46"/>
      <c r="AE110" s="46"/>
    </row>
    <row r="111" ht="15.75" customHeight="1">
      <c r="A111" s="33" t="str">
        <f t="shared" si="3"/>
        <v/>
      </c>
      <c r="B111" s="40" t="str">
        <f t="shared" si="1"/>
        <v/>
      </c>
      <c r="C111" s="24"/>
      <c r="D111" s="23"/>
      <c r="E111" s="51"/>
      <c r="F111" s="51"/>
      <c r="G111" s="24"/>
      <c r="H111" s="40"/>
      <c r="I111" s="40" t="str">
        <f t="array" ref="I111">IF(G111="","",IFERROR(INDEX('Người sử dụng'!$H$5:$H$140,MATCH(G111,'Người sử dụng'!$C$5:$C$140,0)),"Chưa có trong DS"))</f>
        <v/>
      </c>
      <c r="J111" s="24"/>
      <c r="K111" s="24"/>
      <c r="L111" s="23"/>
      <c r="M111" s="24"/>
      <c r="N111" s="24"/>
      <c r="O111" s="24"/>
      <c r="P111" s="26"/>
      <c r="Q111" s="51"/>
      <c r="R111" s="46"/>
      <c r="S111" s="51"/>
      <c r="T111" s="46"/>
      <c r="U111" s="46"/>
      <c r="V111" s="46"/>
      <c r="W111" s="46"/>
      <c r="X111" s="46"/>
      <c r="Y111" s="46"/>
      <c r="Z111" s="46"/>
      <c r="AA111" s="46"/>
      <c r="AB111" s="46"/>
      <c r="AC111" s="46"/>
      <c r="AD111" s="46"/>
      <c r="AE111" s="46"/>
    </row>
    <row r="112" ht="15.75" customHeight="1">
      <c r="A112" s="33" t="str">
        <f t="shared" si="3"/>
        <v/>
      </c>
      <c r="B112" s="40" t="str">
        <f t="shared" si="1"/>
        <v/>
      </c>
      <c r="C112" s="24"/>
      <c r="D112" s="23"/>
      <c r="E112" s="51"/>
      <c r="F112" s="51"/>
      <c r="G112" s="24"/>
      <c r="H112" s="40"/>
      <c r="I112" s="40" t="str">
        <f t="array" ref="I112">IF(G112="","",IFERROR(INDEX('Người sử dụng'!$H$5:$H$140,MATCH(G112,'Người sử dụng'!$C$5:$C$140,0)),"Chưa có trong DS"))</f>
        <v/>
      </c>
      <c r="J112" s="24"/>
      <c r="K112" s="24"/>
      <c r="L112" s="23"/>
      <c r="M112" s="24"/>
      <c r="N112" s="24"/>
      <c r="O112" s="24"/>
      <c r="P112" s="26"/>
      <c r="Q112" s="51"/>
      <c r="R112" s="46"/>
      <c r="S112" s="51"/>
      <c r="T112" s="46"/>
      <c r="U112" s="46"/>
      <c r="V112" s="46"/>
      <c r="W112" s="46"/>
      <c r="X112" s="46"/>
      <c r="Y112" s="46"/>
      <c r="Z112" s="46"/>
      <c r="AA112" s="46"/>
      <c r="AB112" s="46"/>
      <c r="AC112" s="46"/>
      <c r="AD112" s="46"/>
      <c r="AE112" s="46"/>
    </row>
    <row r="113" ht="15.75" customHeight="1">
      <c r="A113" s="33" t="str">
        <f t="shared" si="3"/>
        <v/>
      </c>
      <c r="B113" s="40" t="str">
        <f t="shared" si="1"/>
        <v/>
      </c>
      <c r="C113" s="24"/>
      <c r="D113" s="23"/>
      <c r="E113" s="51"/>
      <c r="F113" s="51"/>
      <c r="G113" s="24"/>
      <c r="H113" s="40"/>
      <c r="I113" s="40" t="str">
        <f t="array" ref="I113">IF(G113="","",IFERROR(INDEX('Người sử dụng'!$H$5:$H$140,MATCH(G113,'Người sử dụng'!$C$5:$C$140,0)),"Chưa có trong DS"))</f>
        <v/>
      </c>
      <c r="J113" s="24"/>
      <c r="K113" s="24"/>
      <c r="L113" s="23"/>
      <c r="M113" s="24"/>
      <c r="N113" s="24"/>
      <c r="O113" s="24"/>
      <c r="P113" s="26"/>
      <c r="Q113" s="51"/>
      <c r="R113" s="46"/>
      <c r="S113" s="51"/>
      <c r="T113" s="46"/>
      <c r="U113" s="46"/>
      <c r="V113" s="46"/>
      <c r="W113" s="46"/>
      <c r="X113" s="46"/>
      <c r="Y113" s="46"/>
      <c r="Z113" s="46"/>
      <c r="AA113" s="46"/>
      <c r="AB113" s="46"/>
      <c r="AC113" s="46"/>
      <c r="AD113" s="46"/>
      <c r="AE113" s="46"/>
    </row>
    <row r="114" ht="15.75" customHeight="1">
      <c r="A114" s="33" t="str">
        <f t="shared" si="3"/>
        <v/>
      </c>
      <c r="B114" s="40" t="str">
        <f t="shared" si="1"/>
        <v/>
      </c>
      <c r="C114" s="24"/>
      <c r="D114" s="23"/>
      <c r="E114" s="51"/>
      <c r="F114" s="51"/>
      <c r="G114" s="24"/>
      <c r="H114" s="40"/>
      <c r="I114" s="40" t="str">
        <f t="array" ref="I114">IF(G114="","",IFERROR(INDEX('Người sử dụng'!$H$5:$H$140,MATCH(G114,'Người sử dụng'!$C$5:$C$140,0)),"Chưa có trong DS"))</f>
        <v/>
      </c>
      <c r="J114" s="24"/>
      <c r="K114" s="24"/>
      <c r="L114" s="23"/>
      <c r="M114" s="24"/>
      <c r="N114" s="24"/>
      <c r="O114" s="24"/>
      <c r="P114" s="26"/>
      <c r="Q114" s="51"/>
      <c r="R114" s="46"/>
      <c r="S114" s="51"/>
      <c r="T114" s="46"/>
      <c r="U114" s="46"/>
      <c r="V114" s="46"/>
      <c r="W114" s="46"/>
      <c r="X114" s="46"/>
      <c r="Y114" s="46"/>
      <c r="Z114" s="46"/>
      <c r="AA114" s="46"/>
      <c r="AB114" s="46"/>
      <c r="AC114" s="46"/>
      <c r="AD114" s="46"/>
      <c r="AE114" s="46"/>
    </row>
    <row r="115" ht="15.75" customHeight="1">
      <c r="A115" s="33" t="str">
        <f t="shared" si="3"/>
        <v/>
      </c>
      <c r="B115" s="40" t="str">
        <f t="shared" si="1"/>
        <v/>
      </c>
      <c r="C115" s="24"/>
      <c r="D115" s="23"/>
      <c r="E115" s="51"/>
      <c r="F115" s="51"/>
      <c r="G115" s="24"/>
      <c r="H115" s="40"/>
      <c r="I115" s="40" t="str">
        <f t="array" ref="I115">IF(G115="","",IFERROR(INDEX('Người sử dụng'!$H$5:$H$140,MATCH(G115,'Người sử dụng'!$C$5:$C$140,0)),"Chưa có trong DS"))</f>
        <v/>
      </c>
      <c r="J115" s="24"/>
      <c r="K115" s="24"/>
      <c r="L115" s="23"/>
      <c r="M115" s="24"/>
      <c r="N115" s="24"/>
      <c r="O115" s="24"/>
      <c r="P115" s="26"/>
      <c r="Q115" s="51"/>
      <c r="R115" s="46"/>
      <c r="S115" s="51"/>
      <c r="T115" s="46"/>
      <c r="U115" s="46"/>
      <c r="V115" s="46"/>
      <c r="W115" s="46"/>
      <c r="X115" s="46"/>
      <c r="Y115" s="46"/>
      <c r="Z115" s="46"/>
      <c r="AA115" s="46"/>
      <c r="AB115" s="46"/>
      <c r="AC115" s="46"/>
      <c r="AD115" s="46"/>
      <c r="AE115" s="46"/>
    </row>
    <row r="116" ht="15.75" customHeight="1">
      <c r="A116" s="33" t="str">
        <f t="shared" si="3"/>
        <v/>
      </c>
      <c r="B116" s="40" t="str">
        <f t="shared" si="1"/>
        <v/>
      </c>
      <c r="C116" s="24"/>
      <c r="D116" s="23"/>
      <c r="E116" s="51"/>
      <c r="F116" s="51"/>
      <c r="G116" s="24"/>
      <c r="H116" s="40"/>
      <c r="I116" s="40" t="str">
        <f t="array" ref="I116">IF(G116="","",IFERROR(INDEX('Người sử dụng'!$H$5:$H$140,MATCH(G116,'Người sử dụng'!$C$5:$C$140,0)),"Chưa có trong DS"))</f>
        <v/>
      </c>
      <c r="J116" s="24"/>
      <c r="K116" s="24"/>
      <c r="L116" s="23"/>
      <c r="M116" s="24"/>
      <c r="N116" s="24"/>
      <c r="O116" s="24"/>
      <c r="P116" s="26"/>
      <c r="Q116" s="51"/>
      <c r="R116" s="46"/>
      <c r="S116" s="51"/>
      <c r="T116" s="46"/>
      <c r="U116" s="46"/>
      <c r="V116" s="46"/>
      <c r="W116" s="46"/>
      <c r="X116" s="46"/>
      <c r="Y116" s="46"/>
      <c r="Z116" s="46"/>
      <c r="AA116" s="46"/>
      <c r="AB116" s="46"/>
      <c r="AC116" s="46"/>
      <c r="AD116" s="46"/>
      <c r="AE116" s="46"/>
    </row>
    <row r="117" ht="15.75" customHeight="1">
      <c r="A117" s="33" t="str">
        <f t="shared" si="3"/>
        <v/>
      </c>
      <c r="B117" s="40" t="str">
        <f t="shared" si="1"/>
        <v/>
      </c>
      <c r="C117" s="24"/>
      <c r="D117" s="23"/>
      <c r="E117" s="51"/>
      <c r="F117" s="51"/>
      <c r="G117" s="24"/>
      <c r="H117" s="40"/>
      <c r="I117" s="40" t="str">
        <f t="array" ref="I117">IF(G117="","",IFERROR(INDEX('Người sử dụng'!$H$5:$H$140,MATCH(G117,'Người sử dụng'!$C$5:$C$140,0)),"Chưa có trong DS"))</f>
        <v/>
      </c>
      <c r="J117" s="24"/>
      <c r="K117" s="24"/>
      <c r="L117" s="23"/>
      <c r="M117" s="24"/>
      <c r="N117" s="24"/>
      <c r="O117" s="24"/>
      <c r="P117" s="26"/>
      <c r="Q117" s="51"/>
      <c r="R117" s="46"/>
      <c r="S117" s="51"/>
      <c r="T117" s="46"/>
      <c r="U117" s="46"/>
      <c r="V117" s="46"/>
      <c r="W117" s="46"/>
      <c r="X117" s="46"/>
      <c r="Y117" s="46"/>
      <c r="Z117" s="46"/>
      <c r="AA117" s="46"/>
      <c r="AB117" s="46"/>
      <c r="AC117" s="46"/>
      <c r="AD117" s="46"/>
      <c r="AE117" s="46"/>
    </row>
    <row r="118" ht="15.75" customHeight="1">
      <c r="A118" s="33" t="str">
        <f t="shared" si="3"/>
        <v/>
      </c>
      <c r="B118" s="40" t="str">
        <f t="shared" si="1"/>
        <v/>
      </c>
      <c r="C118" s="24"/>
      <c r="D118" s="23"/>
      <c r="E118" s="51"/>
      <c r="F118" s="51"/>
      <c r="G118" s="24"/>
      <c r="H118" s="40"/>
      <c r="I118" s="40" t="str">
        <f t="array" ref="I118">IF(G118="","",IFERROR(INDEX('Người sử dụng'!$H$5:$H$140,MATCH(G118,'Người sử dụng'!$C$5:$C$140,0)),"Chưa có trong DS"))</f>
        <v/>
      </c>
      <c r="J118" s="24"/>
      <c r="K118" s="24"/>
      <c r="L118" s="23"/>
      <c r="M118" s="24"/>
      <c r="N118" s="24"/>
      <c r="O118" s="24"/>
      <c r="P118" s="26"/>
      <c r="Q118" s="51"/>
      <c r="R118" s="46"/>
      <c r="S118" s="51"/>
      <c r="T118" s="46"/>
      <c r="U118" s="46"/>
      <c r="V118" s="46"/>
      <c r="W118" s="46"/>
      <c r="X118" s="46"/>
      <c r="Y118" s="46"/>
      <c r="Z118" s="46"/>
      <c r="AA118" s="46"/>
      <c r="AB118" s="46"/>
      <c r="AC118" s="46"/>
      <c r="AD118" s="46"/>
      <c r="AE118" s="46"/>
    </row>
    <row r="119" ht="15.75" customHeight="1">
      <c r="A119" s="33" t="str">
        <f t="shared" si="3"/>
        <v/>
      </c>
      <c r="B119" s="40" t="str">
        <f t="shared" si="1"/>
        <v/>
      </c>
      <c r="C119" s="24"/>
      <c r="D119" s="23"/>
      <c r="E119" s="51"/>
      <c r="F119" s="51"/>
      <c r="G119" s="24"/>
      <c r="H119" s="40"/>
      <c r="I119" s="40" t="str">
        <f t="array" ref="I119">IF(G119="","",IFERROR(INDEX('Người sử dụng'!$H$5:$H$140,MATCH(G119,'Người sử dụng'!$C$5:$C$140,0)),"Chưa có trong DS"))</f>
        <v/>
      </c>
      <c r="J119" s="24"/>
      <c r="K119" s="24"/>
      <c r="L119" s="23"/>
      <c r="M119" s="24"/>
      <c r="N119" s="24"/>
      <c r="O119" s="24"/>
      <c r="P119" s="26"/>
      <c r="Q119" s="51"/>
      <c r="R119" s="46"/>
      <c r="S119" s="51"/>
      <c r="T119" s="46"/>
      <c r="U119" s="46"/>
      <c r="V119" s="46"/>
      <c r="W119" s="46"/>
      <c r="X119" s="46"/>
      <c r="Y119" s="46"/>
      <c r="Z119" s="46"/>
      <c r="AA119" s="46"/>
      <c r="AB119" s="46"/>
      <c r="AC119" s="46"/>
      <c r="AD119" s="46"/>
      <c r="AE119" s="46"/>
    </row>
    <row r="120" ht="15.75" customHeight="1">
      <c r="A120" s="33" t="str">
        <f t="shared" si="3"/>
        <v/>
      </c>
      <c r="B120" s="40" t="str">
        <f t="shared" si="1"/>
        <v/>
      </c>
      <c r="C120" s="24"/>
      <c r="D120" s="23"/>
      <c r="E120" s="51"/>
      <c r="F120" s="51"/>
      <c r="G120" s="24"/>
      <c r="H120" s="40"/>
      <c r="I120" s="40" t="str">
        <f t="array" ref="I120">IF(G120="","",IFERROR(INDEX('Người sử dụng'!$H$5:$H$140,MATCH(G120,'Người sử dụng'!$C$5:$C$140,0)),"Chưa có trong DS"))</f>
        <v/>
      </c>
      <c r="J120" s="24"/>
      <c r="K120" s="24"/>
      <c r="L120" s="23"/>
      <c r="M120" s="24"/>
      <c r="N120" s="24"/>
      <c r="O120" s="24"/>
      <c r="P120" s="26"/>
      <c r="Q120" s="51"/>
      <c r="R120" s="46"/>
      <c r="S120" s="51"/>
      <c r="T120" s="46"/>
      <c r="U120" s="46"/>
      <c r="V120" s="46"/>
      <c r="W120" s="46"/>
      <c r="X120" s="46"/>
      <c r="Y120" s="46"/>
      <c r="Z120" s="46"/>
      <c r="AA120" s="46"/>
      <c r="AB120" s="46"/>
      <c r="AC120" s="46"/>
      <c r="AD120" s="46"/>
      <c r="AE120" s="46"/>
    </row>
    <row r="121" ht="15.75" customHeight="1">
      <c r="A121" s="33" t="str">
        <f t="shared" si="3"/>
        <v/>
      </c>
      <c r="B121" s="40" t="str">
        <f t="shared" si="1"/>
        <v/>
      </c>
      <c r="C121" s="24"/>
      <c r="D121" s="23"/>
      <c r="E121" s="51"/>
      <c r="F121" s="51"/>
      <c r="G121" s="24"/>
      <c r="H121" s="40"/>
      <c r="I121" s="40" t="str">
        <f t="array" ref="I121">IF(G121="","",IFERROR(INDEX('Người sử dụng'!$H$5:$H$140,MATCH(G121,'Người sử dụng'!$C$5:$C$140,0)),"Chưa có trong DS"))</f>
        <v/>
      </c>
      <c r="J121" s="24"/>
      <c r="K121" s="24"/>
      <c r="L121" s="23"/>
      <c r="M121" s="24"/>
      <c r="N121" s="24"/>
      <c r="O121" s="24"/>
      <c r="P121" s="26"/>
      <c r="Q121" s="51"/>
      <c r="R121" s="46"/>
      <c r="S121" s="51"/>
      <c r="T121" s="46"/>
      <c r="U121" s="46"/>
      <c r="V121" s="46"/>
      <c r="W121" s="46"/>
      <c r="X121" s="46"/>
      <c r="Y121" s="46"/>
      <c r="Z121" s="46"/>
      <c r="AA121" s="46"/>
      <c r="AB121" s="46"/>
      <c r="AC121" s="46"/>
      <c r="AD121" s="46"/>
      <c r="AE121" s="46"/>
    </row>
    <row r="122" ht="15.75" customHeight="1">
      <c r="A122" s="33" t="str">
        <f t="shared" si="3"/>
        <v/>
      </c>
      <c r="B122" s="40" t="str">
        <f t="shared" si="1"/>
        <v/>
      </c>
      <c r="C122" s="24"/>
      <c r="D122" s="23"/>
      <c r="E122" s="51"/>
      <c r="F122" s="51"/>
      <c r="G122" s="24"/>
      <c r="H122" s="40"/>
      <c r="I122" s="40" t="str">
        <f t="array" ref="I122">IF(G122="","",IFERROR(INDEX('Người sử dụng'!$H$5:$H$140,MATCH(G122,'Người sử dụng'!$C$5:$C$140,0)),"Chưa có trong DS"))</f>
        <v/>
      </c>
      <c r="J122" s="24"/>
      <c r="K122" s="24"/>
      <c r="L122" s="23"/>
      <c r="M122" s="24"/>
      <c r="N122" s="24"/>
      <c r="O122" s="24"/>
      <c r="P122" s="26"/>
      <c r="Q122" s="51"/>
      <c r="R122" s="46"/>
      <c r="S122" s="51"/>
      <c r="T122" s="46"/>
      <c r="U122" s="46"/>
      <c r="V122" s="46"/>
      <c r="W122" s="46"/>
      <c r="X122" s="46"/>
      <c r="Y122" s="46"/>
      <c r="Z122" s="46"/>
      <c r="AA122" s="46"/>
      <c r="AB122" s="46"/>
      <c r="AC122" s="46"/>
      <c r="AD122" s="46"/>
      <c r="AE122" s="46"/>
    </row>
    <row r="123" ht="15.75" customHeight="1">
      <c r="A123" s="33" t="str">
        <f t="shared" si="3"/>
        <v/>
      </c>
      <c r="B123" s="40" t="str">
        <f t="shared" si="1"/>
        <v/>
      </c>
      <c r="C123" s="24"/>
      <c r="D123" s="23"/>
      <c r="E123" s="51"/>
      <c r="F123" s="51"/>
      <c r="G123" s="24"/>
      <c r="H123" s="40"/>
      <c r="I123" s="40" t="str">
        <f t="array" ref="I123">IF(G123="","",IFERROR(INDEX('Người sử dụng'!$H$5:$H$140,MATCH(G123,'Người sử dụng'!$C$5:$C$140,0)),"Chưa có trong DS"))</f>
        <v/>
      </c>
      <c r="J123" s="24"/>
      <c r="K123" s="24"/>
      <c r="L123" s="23"/>
      <c r="M123" s="24"/>
      <c r="N123" s="24"/>
      <c r="O123" s="24"/>
      <c r="P123" s="26"/>
      <c r="Q123" s="51"/>
      <c r="R123" s="46"/>
      <c r="S123" s="51"/>
      <c r="T123" s="46"/>
      <c r="U123" s="46"/>
      <c r="V123" s="46"/>
      <c r="W123" s="46"/>
      <c r="X123" s="46"/>
      <c r="Y123" s="46"/>
      <c r="Z123" s="46"/>
      <c r="AA123" s="46"/>
      <c r="AB123" s="46"/>
      <c r="AC123" s="46"/>
      <c r="AD123" s="46"/>
      <c r="AE123" s="46"/>
    </row>
    <row r="124" ht="15.75" customHeight="1">
      <c r="A124" s="33" t="str">
        <f t="shared" si="3"/>
        <v/>
      </c>
      <c r="B124" s="40" t="str">
        <f t="shared" si="1"/>
        <v/>
      </c>
      <c r="C124" s="24"/>
      <c r="D124" s="23"/>
      <c r="E124" s="51"/>
      <c r="F124" s="51"/>
      <c r="G124" s="24"/>
      <c r="H124" s="40"/>
      <c r="I124" s="40" t="str">
        <f t="array" ref="I124">IF(G124="","",IFERROR(INDEX('Người sử dụng'!$H$5:$H$140,MATCH(G124,'Người sử dụng'!$C$5:$C$140,0)),"Chưa có trong DS"))</f>
        <v/>
      </c>
      <c r="J124" s="24"/>
      <c r="K124" s="24"/>
      <c r="L124" s="23"/>
      <c r="M124" s="24"/>
      <c r="N124" s="24"/>
      <c r="O124" s="24"/>
      <c r="P124" s="26"/>
      <c r="Q124" s="51"/>
      <c r="R124" s="46"/>
      <c r="S124" s="51"/>
      <c r="T124" s="46"/>
      <c r="U124" s="46"/>
      <c r="V124" s="46"/>
      <c r="W124" s="46"/>
      <c r="X124" s="46"/>
      <c r="Y124" s="46"/>
      <c r="Z124" s="46"/>
      <c r="AA124" s="46"/>
      <c r="AB124" s="46"/>
      <c r="AC124" s="46"/>
      <c r="AD124" s="46"/>
      <c r="AE124" s="46"/>
    </row>
    <row r="125" ht="15.75" customHeight="1">
      <c r="A125" s="33" t="str">
        <f t="shared" si="3"/>
        <v/>
      </c>
      <c r="B125" s="40" t="str">
        <f t="shared" si="1"/>
        <v/>
      </c>
      <c r="C125" s="24"/>
      <c r="D125" s="23"/>
      <c r="E125" s="51"/>
      <c r="F125" s="51"/>
      <c r="G125" s="24"/>
      <c r="H125" s="40"/>
      <c r="I125" s="40" t="str">
        <f t="array" ref="I125">IF(G125="","",IFERROR(INDEX('Người sử dụng'!$H$5:$H$140,MATCH(G125,'Người sử dụng'!$C$5:$C$140,0)),"Chưa có trong DS"))</f>
        <v/>
      </c>
      <c r="J125" s="24"/>
      <c r="K125" s="24"/>
      <c r="L125" s="23"/>
      <c r="M125" s="24"/>
      <c r="N125" s="24"/>
      <c r="O125" s="24"/>
      <c r="P125" s="26"/>
      <c r="Q125" s="51"/>
      <c r="R125" s="46"/>
      <c r="S125" s="51"/>
      <c r="T125" s="46"/>
      <c r="U125" s="46"/>
      <c r="V125" s="46"/>
      <c r="W125" s="46"/>
      <c r="X125" s="46"/>
      <c r="Y125" s="46"/>
      <c r="Z125" s="46"/>
      <c r="AA125" s="46"/>
      <c r="AB125" s="46"/>
      <c r="AC125" s="46"/>
      <c r="AD125" s="46"/>
      <c r="AE125" s="46"/>
    </row>
    <row r="126" ht="15.75" customHeight="1">
      <c r="A126" s="33" t="str">
        <f t="shared" si="3"/>
        <v/>
      </c>
      <c r="B126" s="40" t="str">
        <f t="shared" si="1"/>
        <v/>
      </c>
      <c r="C126" s="24"/>
      <c r="D126" s="23"/>
      <c r="E126" s="51"/>
      <c r="F126" s="51"/>
      <c r="G126" s="24"/>
      <c r="H126" s="40"/>
      <c r="I126" s="40" t="str">
        <f t="array" ref="I126">IF(G126="","",IFERROR(INDEX('Người sử dụng'!$H$5:$H$140,MATCH(G126,'Người sử dụng'!$C$5:$C$140,0)),"Chưa có trong DS"))</f>
        <v/>
      </c>
      <c r="J126" s="24"/>
      <c r="K126" s="24"/>
      <c r="L126" s="23"/>
      <c r="M126" s="24"/>
      <c r="N126" s="24"/>
      <c r="O126" s="24"/>
      <c r="P126" s="26"/>
      <c r="Q126" s="51"/>
      <c r="R126" s="46"/>
      <c r="S126" s="51"/>
      <c r="T126" s="46"/>
      <c r="U126" s="46"/>
      <c r="V126" s="46"/>
      <c r="W126" s="46"/>
      <c r="X126" s="46"/>
      <c r="Y126" s="46"/>
      <c r="Z126" s="46"/>
      <c r="AA126" s="46"/>
      <c r="AB126" s="46"/>
      <c r="AC126" s="46"/>
      <c r="AD126" s="46"/>
      <c r="AE126" s="46"/>
    </row>
    <row r="127" ht="15.75" customHeight="1">
      <c r="A127" s="33" t="str">
        <f t="shared" si="3"/>
        <v/>
      </c>
      <c r="B127" s="40" t="str">
        <f t="shared" si="1"/>
        <v/>
      </c>
      <c r="C127" s="24"/>
      <c r="D127" s="23"/>
      <c r="E127" s="51"/>
      <c r="F127" s="51"/>
      <c r="G127" s="24"/>
      <c r="H127" s="40"/>
      <c r="I127" s="40" t="str">
        <f t="array" ref="I127">IF(G127="","",IFERROR(INDEX('Người sử dụng'!$H$5:$H$140,MATCH(G127,'Người sử dụng'!$C$5:$C$140,0)),"Chưa có trong DS"))</f>
        <v/>
      </c>
      <c r="J127" s="24"/>
      <c r="K127" s="24"/>
      <c r="L127" s="23"/>
      <c r="M127" s="24"/>
      <c r="N127" s="24"/>
      <c r="O127" s="24"/>
      <c r="P127" s="26"/>
      <c r="Q127" s="51"/>
      <c r="R127" s="46"/>
      <c r="S127" s="51"/>
      <c r="T127" s="46"/>
      <c r="U127" s="46"/>
      <c r="V127" s="46"/>
      <c r="W127" s="46"/>
      <c r="X127" s="46"/>
      <c r="Y127" s="46"/>
      <c r="Z127" s="46"/>
      <c r="AA127" s="46"/>
      <c r="AB127" s="46"/>
      <c r="AC127" s="46"/>
      <c r="AD127" s="46"/>
      <c r="AE127" s="46"/>
    </row>
    <row r="128" ht="15.75" customHeight="1">
      <c r="A128" s="33" t="str">
        <f t="shared" si="3"/>
        <v/>
      </c>
      <c r="B128" s="40" t="str">
        <f t="shared" si="1"/>
        <v/>
      </c>
      <c r="C128" s="24"/>
      <c r="D128" s="23"/>
      <c r="E128" s="51"/>
      <c r="F128" s="51"/>
      <c r="G128" s="24"/>
      <c r="H128" s="40"/>
      <c r="I128" s="40" t="str">
        <f t="array" ref="I128">IF(G128="","",IFERROR(INDEX('Người sử dụng'!$H$5:$H$140,MATCH(G128,'Người sử dụng'!$C$5:$C$140,0)),"Chưa có trong DS"))</f>
        <v/>
      </c>
      <c r="J128" s="24"/>
      <c r="K128" s="24"/>
      <c r="L128" s="23"/>
      <c r="M128" s="24"/>
      <c r="N128" s="24"/>
      <c r="O128" s="24"/>
      <c r="P128" s="26"/>
      <c r="Q128" s="51"/>
      <c r="R128" s="46"/>
      <c r="S128" s="51"/>
      <c r="T128" s="46"/>
      <c r="U128" s="46"/>
      <c r="V128" s="46"/>
      <c r="W128" s="46"/>
      <c r="X128" s="46"/>
      <c r="Y128" s="46"/>
      <c r="Z128" s="46"/>
      <c r="AA128" s="46"/>
      <c r="AB128" s="46"/>
      <c r="AC128" s="46"/>
      <c r="AD128" s="46"/>
      <c r="AE128" s="46"/>
    </row>
    <row r="129" ht="15.75" customHeight="1">
      <c r="A129" s="33" t="str">
        <f t="shared" si="3"/>
        <v/>
      </c>
      <c r="B129" s="40" t="str">
        <f t="shared" si="1"/>
        <v/>
      </c>
      <c r="C129" s="24"/>
      <c r="D129" s="23"/>
      <c r="E129" s="51"/>
      <c r="F129" s="51"/>
      <c r="G129" s="24"/>
      <c r="H129" s="40"/>
      <c r="I129" s="40" t="str">
        <f t="array" ref="I129">IF(G129="","",IFERROR(INDEX('Người sử dụng'!$H$5:$H$140,MATCH(G129,'Người sử dụng'!$C$5:$C$140,0)),"Chưa có trong DS"))</f>
        <v/>
      </c>
      <c r="J129" s="24"/>
      <c r="K129" s="24"/>
      <c r="L129" s="23"/>
      <c r="M129" s="24"/>
      <c r="N129" s="24"/>
      <c r="O129" s="24"/>
      <c r="P129" s="26"/>
      <c r="Q129" s="51"/>
      <c r="R129" s="46"/>
      <c r="S129" s="51"/>
      <c r="T129" s="46"/>
      <c r="U129" s="46"/>
      <c r="V129" s="46"/>
      <c r="W129" s="46"/>
      <c r="X129" s="46"/>
      <c r="Y129" s="46"/>
      <c r="Z129" s="46"/>
      <c r="AA129" s="46"/>
      <c r="AB129" s="46"/>
      <c r="AC129" s="46"/>
      <c r="AD129" s="46"/>
      <c r="AE129" s="46"/>
    </row>
    <row r="130" ht="15.75" customHeight="1">
      <c r="A130" s="33" t="str">
        <f t="shared" si="3"/>
        <v/>
      </c>
      <c r="B130" s="40" t="str">
        <f t="shared" si="1"/>
        <v/>
      </c>
      <c r="C130" s="24"/>
      <c r="D130" s="23"/>
      <c r="E130" s="51"/>
      <c r="F130" s="51"/>
      <c r="G130" s="24"/>
      <c r="H130" s="40"/>
      <c r="I130" s="40" t="str">
        <f t="array" ref="I130">IF(G130="","",IFERROR(INDEX('Người sử dụng'!$H$5:$H$140,MATCH(G130,'Người sử dụng'!$C$5:$C$140,0)),"Chưa có trong DS"))</f>
        <v/>
      </c>
      <c r="J130" s="24"/>
      <c r="K130" s="24"/>
      <c r="L130" s="23"/>
      <c r="M130" s="24"/>
      <c r="N130" s="24"/>
      <c r="O130" s="24"/>
      <c r="P130" s="26"/>
      <c r="Q130" s="51"/>
      <c r="R130" s="46"/>
      <c r="S130" s="51"/>
      <c r="T130" s="46"/>
      <c r="U130" s="46"/>
      <c r="V130" s="46"/>
      <c r="W130" s="46"/>
      <c r="X130" s="46"/>
      <c r="Y130" s="46"/>
      <c r="Z130" s="46"/>
      <c r="AA130" s="46"/>
      <c r="AB130" s="46"/>
      <c r="AC130" s="46"/>
      <c r="AD130" s="46"/>
      <c r="AE130" s="46"/>
    </row>
    <row r="131" ht="15.75" customHeight="1">
      <c r="A131" s="33" t="str">
        <f t="shared" si="3"/>
        <v/>
      </c>
      <c r="B131" s="40" t="str">
        <f t="shared" si="1"/>
        <v/>
      </c>
      <c r="C131" s="24"/>
      <c r="D131" s="23"/>
      <c r="E131" s="51"/>
      <c r="F131" s="51"/>
      <c r="G131" s="24"/>
      <c r="H131" s="40"/>
      <c r="I131" s="40" t="str">
        <f t="array" ref="I131">IF(G131="","",IFERROR(INDEX('Người sử dụng'!$H$5:$H$140,MATCH(G131,'Người sử dụng'!$C$5:$C$140,0)),"Chưa có trong DS"))</f>
        <v/>
      </c>
      <c r="J131" s="24"/>
      <c r="K131" s="24"/>
      <c r="L131" s="23"/>
      <c r="M131" s="24"/>
      <c r="N131" s="24"/>
      <c r="O131" s="24"/>
      <c r="P131" s="26"/>
      <c r="Q131" s="51"/>
      <c r="R131" s="46"/>
      <c r="S131" s="51"/>
      <c r="T131" s="46"/>
      <c r="U131" s="46"/>
      <c r="V131" s="46"/>
      <c r="W131" s="46"/>
      <c r="X131" s="46"/>
      <c r="Y131" s="46"/>
      <c r="Z131" s="46"/>
      <c r="AA131" s="46"/>
      <c r="AB131" s="46"/>
      <c r="AC131" s="46"/>
      <c r="AD131" s="46"/>
      <c r="AE131" s="46"/>
    </row>
    <row r="132" ht="15.75" customHeight="1">
      <c r="A132" s="33" t="str">
        <f t="shared" si="3"/>
        <v/>
      </c>
      <c r="B132" s="40" t="str">
        <f t="shared" si="1"/>
        <v/>
      </c>
      <c r="C132" s="24"/>
      <c r="D132" s="23"/>
      <c r="E132" s="51"/>
      <c r="F132" s="51"/>
      <c r="G132" s="24"/>
      <c r="H132" s="40"/>
      <c r="I132" s="40" t="str">
        <f t="array" ref="I132">IF(G132="","",IFERROR(INDEX('Người sử dụng'!$H$5:$H$140,MATCH(G132,'Người sử dụng'!$C$5:$C$140,0)),"Chưa có trong DS"))</f>
        <v/>
      </c>
      <c r="J132" s="24"/>
      <c r="K132" s="24"/>
      <c r="L132" s="23"/>
      <c r="M132" s="24"/>
      <c r="N132" s="24"/>
      <c r="O132" s="24"/>
      <c r="P132" s="26"/>
      <c r="Q132" s="51"/>
      <c r="R132" s="46"/>
      <c r="S132" s="51"/>
      <c r="T132" s="46"/>
      <c r="U132" s="46"/>
      <c r="V132" s="46"/>
      <c r="W132" s="46"/>
      <c r="X132" s="46"/>
      <c r="Y132" s="46"/>
      <c r="Z132" s="46"/>
      <c r="AA132" s="46"/>
      <c r="AB132" s="46"/>
      <c r="AC132" s="46"/>
      <c r="AD132" s="46"/>
      <c r="AE132" s="46"/>
    </row>
    <row r="133" ht="15.75" customHeight="1">
      <c r="A133" s="33" t="str">
        <f t="shared" si="3"/>
        <v/>
      </c>
      <c r="B133" s="40" t="str">
        <f t="shared" si="1"/>
        <v/>
      </c>
      <c r="C133" s="24"/>
      <c r="D133" s="23"/>
      <c r="E133" s="51"/>
      <c r="F133" s="51"/>
      <c r="G133" s="24"/>
      <c r="H133" s="40"/>
      <c r="I133" s="40" t="str">
        <f t="array" ref="I133">IF(G133="","",IFERROR(INDEX('Người sử dụng'!$H$5:$H$140,MATCH(G133,'Người sử dụng'!$C$5:$C$140,0)),"Chưa có trong DS"))</f>
        <v/>
      </c>
      <c r="J133" s="24"/>
      <c r="K133" s="24"/>
      <c r="L133" s="23"/>
      <c r="M133" s="24"/>
      <c r="N133" s="24"/>
      <c r="O133" s="24"/>
      <c r="P133" s="26"/>
      <c r="Q133" s="51"/>
      <c r="R133" s="46"/>
      <c r="S133" s="51"/>
      <c r="T133" s="46"/>
      <c r="U133" s="46"/>
      <c r="V133" s="46"/>
      <c r="W133" s="46"/>
      <c r="X133" s="46"/>
      <c r="Y133" s="46"/>
      <c r="Z133" s="46"/>
      <c r="AA133" s="46"/>
      <c r="AB133" s="46"/>
      <c r="AC133" s="46"/>
      <c r="AD133" s="46"/>
      <c r="AE133" s="46"/>
    </row>
    <row r="134" ht="15.75" customHeight="1">
      <c r="A134" s="33" t="str">
        <f t="shared" si="3"/>
        <v/>
      </c>
      <c r="B134" s="40" t="str">
        <f t="shared" si="1"/>
        <v/>
      </c>
      <c r="C134" s="24"/>
      <c r="D134" s="23"/>
      <c r="E134" s="51"/>
      <c r="F134" s="51"/>
      <c r="G134" s="24"/>
      <c r="H134" s="40"/>
      <c r="I134" s="40" t="str">
        <f t="array" ref="I134">IF(G134="","",IFERROR(INDEX('Người sử dụng'!$H$5:$H$140,MATCH(G134,'Người sử dụng'!$C$5:$C$140,0)),"Chưa có trong DS"))</f>
        <v/>
      </c>
      <c r="J134" s="24"/>
      <c r="K134" s="24"/>
      <c r="L134" s="23"/>
      <c r="M134" s="24"/>
      <c r="N134" s="24"/>
      <c r="O134" s="24"/>
      <c r="P134" s="26"/>
      <c r="Q134" s="51"/>
      <c r="R134" s="46"/>
      <c r="S134" s="51"/>
      <c r="T134" s="46"/>
      <c r="U134" s="46"/>
      <c r="V134" s="46"/>
      <c r="W134" s="46"/>
      <c r="X134" s="46"/>
      <c r="Y134" s="46"/>
      <c r="Z134" s="46"/>
      <c r="AA134" s="46"/>
      <c r="AB134" s="46"/>
      <c r="AC134" s="46"/>
      <c r="AD134" s="46"/>
      <c r="AE134" s="46"/>
    </row>
    <row r="135" ht="15.75" customHeight="1">
      <c r="A135" s="33" t="str">
        <f t="shared" si="3"/>
        <v/>
      </c>
      <c r="B135" s="40" t="str">
        <f t="shared" si="1"/>
        <v/>
      </c>
      <c r="C135" s="24"/>
      <c r="D135" s="23"/>
      <c r="E135" s="51"/>
      <c r="F135" s="51"/>
      <c r="G135" s="24"/>
      <c r="H135" s="40"/>
      <c r="I135" s="40" t="str">
        <f t="array" ref="I135">IF(G135="","",IFERROR(INDEX('Người sử dụng'!$H$5:$H$140,MATCH(G135,'Người sử dụng'!$C$5:$C$140,0)),"Chưa có trong DS"))</f>
        <v/>
      </c>
      <c r="J135" s="24"/>
      <c r="K135" s="24"/>
      <c r="L135" s="23"/>
      <c r="M135" s="24"/>
      <c r="N135" s="24"/>
      <c r="O135" s="24"/>
      <c r="P135" s="26"/>
      <c r="Q135" s="51"/>
      <c r="R135" s="46"/>
      <c r="S135" s="51"/>
      <c r="T135" s="46"/>
      <c r="U135" s="46"/>
      <c r="V135" s="46"/>
      <c r="W135" s="46"/>
      <c r="X135" s="46"/>
      <c r="Y135" s="46"/>
      <c r="Z135" s="46"/>
      <c r="AA135" s="46"/>
      <c r="AB135" s="46"/>
      <c r="AC135" s="46"/>
      <c r="AD135" s="46"/>
      <c r="AE135" s="46"/>
    </row>
    <row r="136" ht="15.75" customHeight="1">
      <c r="A136" s="33" t="str">
        <f t="shared" si="3"/>
        <v/>
      </c>
      <c r="B136" s="40" t="str">
        <f t="shared" si="1"/>
        <v/>
      </c>
      <c r="C136" s="24"/>
      <c r="D136" s="23"/>
      <c r="E136" s="51"/>
      <c r="F136" s="51"/>
      <c r="G136" s="24"/>
      <c r="H136" s="40"/>
      <c r="I136" s="40" t="str">
        <f t="array" ref="I136">IF(G136="","",IFERROR(INDEX('Người sử dụng'!$H$5:$H$140,MATCH(G136,'Người sử dụng'!$C$5:$C$140,0)),"Chưa có trong DS"))</f>
        <v/>
      </c>
      <c r="J136" s="24"/>
      <c r="K136" s="24"/>
      <c r="L136" s="23"/>
      <c r="M136" s="24"/>
      <c r="N136" s="24"/>
      <c r="O136" s="24"/>
      <c r="P136" s="26"/>
      <c r="Q136" s="51"/>
      <c r="R136" s="46"/>
      <c r="S136" s="51"/>
      <c r="T136" s="46"/>
      <c r="U136" s="46"/>
      <c r="V136" s="46"/>
      <c r="W136" s="46"/>
      <c r="X136" s="46"/>
      <c r="Y136" s="46"/>
      <c r="Z136" s="46"/>
      <c r="AA136" s="46"/>
      <c r="AB136" s="46"/>
      <c r="AC136" s="46"/>
      <c r="AD136" s="46"/>
      <c r="AE136" s="46"/>
    </row>
    <row r="137" ht="15.75" customHeight="1">
      <c r="A137" s="33" t="str">
        <f t="shared" si="3"/>
        <v/>
      </c>
      <c r="B137" s="40" t="str">
        <f t="shared" si="1"/>
        <v/>
      </c>
      <c r="C137" s="24"/>
      <c r="D137" s="23"/>
      <c r="E137" s="51"/>
      <c r="F137" s="51"/>
      <c r="G137" s="24"/>
      <c r="H137" s="40"/>
      <c r="I137" s="40" t="str">
        <f t="array" ref="I137">IF(G137="","",IFERROR(INDEX('Người sử dụng'!$H$5:$H$140,MATCH(G137,'Người sử dụng'!$C$5:$C$140,0)),"Chưa có trong DS"))</f>
        <v/>
      </c>
      <c r="J137" s="24"/>
      <c r="K137" s="24"/>
      <c r="L137" s="23"/>
      <c r="M137" s="24"/>
      <c r="N137" s="24"/>
      <c r="O137" s="24"/>
      <c r="P137" s="26"/>
      <c r="Q137" s="51"/>
      <c r="R137" s="46"/>
      <c r="S137" s="51"/>
      <c r="T137" s="46"/>
      <c r="U137" s="46"/>
      <c r="V137" s="46"/>
      <c r="W137" s="46"/>
      <c r="X137" s="46"/>
      <c r="Y137" s="46"/>
      <c r="Z137" s="46"/>
      <c r="AA137" s="46"/>
      <c r="AB137" s="46"/>
      <c r="AC137" s="46"/>
      <c r="AD137" s="46"/>
      <c r="AE137" s="46"/>
    </row>
    <row r="138" ht="15.75" customHeight="1">
      <c r="A138" s="33" t="str">
        <f t="shared" si="3"/>
        <v/>
      </c>
      <c r="B138" s="40" t="str">
        <f t="shared" si="1"/>
        <v/>
      </c>
      <c r="C138" s="24"/>
      <c r="D138" s="23"/>
      <c r="E138" s="51"/>
      <c r="F138" s="51"/>
      <c r="G138" s="24"/>
      <c r="H138" s="40"/>
      <c r="I138" s="40" t="str">
        <f t="array" ref="I138">IF(G138="","",IFERROR(INDEX('Người sử dụng'!$H$5:$H$140,MATCH(G138,'Người sử dụng'!$C$5:$C$140,0)),"Chưa có trong DS"))</f>
        <v/>
      </c>
      <c r="J138" s="24"/>
      <c r="K138" s="24"/>
      <c r="L138" s="23"/>
      <c r="M138" s="24"/>
      <c r="N138" s="24"/>
      <c r="O138" s="24"/>
      <c r="P138" s="26"/>
      <c r="Q138" s="51"/>
      <c r="R138" s="46"/>
      <c r="S138" s="51"/>
      <c r="T138" s="46"/>
      <c r="U138" s="46"/>
      <c r="V138" s="46"/>
      <c r="W138" s="46"/>
      <c r="X138" s="46"/>
      <c r="Y138" s="46"/>
      <c r="Z138" s="46"/>
      <c r="AA138" s="46"/>
      <c r="AB138" s="46"/>
      <c r="AC138" s="46"/>
      <c r="AD138" s="46"/>
      <c r="AE138" s="46"/>
    </row>
    <row r="139" ht="15.75" customHeight="1">
      <c r="A139" s="33" t="str">
        <f t="shared" si="3"/>
        <v/>
      </c>
      <c r="B139" s="40" t="str">
        <f t="shared" si="1"/>
        <v/>
      </c>
      <c r="C139" s="24"/>
      <c r="D139" s="23"/>
      <c r="E139" s="51"/>
      <c r="F139" s="51"/>
      <c r="G139" s="24"/>
      <c r="H139" s="40"/>
      <c r="I139" s="40" t="str">
        <f t="array" ref="I139">IF(G139="","",IFERROR(INDEX('Người sử dụng'!$H$5:$H$140,MATCH(G139,'Người sử dụng'!$C$5:$C$140,0)),"Chưa có trong DS"))</f>
        <v/>
      </c>
      <c r="J139" s="24"/>
      <c r="K139" s="24"/>
      <c r="L139" s="23"/>
      <c r="M139" s="24"/>
      <c r="N139" s="24"/>
      <c r="O139" s="24"/>
      <c r="P139" s="26"/>
      <c r="Q139" s="51"/>
      <c r="R139" s="46"/>
      <c r="S139" s="51"/>
      <c r="T139" s="46"/>
      <c r="U139" s="46"/>
      <c r="V139" s="46"/>
      <c r="W139" s="46"/>
      <c r="X139" s="46"/>
      <c r="Y139" s="46"/>
      <c r="Z139" s="46"/>
      <c r="AA139" s="46"/>
      <c r="AB139" s="46"/>
      <c r="AC139" s="46"/>
      <c r="AD139" s="46"/>
      <c r="AE139" s="46"/>
    </row>
    <row r="140" ht="15.75" customHeight="1">
      <c r="A140" s="33" t="str">
        <f t="shared" si="3"/>
        <v/>
      </c>
      <c r="B140" s="40" t="str">
        <f t="shared" si="1"/>
        <v/>
      </c>
      <c r="C140" s="24"/>
      <c r="D140" s="23"/>
      <c r="E140" s="51"/>
      <c r="F140" s="51"/>
      <c r="G140" s="24"/>
      <c r="H140" s="40"/>
      <c r="I140" s="40" t="str">
        <f t="array" ref="I140">IF(G140="","",IFERROR(INDEX('Người sử dụng'!$H$5:$H$140,MATCH(G140,'Người sử dụng'!$C$5:$C$140,0)),"Chưa có trong DS"))</f>
        <v/>
      </c>
      <c r="J140" s="24"/>
      <c r="K140" s="24"/>
      <c r="L140" s="23"/>
      <c r="M140" s="24"/>
      <c r="N140" s="24"/>
      <c r="O140" s="24"/>
      <c r="P140" s="26"/>
      <c r="Q140" s="51"/>
      <c r="R140" s="46"/>
      <c r="S140" s="51"/>
      <c r="T140" s="46"/>
      <c r="U140" s="46"/>
      <c r="V140" s="46"/>
      <c r="W140" s="46"/>
      <c r="X140" s="46"/>
      <c r="Y140" s="46"/>
      <c r="Z140" s="46"/>
      <c r="AA140" s="46"/>
      <c r="AB140" s="46"/>
      <c r="AC140" s="46"/>
      <c r="AD140" s="46"/>
      <c r="AE140" s="46"/>
    </row>
    <row r="141" ht="15.75" customHeight="1">
      <c r="A141" s="33" t="str">
        <f t="shared" si="3"/>
        <v/>
      </c>
      <c r="B141" s="40" t="str">
        <f t="shared" si="1"/>
        <v/>
      </c>
      <c r="C141" s="24"/>
      <c r="D141" s="23"/>
      <c r="E141" s="51"/>
      <c r="F141" s="51"/>
      <c r="G141" s="24"/>
      <c r="H141" s="40"/>
      <c r="I141" s="40" t="str">
        <f t="array" ref="I141">IF(G141="","",IFERROR(INDEX('Người sử dụng'!$H$5:$H$140,MATCH(G141,'Người sử dụng'!$C$5:$C$140,0)),"Chưa có trong DS"))</f>
        <v/>
      </c>
      <c r="J141" s="24"/>
      <c r="K141" s="24"/>
      <c r="L141" s="23"/>
      <c r="M141" s="24"/>
      <c r="N141" s="24"/>
      <c r="O141" s="24"/>
      <c r="P141" s="26"/>
      <c r="Q141" s="51"/>
      <c r="R141" s="46"/>
      <c r="S141" s="51"/>
      <c r="T141" s="46"/>
      <c r="U141" s="46"/>
      <c r="V141" s="46"/>
      <c r="W141" s="46"/>
      <c r="X141" s="46"/>
      <c r="Y141" s="46"/>
      <c r="Z141" s="46"/>
      <c r="AA141" s="46"/>
      <c r="AB141" s="46"/>
      <c r="AC141" s="46"/>
      <c r="AD141" s="46"/>
      <c r="AE141" s="46"/>
    </row>
    <row r="142" ht="15.75" customHeight="1">
      <c r="A142" s="33" t="str">
        <f t="shared" si="3"/>
        <v/>
      </c>
      <c r="B142" s="40" t="str">
        <f t="shared" si="1"/>
        <v/>
      </c>
      <c r="C142" s="24"/>
      <c r="D142" s="23"/>
      <c r="E142" s="51"/>
      <c r="F142" s="51"/>
      <c r="G142" s="24"/>
      <c r="H142" s="40"/>
      <c r="I142" s="40" t="str">
        <f t="array" ref="I142">IF(G142="","",IFERROR(INDEX('Người sử dụng'!$H$5:$H$140,MATCH(G142,'Người sử dụng'!$C$5:$C$140,0)),"Chưa có trong DS"))</f>
        <v/>
      </c>
      <c r="J142" s="24"/>
      <c r="K142" s="24"/>
      <c r="L142" s="23"/>
      <c r="M142" s="24"/>
      <c r="N142" s="24"/>
      <c r="O142" s="24"/>
      <c r="P142" s="26"/>
      <c r="Q142" s="51"/>
      <c r="R142" s="46"/>
      <c r="S142" s="51"/>
      <c r="T142" s="46"/>
      <c r="U142" s="46"/>
      <c r="V142" s="46"/>
      <c r="W142" s="46"/>
      <c r="X142" s="46"/>
      <c r="Y142" s="46"/>
      <c r="Z142" s="46"/>
      <c r="AA142" s="46"/>
      <c r="AB142" s="46"/>
      <c r="AC142" s="46"/>
      <c r="AD142" s="46"/>
      <c r="AE142" s="46"/>
    </row>
    <row r="143" ht="15.75" customHeight="1">
      <c r="A143" s="33" t="str">
        <f t="shared" si="3"/>
        <v/>
      </c>
      <c r="B143" s="40" t="str">
        <f t="shared" si="1"/>
        <v/>
      </c>
      <c r="C143" s="24"/>
      <c r="D143" s="23"/>
      <c r="E143" s="51"/>
      <c r="F143" s="51"/>
      <c r="G143" s="24"/>
      <c r="H143" s="40"/>
      <c r="I143" s="40" t="str">
        <f t="array" ref="I143">IF(G143="","",IFERROR(INDEX('Người sử dụng'!$H$5:$H$140,MATCH(G143,'Người sử dụng'!$C$5:$C$140,0)),"Chưa có trong DS"))</f>
        <v/>
      </c>
      <c r="J143" s="24"/>
      <c r="K143" s="24"/>
      <c r="L143" s="23"/>
      <c r="M143" s="24"/>
      <c r="N143" s="24"/>
      <c r="O143" s="24"/>
      <c r="P143" s="26"/>
      <c r="Q143" s="51"/>
      <c r="R143" s="46"/>
      <c r="S143" s="51"/>
      <c r="T143" s="46"/>
      <c r="U143" s="46"/>
      <c r="V143" s="46"/>
      <c r="W143" s="46"/>
      <c r="X143" s="46"/>
      <c r="Y143" s="46"/>
      <c r="Z143" s="46"/>
      <c r="AA143" s="46"/>
      <c r="AB143" s="46"/>
      <c r="AC143" s="46"/>
      <c r="AD143" s="46"/>
      <c r="AE143" s="46"/>
    </row>
    <row r="144" ht="15.75" customHeight="1">
      <c r="A144" s="33" t="str">
        <f t="shared" si="3"/>
        <v/>
      </c>
      <c r="B144" s="40" t="str">
        <f t="shared" si="1"/>
        <v/>
      </c>
      <c r="C144" s="24"/>
      <c r="D144" s="23"/>
      <c r="E144" s="51"/>
      <c r="F144" s="51"/>
      <c r="G144" s="24"/>
      <c r="H144" s="40"/>
      <c r="I144" s="40" t="str">
        <f t="array" ref="I144">IF(G144="","",IFERROR(INDEX('Người sử dụng'!$H$5:$H$140,MATCH(G144,'Người sử dụng'!$C$5:$C$140,0)),"Chưa có trong DS"))</f>
        <v/>
      </c>
      <c r="J144" s="24"/>
      <c r="K144" s="24"/>
      <c r="L144" s="23"/>
      <c r="M144" s="24"/>
      <c r="N144" s="24"/>
      <c r="O144" s="24"/>
      <c r="P144" s="26"/>
      <c r="Q144" s="51"/>
      <c r="R144" s="46"/>
      <c r="S144" s="51"/>
      <c r="T144" s="46"/>
      <c r="U144" s="46"/>
      <c r="V144" s="46"/>
      <c r="W144" s="46"/>
      <c r="X144" s="46"/>
      <c r="Y144" s="46"/>
      <c r="Z144" s="46"/>
      <c r="AA144" s="46"/>
      <c r="AB144" s="46"/>
      <c r="AC144" s="46"/>
      <c r="AD144" s="46"/>
      <c r="AE144" s="46"/>
    </row>
    <row r="145" ht="15.75" customHeight="1">
      <c r="A145" s="33" t="str">
        <f t="shared" si="3"/>
        <v/>
      </c>
      <c r="B145" s="40" t="str">
        <f t="shared" si="1"/>
        <v/>
      </c>
      <c r="C145" s="24"/>
      <c r="D145" s="23"/>
      <c r="E145" s="51"/>
      <c r="F145" s="51"/>
      <c r="G145" s="24"/>
      <c r="H145" s="40"/>
      <c r="I145" s="40" t="str">
        <f t="array" ref="I145">IF(G145="","",IFERROR(INDEX('Người sử dụng'!$H$5:$H$140,MATCH(G145,'Người sử dụng'!$C$5:$C$140,0)),"Chưa có trong DS"))</f>
        <v/>
      </c>
      <c r="J145" s="24"/>
      <c r="K145" s="24"/>
      <c r="L145" s="23"/>
      <c r="M145" s="24"/>
      <c r="N145" s="24"/>
      <c r="O145" s="24"/>
      <c r="P145" s="26"/>
      <c r="Q145" s="51"/>
      <c r="R145" s="46"/>
      <c r="S145" s="51"/>
      <c r="T145" s="46"/>
      <c r="U145" s="46"/>
      <c r="V145" s="46"/>
      <c r="W145" s="46"/>
      <c r="X145" s="46"/>
      <c r="Y145" s="46"/>
      <c r="Z145" s="46"/>
      <c r="AA145" s="46"/>
      <c r="AB145" s="46"/>
      <c r="AC145" s="46"/>
      <c r="AD145" s="46"/>
      <c r="AE145" s="46"/>
    </row>
    <row r="146" ht="15.75" customHeight="1">
      <c r="A146" s="33" t="str">
        <f t="shared" si="3"/>
        <v/>
      </c>
      <c r="B146" s="40" t="str">
        <f t="shared" si="1"/>
        <v/>
      </c>
      <c r="C146" s="24"/>
      <c r="D146" s="23"/>
      <c r="E146" s="51"/>
      <c r="F146" s="51"/>
      <c r="G146" s="24"/>
      <c r="H146" s="40"/>
      <c r="I146" s="40" t="str">
        <f t="array" ref="I146">IF(G146="","",IFERROR(INDEX('Người sử dụng'!$H$5:$H$140,MATCH(G146,'Người sử dụng'!$C$5:$C$140,0)),"Chưa có trong DS"))</f>
        <v/>
      </c>
      <c r="J146" s="24"/>
      <c r="K146" s="24"/>
      <c r="L146" s="23"/>
      <c r="M146" s="24"/>
      <c r="N146" s="24"/>
      <c r="O146" s="24"/>
      <c r="P146" s="26"/>
      <c r="Q146" s="51"/>
      <c r="R146" s="46"/>
      <c r="S146" s="51"/>
      <c r="T146" s="46"/>
      <c r="U146" s="46"/>
      <c r="V146" s="46"/>
      <c r="W146" s="46"/>
      <c r="X146" s="46"/>
      <c r="Y146" s="46"/>
      <c r="Z146" s="46"/>
      <c r="AA146" s="46"/>
      <c r="AB146" s="46"/>
      <c r="AC146" s="46"/>
      <c r="AD146" s="46"/>
      <c r="AE146" s="46"/>
    </row>
    <row r="147" ht="15.75" customHeight="1">
      <c r="A147" s="33" t="str">
        <f t="shared" si="3"/>
        <v/>
      </c>
      <c r="B147" s="40" t="str">
        <f t="shared" si="1"/>
        <v/>
      </c>
      <c r="C147" s="24"/>
      <c r="D147" s="23"/>
      <c r="E147" s="51"/>
      <c r="F147" s="51"/>
      <c r="G147" s="24"/>
      <c r="H147" s="40"/>
      <c r="I147" s="40" t="str">
        <f t="array" ref="I147">IF(G147="","",IFERROR(INDEX('Người sử dụng'!$H$5:$H$140,MATCH(G147,'Người sử dụng'!$C$5:$C$140,0)),"Chưa có trong DS"))</f>
        <v/>
      </c>
      <c r="J147" s="24"/>
      <c r="K147" s="24"/>
      <c r="L147" s="23"/>
      <c r="M147" s="24"/>
      <c r="N147" s="24"/>
      <c r="O147" s="24"/>
      <c r="P147" s="26"/>
      <c r="Q147" s="51"/>
      <c r="R147" s="46"/>
      <c r="S147" s="51"/>
      <c r="T147" s="46"/>
      <c r="U147" s="46"/>
      <c r="V147" s="46"/>
      <c r="W147" s="46"/>
      <c r="X147" s="46"/>
      <c r="Y147" s="46"/>
      <c r="Z147" s="46"/>
      <c r="AA147" s="46"/>
      <c r="AB147" s="46"/>
      <c r="AC147" s="46"/>
      <c r="AD147" s="46"/>
      <c r="AE147" s="46"/>
    </row>
    <row r="148" ht="15.75" customHeight="1">
      <c r="A148" s="33" t="str">
        <f t="shared" si="3"/>
        <v/>
      </c>
      <c r="B148" s="40" t="str">
        <f t="shared" si="1"/>
        <v/>
      </c>
      <c r="C148" s="24"/>
      <c r="D148" s="23"/>
      <c r="E148" s="51"/>
      <c r="F148" s="51"/>
      <c r="G148" s="24"/>
      <c r="H148" s="40"/>
      <c r="I148" s="40" t="str">
        <f t="array" ref="I148">IF(G148="","",IFERROR(INDEX('Người sử dụng'!$H$5:$H$140,MATCH(G148,'Người sử dụng'!$C$5:$C$140,0)),"Chưa có trong DS"))</f>
        <v/>
      </c>
      <c r="J148" s="24"/>
      <c r="K148" s="24"/>
      <c r="L148" s="23"/>
      <c r="M148" s="24"/>
      <c r="N148" s="24"/>
      <c r="O148" s="24"/>
      <c r="P148" s="26"/>
      <c r="Q148" s="51"/>
      <c r="R148" s="46"/>
      <c r="S148" s="51"/>
      <c r="T148" s="46"/>
      <c r="U148" s="46"/>
      <c r="V148" s="46"/>
      <c r="W148" s="46"/>
      <c r="X148" s="46"/>
      <c r="Y148" s="46"/>
      <c r="Z148" s="46"/>
      <c r="AA148" s="46"/>
      <c r="AB148" s="46"/>
      <c r="AC148" s="46"/>
      <c r="AD148" s="46"/>
      <c r="AE148" s="46"/>
    </row>
    <row r="149" ht="15.75" customHeight="1">
      <c r="A149" s="33" t="str">
        <f t="shared" si="3"/>
        <v/>
      </c>
      <c r="B149" s="40" t="str">
        <f t="shared" si="1"/>
        <v/>
      </c>
      <c r="C149" s="24"/>
      <c r="D149" s="23"/>
      <c r="E149" s="51"/>
      <c r="F149" s="51"/>
      <c r="G149" s="24"/>
      <c r="H149" s="40"/>
      <c r="I149" s="40" t="str">
        <f t="array" ref="I149">IF(G149="","",IFERROR(INDEX('Người sử dụng'!$H$5:$H$140,MATCH(G149,'Người sử dụng'!$C$5:$C$140,0)),"Chưa có trong DS"))</f>
        <v/>
      </c>
      <c r="J149" s="24"/>
      <c r="K149" s="24"/>
      <c r="L149" s="23"/>
      <c r="M149" s="24"/>
      <c r="N149" s="24"/>
      <c r="O149" s="24"/>
      <c r="P149" s="26"/>
      <c r="Q149" s="51"/>
      <c r="R149" s="46"/>
      <c r="S149" s="51"/>
      <c r="T149" s="46"/>
      <c r="U149" s="46"/>
      <c r="V149" s="46"/>
      <c r="W149" s="46"/>
      <c r="X149" s="46"/>
      <c r="Y149" s="46"/>
      <c r="Z149" s="46"/>
      <c r="AA149" s="46"/>
      <c r="AB149" s="46"/>
      <c r="AC149" s="46"/>
      <c r="AD149" s="46"/>
      <c r="AE149" s="46"/>
    </row>
    <row r="150" ht="15.75" customHeight="1">
      <c r="A150" s="33" t="str">
        <f t="shared" si="3"/>
        <v/>
      </c>
      <c r="B150" s="40" t="str">
        <f t="shared" si="1"/>
        <v/>
      </c>
      <c r="C150" s="24"/>
      <c r="D150" s="23"/>
      <c r="E150" s="51"/>
      <c r="F150" s="51"/>
      <c r="G150" s="24"/>
      <c r="H150" s="40"/>
      <c r="I150" s="40" t="str">
        <f t="array" ref="I150">IF(G150="","",IFERROR(INDEX('Người sử dụng'!$H$5:$H$140,MATCH(G150,'Người sử dụng'!$C$5:$C$140,0)),"Chưa có trong DS"))</f>
        <v/>
      </c>
      <c r="J150" s="24"/>
      <c r="K150" s="24"/>
      <c r="L150" s="23"/>
      <c r="M150" s="24"/>
      <c r="N150" s="24"/>
      <c r="O150" s="24"/>
      <c r="P150" s="26"/>
      <c r="Q150" s="51"/>
      <c r="R150" s="46"/>
      <c r="S150" s="51"/>
      <c r="T150" s="46"/>
      <c r="U150" s="46"/>
      <c r="V150" s="46"/>
      <c r="W150" s="46"/>
      <c r="X150" s="46"/>
      <c r="Y150" s="46"/>
      <c r="Z150" s="46"/>
      <c r="AA150" s="46"/>
      <c r="AB150" s="46"/>
      <c r="AC150" s="46"/>
      <c r="AD150" s="46"/>
      <c r="AE150" s="46"/>
    </row>
    <row r="151" ht="15.75" customHeight="1">
      <c r="A151" s="33" t="str">
        <f t="shared" si="3"/>
        <v/>
      </c>
      <c r="B151" s="40" t="str">
        <f t="shared" si="1"/>
        <v/>
      </c>
      <c r="C151" s="24"/>
      <c r="D151" s="23"/>
      <c r="E151" s="51"/>
      <c r="F151" s="51"/>
      <c r="G151" s="24"/>
      <c r="H151" s="40"/>
      <c r="I151" s="40" t="str">
        <f t="array" ref="I151">IF(G151="","",IFERROR(INDEX('Người sử dụng'!$H$5:$H$140,MATCH(G151,'Người sử dụng'!$C$5:$C$140,0)),"Chưa có trong DS"))</f>
        <v/>
      </c>
      <c r="J151" s="24"/>
      <c r="K151" s="24"/>
      <c r="L151" s="23"/>
      <c r="M151" s="24"/>
      <c r="N151" s="24"/>
      <c r="O151" s="24"/>
      <c r="P151" s="26"/>
      <c r="Q151" s="51"/>
      <c r="R151" s="46"/>
      <c r="S151" s="51"/>
      <c r="T151" s="46"/>
      <c r="U151" s="46"/>
      <c r="V151" s="46"/>
      <c r="W151" s="46"/>
      <c r="X151" s="46"/>
      <c r="Y151" s="46"/>
      <c r="Z151" s="46"/>
      <c r="AA151" s="46"/>
      <c r="AB151" s="46"/>
      <c r="AC151" s="46"/>
      <c r="AD151" s="46"/>
      <c r="AE151" s="46"/>
    </row>
    <row r="152" ht="15.75" customHeight="1">
      <c r="A152" s="33" t="str">
        <f t="shared" si="3"/>
        <v/>
      </c>
      <c r="B152" s="40" t="str">
        <f t="shared" si="1"/>
        <v/>
      </c>
      <c r="C152" s="24"/>
      <c r="D152" s="23"/>
      <c r="E152" s="51"/>
      <c r="F152" s="51"/>
      <c r="G152" s="24"/>
      <c r="H152" s="40"/>
      <c r="I152" s="40" t="str">
        <f t="array" ref="I152">IF(G152="","",IFERROR(INDEX('Người sử dụng'!$H$5:$H$140,MATCH(G152,'Người sử dụng'!$C$5:$C$140,0)),"Chưa có trong DS"))</f>
        <v/>
      </c>
      <c r="J152" s="24"/>
      <c r="K152" s="24"/>
      <c r="L152" s="23"/>
      <c r="M152" s="24"/>
      <c r="N152" s="24"/>
      <c r="O152" s="24"/>
      <c r="P152" s="26"/>
      <c r="Q152" s="51"/>
      <c r="R152" s="46"/>
      <c r="S152" s="51"/>
      <c r="T152" s="46"/>
      <c r="U152" s="46"/>
      <c r="V152" s="46"/>
      <c r="W152" s="46"/>
      <c r="X152" s="46"/>
      <c r="Y152" s="46"/>
      <c r="Z152" s="46"/>
      <c r="AA152" s="46"/>
      <c r="AB152" s="46"/>
      <c r="AC152" s="46"/>
      <c r="AD152" s="46"/>
      <c r="AE152" s="46"/>
    </row>
    <row r="153" ht="15.75" customHeight="1">
      <c r="A153" s="33" t="str">
        <f t="shared" si="3"/>
        <v/>
      </c>
      <c r="B153" s="40" t="str">
        <f t="shared" si="1"/>
        <v/>
      </c>
      <c r="C153" s="24"/>
      <c r="D153" s="23"/>
      <c r="E153" s="51"/>
      <c r="F153" s="51"/>
      <c r="G153" s="24"/>
      <c r="H153" s="40"/>
      <c r="I153" s="40" t="str">
        <f t="array" ref="I153">IF(G153="","",IFERROR(INDEX('Người sử dụng'!$H$5:$H$140,MATCH(G153,'Người sử dụng'!$C$5:$C$140,0)),"Chưa có trong DS"))</f>
        <v/>
      </c>
      <c r="J153" s="24"/>
      <c r="K153" s="24"/>
      <c r="L153" s="23"/>
      <c r="M153" s="24"/>
      <c r="N153" s="24"/>
      <c r="O153" s="24"/>
      <c r="P153" s="26"/>
      <c r="Q153" s="51"/>
      <c r="R153" s="46"/>
      <c r="S153" s="51"/>
      <c r="T153" s="46"/>
      <c r="U153" s="46"/>
      <c r="V153" s="46"/>
      <c r="W153" s="46"/>
      <c r="X153" s="46"/>
      <c r="Y153" s="46"/>
      <c r="Z153" s="46"/>
      <c r="AA153" s="46"/>
      <c r="AB153" s="46"/>
      <c r="AC153" s="46"/>
      <c r="AD153" s="46"/>
      <c r="AE153" s="46"/>
    </row>
    <row r="154" ht="15.75" customHeight="1">
      <c r="A154" s="33" t="str">
        <f t="shared" si="3"/>
        <v/>
      </c>
      <c r="B154" s="40" t="str">
        <f t="shared" si="1"/>
        <v/>
      </c>
      <c r="C154" s="24"/>
      <c r="D154" s="23"/>
      <c r="E154" s="51"/>
      <c r="F154" s="51"/>
      <c r="G154" s="24"/>
      <c r="H154" s="40"/>
      <c r="I154" s="40" t="str">
        <f t="array" ref="I154">IF(G154="","",IFERROR(INDEX('Người sử dụng'!$H$5:$H$140,MATCH(G154,'Người sử dụng'!$C$5:$C$140,0)),"Chưa có trong DS"))</f>
        <v/>
      </c>
      <c r="J154" s="24"/>
      <c r="K154" s="24"/>
      <c r="L154" s="23"/>
      <c r="M154" s="24"/>
      <c r="N154" s="24"/>
      <c r="O154" s="24"/>
      <c r="P154" s="26"/>
      <c r="Q154" s="51"/>
      <c r="R154" s="46"/>
      <c r="S154" s="51"/>
      <c r="T154" s="46"/>
      <c r="U154" s="46"/>
      <c r="V154" s="46"/>
      <c r="W154" s="46"/>
      <c r="X154" s="46"/>
      <c r="Y154" s="46"/>
      <c r="Z154" s="46"/>
      <c r="AA154" s="46"/>
      <c r="AB154" s="46"/>
      <c r="AC154" s="46"/>
      <c r="AD154" s="46"/>
      <c r="AE154" s="46"/>
    </row>
    <row r="155" ht="15.75" customHeight="1">
      <c r="A155" s="33" t="str">
        <f t="shared" si="3"/>
        <v/>
      </c>
      <c r="B155" s="40" t="str">
        <f t="shared" si="1"/>
        <v/>
      </c>
      <c r="C155" s="24"/>
      <c r="D155" s="23"/>
      <c r="E155" s="51"/>
      <c r="F155" s="51"/>
      <c r="G155" s="24"/>
      <c r="H155" s="40"/>
      <c r="I155" s="40" t="str">
        <f t="array" ref="I155">IF(G155="","",IFERROR(INDEX('Người sử dụng'!$H$5:$H$140,MATCH(G155,'Người sử dụng'!$C$5:$C$140,0)),"Chưa có trong DS"))</f>
        <v/>
      </c>
      <c r="J155" s="24"/>
      <c r="K155" s="24"/>
      <c r="L155" s="23"/>
      <c r="M155" s="24"/>
      <c r="N155" s="24"/>
      <c r="O155" s="24"/>
      <c r="P155" s="26"/>
      <c r="Q155" s="51"/>
      <c r="R155" s="46"/>
      <c r="S155" s="51"/>
      <c r="T155" s="46"/>
      <c r="U155" s="46"/>
      <c r="V155" s="46"/>
      <c r="W155" s="46"/>
      <c r="X155" s="46"/>
      <c r="Y155" s="46"/>
      <c r="Z155" s="46"/>
      <c r="AA155" s="46"/>
      <c r="AB155" s="46"/>
      <c r="AC155" s="46"/>
      <c r="AD155" s="46"/>
      <c r="AE155" s="46"/>
    </row>
    <row r="156" ht="15.75" customHeight="1">
      <c r="A156" s="33" t="str">
        <f t="shared" si="3"/>
        <v/>
      </c>
      <c r="B156" s="40" t="str">
        <f t="shared" si="1"/>
        <v/>
      </c>
      <c r="C156" s="24"/>
      <c r="D156" s="23"/>
      <c r="E156" s="51"/>
      <c r="F156" s="51"/>
      <c r="G156" s="24"/>
      <c r="H156" s="40"/>
      <c r="I156" s="40" t="str">
        <f t="array" ref="I156">IF(G156="","",IFERROR(INDEX('Người sử dụng'!$H$5:$H$140,MATCH(G156,'Người sử dụng'!$C$5:$C$140,0)),"Chưa có trong DS"))</f>
        <v/>
      </c>
      <c r="J156" s="24"/>
      <c r="K156" s="24"/>
      <c r="L156" s="23"/>
      <c r="M156" s="24"/>
      <c r="N156" s="24"/>
      <c r="O156" s="24"/>
      <c r="P156" s="26"/>
      <c r="Q156" s="51"/>
      <c r="R156" s="46"/>
      <c r="S156" s="51"/>
      <c r="T156" s="46"/>
      <c r="U156" s="46"/>
      <c r="V156" s="46"/>
      <c r="W156" s="46"/>
      <c r="X156" s="46"/>
      <c r="Y156" s="46"/>
      <c r="Z156" s="46"/>
      <c r="AA156" s="46"/>
      <c r="AB156" s="46"/>
      <c r="AC156" s="46"/>
      <c r="AD156" s="46"/>
      <c r="AE156" s="46"/>
    </row>
    <row r="157" ht="15.75" customHeight="1">
      <c r="A157" s="33" t="str">
        <f t="shared" si="3"/>
        <v/>
      </c>
      <c r="B157" s="40" t="str">
        <f t="shared" si="1"/>
        <v/>
      </c>
      <c r="C157" s="24"/>
      <c r="D157" s="23"/>
      <c r="E157" s="51"/>
      <c r="F157" s="51"/>
      <c r="G157" s="24"/>
      <c r="H157" s="40"/>
      <c r="I157" s="40" t="str">
        <f t="array" ref="I157">IF(G157="","",IFERROR(INDEX('Người sử dụng'!$H$5:$H$140,MATCH(G157,'Người sử dụng'!$C$5:$C$140,0)),"Chưa có trong DS"))</f>
        <v/>
      </c>
      <c r="J157" s="24"/>
      <c r="K157" s="24"/>
      <c r="L157" s="23"/>
      <c r="M157" s="24"/>
      <c r="N157" s="24"/>
      <c r="O157" s="24"/>
      <c r="P157" s="26"/>
      <c r="Q157" s="51"/>
      <c r="R157" s="46"/>
      <c r="S157" s="51"/>
      <c r="T157" s="46"/>
      <c r="U157" s="46"/>
      <c r="V157" s="46"/>
      <c r="W157" s="46"/>
      <c r="X157" s="46"/>
      <c r="Y157" s="46"/>
      <c r="Z157" s="46"/>
      <c r="AA157" s="46"/>
      <c r="AB157" s="46"/>
      <c r="AC157" s="46"/>
      <c r="AD157" s="46"/>
      <c r="AE157" s="46"/>
    </row>
    <row r="158" ht="15.75" customHeight="1">
      <c r="A158" s="33" t="str">
        <f t="shared" si="3"/>
        <v/>
      </c>
      <c r="B158" s="40" t="str">
        <f t="shared" si="1"/>
        <v/>
      </c>
      <c r="C158" s="24"/>
      <c r="D158" s="23"/>
      <c r="E158" s="51"/>
      <c r="F158" s="51"/>
      <c r="G158" s="24"/>
      <c r="H158" s="40"/>
      <c r="I158" s="40" t="str">
        <f t="array" ref="I158">IF(G158="","",IFERROR(INDEX('Người sử dụng'!$H$5:$H$140,MATCH(G158,'Người sử dụng'!$C$5:$C$140,0)),"Chưa có trong DS"))</f>
        <v/>
      </c>
      <c r="J158" s="24"/>
      <c r="K158" s="24"/>
      <c r="L158" s="23"/>
      <c r="M158" s="24"/>
      <c r="N158" s="24"/>
      <c r="O158" s="24"/>
      <c r="P158" s="26"/>
      <c r="Q158" s="51"/>
      <c r="R158" s="46"/>
      <c r="S158" s="51"/>
      <c r="T158" s="46"/>
      <c r="U158" s="46"/>
      <c r="V158" s="46"/>
      <c r="W158" s="46"/>
      <c r="X158" s="46"/>
      <c r="Y158" s="46"/>
      <c r="Z158" s="46"/>
      <c r="AA158" s="46"/>
      <c r="AB158" s="46"/>
      <c r="AC158" s="46"/>
      <c r="AD158" s="46"/>
      <c r="AE158" s="46"/>
    </row>
    <row r="159" ht="15.75" customHeight="1">
      <c r="A159" s="33" t="str">
        <f t="shared" si="3"/>
        <v/>
      </c>
      <c r="B159" s="40" t="str">
        <f t="shared" si="1"/>
        <v/>
      </c>
      <c r="C159" s="24"/>
      <c r="D159" s="23"/>
      <c r="E159" s="51"/>
      <c r="F159" s="51"/>
      <c r="G159" s="24"/>
      <c r="H159" s="40"/>
      <c r="I159" s="40" t="str">
        <f t="array" ref="I159">IF(G159="","",IFERROR(INDEX('Người sử dụng'!$H$5:$H$140,MATCH(G159,'Người sử dụng'!$C$5:$C$140,0)),"Chưa có trong DS"))</f>
        <v/>
      </c>
      <c r="J159" s="24"/>
      <c r="K159" s="24"/>
      <c r="L159" s="23"/>
      <c r="M159" s="24"/>
      <c r="N159" s="24"/>
      <c r="O159" s="24"/>
      <c r="P159" s="26"/>
      <c r="Q159" s="51"/>
      <c r="R159" s="46"/>
      <c r="S159" s="51"/>
      <c r="T159" s="46"/>
      <c r="U159" s="46"/>
      <c r="V159" s="46"/>
      <c r="W159" s="46"/>
      <c r="X159" s="46"/>
      <c r="Y159" s="46"/>
      <c r="Z159" s="46"/>
      <c r="AA159" s="46"/>
      <c r="AB159" s="46"/>
      <c r="AC159" s="46"/>
      <c r="AD159" s="46"/>
      <c r="AE159" s="46"/>
    </row>
    <row r="160" ht="15.75" customHeight="1">
      <c r="A160" s="33" t="str">
        <f t="shared" si="3"/>
        <v/>
      </c>
      <c r="B160" s="40" t="str">
        <f t="shared" si="1"/>
        <v/>
      </c>
      <c r="C160" s="24"/>
      <c r="D160" s="23"/>
      <c r="E160" s="51"/>
      <c r="F160" s="51"/>
      <c r="G160" s="24"/>
      <c r="H160" s="40"/>
      <c r="I160" s="40" t="str">
        <f t="array" ref="I160">IF(G160="","",IFERROR(INDEX('Người sử dụng'!$H$5:$H$140,MATCH(G160,'Người sử dụng'!$C$5:$C$140,0)),"Chưa có trong DS"))</f>
        <v/>
      </c>
      <c r="J160" s="24"/>
      <c r="K160" s="24"/>
      <c r="L160" s="23"/>
      <c r="M160" s="24"/>
      <c r="N160" s="24"/>
      <c r="O160" s="24"/>
      <c r="P160" s="26"/>
      <c r="Q160" s="51"/>
      <c r="R160" s="46"/>
      <c r="S160" s="51"/>
      <c r="T160" s="46"/>
      <c r="U160" s="46"/>
      <c r="V160" s="46"/>
      <c r="W160" s="46"/>
      <c r="X160" s="46"/>
      <c r="Y160" s="46"/>
      <c r="Z160" s="46"/>
      <c r="AA160" s="46"/>
      <c r="AB160" s="46"/>
      <c r="AC160" s="46"/>
      <c r="AD160" s="46"/>
      <c r="AE160" s="46"/>
    </row>
    <row r="161" ht="15.75" customHeight="1">
      <c r="A161" s="33" t="str">
        <f t="shared" si="3"/>
        <v/>
      </c>
      <c r="B161" s="40" t="str">
        <f t="shared" si="1"/>
        <v/>
      </c>
      <c r="C161" s="24"/>
      <c r="D161" s="23"/>
      <c r="E161" s="51"/>
      <c r="F161" s="51"/>
      <c r="G161" s="24"/>
      <c r="H161" s="40"/>
      <c r="I161" s="40" t="str">
        <f t="array" ref="I161">IF(G161="","",IFERROR(INDEX('Người sử dụng'!$H$5:$H$140,MATCH(G161,'Người sử dụng'!$C$5:$C$140,0)),"Chưa có trong DS"))</f>
        <v/>
      </c>
      <c r="J161" s="24"/>
      <c r="K161" s="24"/>
      <c r="L161" s="23"/>
      <c r="M161" s="24"/>
      <c r="N161" s="24"/>
      <c r="O161" s="24"/>
      <c r="P161" s="26"/>
      <c r="Q161" s="51"/>
      <c r="R161" s="46"/>
      <c r="S161" s="51"/>
      <c r="T161" s="46"/>
      <c r="U161" s="46"/>
      <c r="V161" s="46"/>
      <c r="W161" s="46"/>
      <c r="X161" s="46"/>
      <c r="Y161" s="46"/>
      <c r="Z161" s="46"/>
      <c r="AA161" s="46"/>
      <c r="AB161" s="46"/>
      <c r="AC161" s="46"/>
      <c r="AD161" s="46"/>
      <c r="AE161" s="46"/>
    </row>
    <row r="162" ht="15.75" customHeight="1">
      <c r="A162" s="33" t="str">
        <f t="shared" si="3"/>
        <v/>
      </c>
      <c r="B162" s="40" t="str">
        <f t="shared" si="1"/>
        <v/>
      </c>
      <c r="C162" s="24"/>
      <c r="D162" s="23"/>
      <c r="E162" s="51"/>
      <c r="F162" s="51"/>
      <c r="G162" s="24"/>
      <c r="H162" s="40"/>
      <c r="I162" s="40" t="str">
        <f t="array" ref="I162">IF(G162="","",IFERROR(INDEX('Người sử dụng'!$H$5:$H$140,MATCH(G162,'Người sử dụng'!$C$5:$C$140,0)),"Chưa có trong DS"))</f>
        <v/>
      </c>
      <c r="J162" s="24"/>
      <c r="K162" s="24"/>
      <c r="L162" s="23"/>
      <c r="M162" s="24"/>
      <c r="N162" s="24"/>
      <c r="O162" s="24"/>
      <c r="P162" s="26"/>
      <c r="Q162" s="51"/>
      <c r="R162" s="46"/>
      <c r="S162" s="51"/>
      <c r="T162" s="46"/>
      <c r="U162" s="46"/>
      <c r="V162" s="46"/>
      <c r="W162" s="46"/>
      <c r="X162" s="46"/>
      <c r="Y162" s="46"/>
      <c r="Z162" s="46"/>
      <c r="AA162" s="46"/>
      <c r="AB162" s="46"/>
      <c r="AC162" s="46"/>
      <c r="AD162" s="46"/>
      <c r="AE162" s="46"/>
    </row>
    <row r="163" ht="15.75" customHeight="1">
      <c r="A163" s="33" t="str">
        <f t="shared" si="3"/>
        <v/>
      </c>
      <c r="B163" s="40" t="str">
        <f t="shared" si="1"/>
        <v/>
      </c>
      <c r="C163" s="24"/>
      <c r="D163" s="23"/>
      <c r="E163" s="51"/>
      <c r="F163" s="51"/>
      <c r="G163" s="24"/>
      <c r="H163" s="40"/>
      <c r="I163" s="40" t="str">
        <f t="array" ref="I163">IF(G163="","",IFERROR(INDEX('Người sử dụng'!$H$5:$H$140,MATCH(G163,'Người sử dụng'!$C$5:$C$140,0)),"Chưa có trong DS"))</f>
        <v/>
      </c>
      <c r="J163" s="24"/>
      <c r="K163" s="24"/>
      <c r="L163" s="23"/>
      <c r="M163" s="24"/>
      <c r="N163" s="24"/>
      <c r="O163" s="24"/>
      <c r="P163" s="26"/>
      <c r="Q163" s="51"/>
      <c r="R163" s="46"/>
      <c r="S163" s="51"/>
      <c r="T163" s="46"/>
      <c r="U163" s="46"/>
      <c r="V163" s="46"/>
      <c r="W163" s="46"/>
      <c r="X163" s="46"/>
      <c r="Y163" s="46"/>
      <c r="Z163" s="46"/>
      <c r="AA163" s="46"/>
      <c r="AB163" s="46"/>
      <c r="AC163" s="46"/>
      <c r="AD163" s="46"/>
      <c r="AE163" s="46"/>
    </row>
    <row r="164" ht="15.75" customHeight="1">
      <c r="A164" s="33" t="str">
        <f t="shared" si="3"/>
        <v/>
      </c>
      <c r="B164" s="40" t="str">
        <f t="shared" si="1"/>
        <v/>
      </c>
      <c r="C164" s="24"/>
      <c r="D164" s="23"/>
      <c r="E164" s="51"/>
      <c r="F164" s="51"/>
      <c r="G164" s="24"/>
      <c r="H164" s="40"/>
      <c r="I164" s="40" t="str">
        <f t="array" ref="I164">IF(G164="","",IFERROR(INDEX('Người sử dụng'!$H$5:$H$140,MATCH(G164,'Người sử dụng'!$C$5:$C$140,0)),"Chưa có trong DS"))</f>
        <v/>
      </c>
      <c r="J164" s="24"/>
      <c r="K164" s="24"/>
      <c r="L164" s="23"/>
      <c r="M164" s="24"/>
      <c r="N164" s="24"/>
      <c r="O164" s="24"/>
      <c r="P164" s="26"/>
      <c r="Q164" s="51"/>
      <c r="R164" s="46"/>
      <c r="S164" s="51"/>
      <c r="T164" s="46"/>
      <c r="U164" s="46"/>
      <c r="V164" s="46"/>
      <c r="W164" s="46"/>
      <c r="X164" s="46"/>
      <c r="Y164" s="46"/>
      <c r="Z164" s="46"/>
      <c r="AA164" s="46"/>
      <c r="AB164" s="46"/>
      <c r="AC164" s="46"/>
      <c r="AD164" s="46"/>
      <c r="AE164" s="46"/>
    </row>
    <row r="165" ht="15.75" customHeight="1">
      <c r="A165" s="33" t="str">
        <f t="shared" si="3"/>
        <v/>
      </c>
      <c r="B165" s="40" t="str">
        <f t="shared" si="1"/>
        <v/>
      </c>
      <c r="C165" s="24"/>
      <c r="D165" s="23"/>
      <c r="E165" s="51"/>
      <c r="F165" s="51"/>
      <c r="G165" s="24"/>
      <c r="H165" s="40"/>
      <c r="I165" s="40" t="str">
        <f t="array" ref="I165">IF(G165="","",IFERROR(INDEX('Người sử dụng'!$H$5:$H$140,MATCH(G165,'Người sử dụng'!$C$5:$C$140,0)),"Chưa có trong DS"))</f>
        <v/>
      </c>
      <c r="J165" s="24"/>
      <c r="K165" s="24"/>
      <c r="L165" s="23"/>
      <c r="M165" s="24"/>
      <c r="N165" s="24"/>
      <c r="O165" s="24"/>
      <c r="P165" s="26"/>
      <c r="Q165" s="51"/>
      <c r="R165" s="46"/>
      <c r="S165" s="51"/>
      <c r="T165" s="46"/>
      <c r="U165" s="46"/>
      <c r="V165" s="46"/>
      <c r="W165" s="46"/>
      <c r="X165" s="46"/>
      <c r="Y165" s="46"/>
      <c r="Z165" s="46"/>
      <c r="AA165" s="46"/>
      <c r="AB165" s="46"/>
      <c r="AC165" s="46"/>
      <c r="AD165" s="46"/>
      <c r="AE165" s="46"/>
    </row>
    <row r="166" ht="15.75" customHeight="1">
      <c r="A166" s="33" t="str">
        <f t="shared" si="3"/>
        <v/>
      </c>
      <c r="B166" s="40" t="str">
        <f t="shared" si="1"/>
        <v/>
      </c>
      <c r="C166" s="24"/>
      <c r="D166" s="23"/>
      <c r="E166" s="51"/>
      <c r="F166" s="51"/>
      <c r="G166" s="24"/>
      <c r="H166" s="40"/>
      <c r="I166" s="40" t="str">
        <f t="array" ref="I166">IF(G166="","",IFERROR(INDEX('Người sử dụng'!$H$5:$H$140,MATCH(G166,'Người sử dụng'!$C$5:$C$140,0)),"Chưa có trong DS"))</f>
        <v/>
      </c>
      <c r="J166" s="24"/>
      <c r="K166" s="24"/>
      <c r="L166" s="23"/>
      <c r="M166" s="24"/>
      <c r="N166" s="24"/>
      <c r="O166" s="24"/>
      <c r="P166" s="26"/>
      <c r="Q166" s="51"/>
      <c r="R166" s="46"/>
      <c r="S166" s="51"/>
      <c r="T166" s="46"/>
      <c r="U166" s="46"/>
      <c r="V166" s="46"/>
      <c r="W166" s="46"/>
      <c r="X166" s="46"/>
      <c r="Y166" s="46"/>
      <c r="Z166" s="46"/>
      <c r="AA166" s="46"/>
      <c r="AB166" s="46"/>
      <c r="AC166" s="46"/>
      <c r="AD166" s="46"/>
      <c r="AE166" s="46"/>
    </row>
    <row r="167" ht="15.75" customHeight="1">
      <c r="A167" s="33" t="str">
        <f t="shared" si="3"/>
        <v/>
      </c>
      <c r="B167" s="40" t="str">
        <f t="shared" si="1"/>
        <v/>
      </c>
      <c r="C167" s="24"/>
      <c r="D167" s="23"/>
      <c r="E167" s="51"/>
      <c r="F167" s="51"/>
      <c r="G167" s="24"/>
      <c r="H167" s="40"/>
      <c r="I167" s="40" t="str">
        <f t="array" ref="I167">IF(G167="","",IFERROR(INDEX('Người sử dụng'!$H$5:$H$140,MATCH(G167,'Người sử dụng'!$C$5:$C$140,0)),"Chưa có trong DS"))</f>
        <v/>
      </c>
      <c r="J167" s="24"/>
      <c r="K167" s="24"/>
      <c r="L167" s="23"/>
      <c r="M167" s="24"/>
      <c r="N167" s="24"/>
      <c r="O167" s="24"/>
      <c r="P167" s="26"/>
      <c r="Q167" s="51"/>
      <c r="R167" s="46"/>
      <c r="S167" s="51"/>
      <c r="T167" s="46"/>
      <c r="U167" s="46"/>
      <c r="V167" s="46"/>
      <c r="W167" s="46"/>
      <c r="X167" s="46"/>
      <c r="Y167" s="46"/>
      <c r="Z167" s="46"/>
      <c r="AA167" s="46"/>
      <c r="AB167" s="46"/>
      <c r="AC167" s="46"/>
      <c r="AD167" s="46"/>
      <c r="AE167" s="46"/>
    </row>
    <row r="168" ht="15.75" customHeight="1">
      <c r="A168" s="33" t="str">
        <f t="shared" si="3"/>
        <v/>
      </c>
      <c r="B168" s="40" t="str">
        <f t="shared" si="1"/>
        <v/>
      </c>
      <c r="C168" s="24"/>
      <c r="D168" s="23"/>
      <c r="E168" s="51"/>
      <c r="F168" s="51"/>
      <c r="G168" s="24"/>
      <c r="H168" s="40"/>
      <c r="I168" s="40" t="str">
        <f t="array" ref="I168">IF(G168="","",IFERROR(INDEX('Người sử dụng'!$H$5:$H$140,MATCH(G168,'Người sử dụng'!$C$5:$C$140,0)),"Chưa có trong DS"))</f>
        <v/>
      </c>
      <c r="J168" s="24"/>
      <c r="K168" s="24"/>
      <c r="L168" s="23"/>
      <c r="M168" s="24"/>
      <c r="N168" s="24"/>
      <c r="O168" s="24"/>
      <c r="P168" s="26"/>
      <c r="Q168" s="51"/>
      <c r="R168" s="46"/>
      <c r="S168" s="51"/>
      <c r="T168" s="46"/>
      <c r="U168" s="46"/>
      <c r="V168" s="46"/>
      <c r="W168" s="46"/>
      <c r="X168" s="46"/>
      <c r="Y168" s="46"/>
      <c r="Z168" s="46"/>
      <c r="AA168" s="46"/>
      <c r="AB168" s="46"/>
      <c r="AC168" s="46"/>
      <c r="AD168" s="46"/>
      <c r="AE168" s="46"/>
    </row>
    <row r="169" ht="15.75" customHeight="1">
      <c r="A169" s="33" t="str">
        <f t="shared" si="3"/>
        <v/>
      </c>
      <c r="B169" s="40" t="str">
        <f t="shared" si="1"/>
        <v/>
      </c>
      <c r="C169" s="24"/>
      <c r="D169" s="23"/>
      <c r="E169" s="51"/>
      <c r="F169" s="51"/>
      <c r="G169" s="24"/>
      <c r="H169" s="40"/>
      <c r="I169" s="40" t="str">
        <f t="array" ref="I169">IF(G169="","",IFERROR(INDEX('Người sử dụng'!$H$5:$H$140,MATCH(G169,'Người sử dụng'!$C$5:$C$140,0)),"Chưa có trong DS"))</f>
        <v/>
      </c>
      <c r="J169" s="24"/>
      <c r="K169" s="24"/>
      <c r="L169" s="23"/>
      <c r="M169" s="24"/>
      <c r="N169" s="24"/>
      <c r="O169" s="24"/>
      <c r="P169" s="26"/>
      <c r="Q169" s="51"/>
      <c r="R169" s="46"/>
      <c r="S169" s="51"/>
      <c r="T169" s="46"/>
      <c r="U169" s="46"/>
      <c r="V169" s="46"/>
      <c r="W169" s="46"/>
      <c r="X169" s="46"/>
      <c r="Y169" s="46"/>
      <c r="Z169" s="46"/>
      <c r="AA169" s="46"/>
      <c r="AB169" s="46"/>
      <c r="AC169" s="46"/>
      <c r="AD169" s="46"/>
      <c r="AE169" s="46"/>
    </row>
    <row r="170" ht="15.75" customHeight="1">
      <c r="A170" s="33" t="str">
        <f t="shared" si="3"/>
        <v/>
      </c>
      <c r="B170" s="40" t="str">
        <f t="shared" si="1"/>
        <v/>
      </c>
      <c r="C170" s="24"/>
      <c r="D170" s="23"/>
      <c r="E170" s="51"/>
      <c r="F170" s="51"/>
      <c r="G170" s="24"/>
      <c r="H170" s="40"/>
      <c r="I170" s="40" t="str">
        <f t="array" ref="I170">IF(G170="","",IFERROR(INDEX('Người sử dụng'!$H$5:$H$140,MATCH(G170,'Người sử dụng'!$C$5:$C$140,0)),"Chưa có trong DS"))</f>
        <v/>
      </c>
      <c r="J170" s="24"/>
      <c r="K170" s="24"/>
      <c r="L170" s="23"/>
      <c r="M170" s="24"/>
      <c r="N170" s="24"/>
      <c r="O170" s="24"/>
      <c r="P170" s="26"/>
      <c r="Q170" s="51"/>
      <c r="R170" s="46"/>
      <c r="S170" s="51"/>
      <c r="T170" s="46"/>
      <c r="U170" s="46"/>
      <c r="V170" s="46"/>
      <c r="W170" s="46"/>
      <c r="X170" s="46"/>
      <c r="Y170" s="46"/>
      <c r="Z170" s="46"/>
      <c r="AA170" s="46"/>
      <c r="AB170" s="46"/>
      <c r="AC170" s="46"/>
      <c r="AD170" s="46"/>
      <c r="AE170" s="46"/>
    </row>
    <row r="171" ht="15.75" customHeight="1">
      <c r="A171" s="33" t="str">
        <f t="shared" si="3"/>
        <v/>
      </c>
      <c r="B171" s="40" t="str">
        <f t="shared" si="1"/>
        <v/>
      </c>
      <c r="C171" s="24"/>
      <c r="D171" s="23"/>
      <c r="E171" s="51"/>
      <c r="F171" s="51"/>
      <c r="G171" s="24"/>
      <c r="H171" s="40"/>
      <c r="I171" s="40" t="str">
        <f t="array" ref="I171">IF(G171="","",IFERROR(INDEX('Người sử dụng'!$H$5:$H$140,MATCH(G171,'Người sử dụng'!$C$5:$C$140,0)),"Chưa có trong DS"))</f>
        <v/>
      </c>
      <c r="J171" s="24"/>
      <c r="K171" s="24"/>
      <c r="L171" s="23"/>
      <c r="M171" s="24"/>
      <c r="N171" s="24"/>
      <c r="O171" s="24"/>
      <c r="P171" s="26"/>
      <c r="Q171" s="51"/>
      <c r="R171" s="46"/>
      <c r="S171" s="51"/>
      <c r="T171" s="46"/>
      <c r="U171" s="46"/>
      <c r="V171" s="46"/>
      <c r="W171" s="46"/>
      <c r="X171" s="46"/>
      <c r="Y171" s="46"/>
      <c r="Z171" s="46"/>
      <c r="AA171" s="46"/>
      <c r="AB171" s="46"/>
      <c r="AC171" s="46"/>
      <c r="AD171" s="46"/>
      <c r="AE171" s="46"/>
    </row>
    <row r="172" ht="15.75" customHeight="1">
      <c r="A172" s="33" t="str">
        <f t="shared" si="3"/>
        <v/>
      </c>
      <c r="B172" s="40" t="str">
        <f t="shared" si="1"/>
        <v/>
      </c>
      <c r="C172" s="24"/>
      <c r="D172" s="23"/>
      <c r="E172" s="51"/>
      <c r="F172" s="51"/>
      <c r="G172" s="24"/>
      <c r="H172" s="40"/>
      <c r="I172" s="40" t="str">
        <f t="array" ref="I172">IF(G172="","",IFERROR(INDEX('Người sử dụng'!$H$5:$H$140,MATCH(G172,'Người sử dụng'!$C$5:$C$140,0)),"Chưa có trong DS"))</f>
        <v/>
      </c>
      <c r="J172" s="24"/>
      <c r="K172" s="24"/>
      <c r="L172" s="23"/>
      <c r="M172" s="24"/>
      <c r="N172" s="24"/>
      <c r="O172" s="24"/>
      <c r="P172" s="26"/>
      <c r="Q172" s="51"/>
      <c r="R172" s="46"/>
      <c r="S172" s="51"/>
      <c r="T172" s="46"/>
      <c r="U172" s="46"/>
      <c r="V172" s="46"/>
      <c r="W172" s="46"/>
      <c r="X172" s="46"/>
      <c r="Y172" s="46"/>
      <c r="Z172" s="46"/>
      <c r="AA172" s="46"/>
      <c r="AB172" s="46"/>
      <c r="AC172" s="46"/>
      <c r="AD172" s="46"/>
      <c r="AE172" s="46"/>
    </row>
    <row r="173" ht="15.75" customHeight="1">
      <c r="A173" s="33" t="str">
        <f t="shared" si="3"/>
        <v/>
      </c>
      <c r="B173" s="40" t="str">
        <f t="shared" si="1"/>
        <v/>
      </c>
      <c r="C173" s="24"/>
      <c r="D173" s="23"/>
      <c r="E173" s="51"/>
      <c r="F173" s="51"/>
      <c r="G173" s="24"/>
      <c r="H173" s="40"/>
      <c r="I173" s="40" t="str">
        <f t="array" ref="I173">IF(G173="","",IFERROR(INDEX('Người sử dụng'!$H$5:$H$140,MATCH(G173,'Người sử dụng'!$C$5:$C$140,0)),"Chưa có trong DS"))</f>
        <v/>
      </c>
      <c r="J173" s="24"/>
      <c r="K173" s="24"/>
      <c r="L173" s="23"/>
      <c r="M173" s="24"/>
      <c r="N173" s="24"/>
      <c r="O173" s="24"/>
      <c r="P173" s="26"/>
      <c r="Q173" s="51"/>
      <c r="R173" s="46"/>
      <c r="S173" s="51"/>
      <c r="T173" s="46"/>
      <c r="U173" s="46"/>
      <c r="V173" s="46"/>
      <c r="W173" s="46"/>
      <c r="X173" s="46"/>
      <c r="Y173" s="46"/>
      <c r="Z173" s="46"/>
      <c r="AA173" s="46"/>
      <c r="AB173" s="46"/>
      <c r="AC173" s="46"/>
      <c r="AD173" s="46"/>
      <c r="AE173" s="46"/>
    </row>
    <row r="174" ht="15.75" customHeight="1">
      <c r="A174" s="33" t="str">
        <f t="shared" si="3"/>
        <v/>
      </c>
      <c r="B174" s="40" t="str">
        <f t="shared" si="1"/>
        <v/>
      </c>
      <c r="C174" s="24"/>
      <c r="D174" s="23"/>
      <c r="E174" s="51"/>
      <c r="F174" s="51"/>
      <c r="G174" s="24"/>
      <c r="H174" s="40"/>
      <c r="I174" s="40" t="str">
        <f t="array" ref="I174">IF(G174="","",IFERROR(INDEX('Người sử dụng'!$H$5:$H$140,MATCH(G174,'Người sử dụng'!$C$5:$C$140,0)),"Chưa có trong DS"))</f>
        <v/>
      </c>
      <c r="J174" s="24"/>
      <c r="K174" s="24"/>
      <c r="L174" s="23"/>
      <c r="M174" s="24"/>
      <c r="N174" s="24"/>
      <c r="O174" s="24"/>
      <c r="P174" s="26"/>
      <c r="Q174" s="51"/>
      <c r="R174" s="46"/>
      <c r="S174" s="51"/>
      <c r="T174" s="46"/>
      <c r="U174" s="46"/>
      <c r="V174" s="46"/>
      <c r="W174" s="46"/>
      <c r="X174" s="46"/>
      <c r="Y174" s="46"/>
      <c r="Z174" s="46"/>
      <c r="AA174" s="46"/>
      <c r="AB174" s="46"/>
      <c r="AC174" s="46"/>
      <c r="AD174" s="46"/>
      <c r="AE174" s="46"/>
    </row>
    <row r="175" ht="15.75" customHeight="1">
      <c r="A175" s="33" t="str">
        <f t="shared" si="3"/>
        <v/>
      </c>
      <c r="B175" s="40" t="str">
        <f t="shared" si="1"/>
        <v/>
      </c>
      <c r="C175" s="24"/>
      <c r="D175" s="23"/>
      <c r="E175" s="51"/>
      <c r="F175" s="51"/>
      <c r="G175" s="24"/>
      <c r="H175" s="40"/>
      <c r="I175" s="40" t="str">
        <f t="array" ref="I175">IF(G175="","",IFERROR(INDEX('Người sử dụng'!$H$5:$H$140,MATCH(G175,'Người sử dụng'!$C$5:$C$140,0)),"Chưa có trong DS"))</f>
        <v/>
      </c>
      <c r="J175" s="24"/>
      <c r="K175" s="24"/>
      <c r="L175" s="23"/>
      <c r="M175" s="24"/>
      <c r="N175" s="24"/>
      <c r="O175" s="24"/>
      <c r="P175" s="26"/>
      <c r="Q175" s="51"/>
      <c r="R175" s="46"/>
      <c r="S175" s="51"/>
      <c r="T175" s="46"/>
      <c r="U175" s="46"/>
      <c r="V175" s="46"/>
      <c r="W175" s="46"/>
      <c r="X175" s="46"/>
      <c r="Y175" s="46"/>
      <c r="Z175" s="46"/>
      <c r="AA175" s="46"/>
      <c r="AB175" s="46"/>
      <c r="AC175" s="46"/>
      <c r="AD175" s="46"/>
      <c r="AE175" s="46"/>
    </row>
    <row r="176" ht="15.75" customHeight="1">
      <c r="A176" s="33" t="str">
        <f t="shared" si="3"/>
        <v/>
      </c>
      <c r="B176" s="40" t="str">
        <f t="shared" si="1"/>
        <v/>
      </c>
      <c r="C176" s="24"/>
      <c r="D176" s="23"/>
      <c r="E176" s="51"/>
      <c r="F176" s="51"/>
      <c r="G176" s="24"/>
      <c r="H176" s="40"/>
      <c r="I176" s="40" t="str">
        <f t="array" ref="I176">IF(G176="","",IFERROR(INDEX('Người sử dụng'!$H$5:$H$140,MATCH(G176,'Người sử dụng'!$C$5:$C$140,0)),"Chưa có trong DS"))</f>
        <v/>
      </c>
      <c r="J176" s="24"/>
      <c r="K176" s="24"/>
      <c r="L176" s="23"/>
      <c r="M176" s="24"/>
      <c r="N176" s="24"/>
      <c r="O176" s="24"/>
      <c r="P176" s="26"/>
      <c r="Q176" s="51"/>
      <c r="R176" s="46"/>
      <c r="S176" s="51"/>
      <c r="T176" s="46"/>
      <c r="U176" s="46"/>
      <c r="V176" s="46"/>
      <c r="W176" s="46"/>
      <c r="X176" s="46"/>
      <c r="Y176" s="46"/>
      <c r="Z176" s="46"/>
      <c r="AA176" s="46"/>
      <c r="AB176" s="46"/>
      <c r="AC176" s="46"/>
      <c r="AD176" s="46"/>
      <c r="AE176" s="46"/>
    </row>
    <row r="177" ht="15.75" customHeight="1">
      <c r="A177" s="33" t="str">
        <f t="shared" si="3"/>
        <v/>
      </c>
      <c r="B177" s="40" t="str">
        <f t="shared" si="1"/>
        <v/>
      </c>
      <c r="C177" s="24"/>
      <c r="D177" s="23"/>
      <c r="E177" s="51"/>
      <c r="F177" s="51"/>
      <c r="G177" s="24"/>
      <c r="H177" s="40"/>
      <c r="I177" s="40" t="str">
        <f t="array" ref="I177">IF(G177="","",IFERROR(INDEX('Người sử dụng'!$H$5:$H$140,MATCH(G177,'Người sử dụng'!$C$5:$C$140,0)),"Chưa có trong DS"))</f>
        <v/>
      </c>
      <c r="J177" s="24"/>
      <c r="K177" s="24"/>
      <c r="L177" s="23"/>
      <c r="M177" s="24"/>
      <c r="N177" s="24"/>
      <c r="O177" s="24"/>
      <c r="P177" s="26"/>
      <c r="Q177" s="51"/>
      <c r="R177" s="46"/>
      <c r="S177" s="51"/>
      <c r="T177" s="46"/>
      <c r="U177" s="46"/>
      <c r="V177" s="46"/>
      <c r="W177" s="46"/>
      <c r="X177" s="46"/>
      <c r="Y177" s="46"/>
      <c r="Z177" s="46"/>
      <c r="AA177" s="46"/>
      <c r="AB177" s="46"/>
      <c r="AC177" s="46"/>
      <c r="AD177" s="46"/>
      <c r="AE177" s="46"/>
    </row>
    <row r="178" ht="15.75" customHeight="1">
      <c r="A178" s="33" t="str">
        <f t="shared" si="3"/>
        <v/>
      </c>
      <c r="B178" s="40" t="str">
        <f t="shared" si="1"/>
        <v/>
      </c>
      <c r="C178" s="24"/>
      <c r="D178" s="23"/>
      <c r="E178" s="51"/>
      <c r="F178" s="51"/>
      <c r="G178" s="24"/>
      <c r="H178" s="40"/>
      <c r="I178" s="40" t="str">
        <f t="array" ref="I178">IF(G178="","",IFERROR(INDEX('Người sử dụng'!$H$5:$H$140,MATCH(G178,'Người sử dụng'!$C$5:$C$140,0)),"Chưa có trong DS"))</f>
        <v/>
      </c>
      <c r="J178" s="24"/>
      <c r="K178" s="24"/>
      <c r="L178" s="23"/>
      <c r="M178" s="24"/>
      <c r="N178" s="24"/>
      <c r="O178" s="24"/>
      <c r="P178" s="26"/>
      <c r="Q178" s="51"/>
      <c r="R178" s="46"/>
      <c r="S178" s="51"/>
      <c r="T178" s="46"/>
      <c r="U178" s="46"/>
      <c r="V178" s="46"/>
      <c r="W178" s="46"/>
      <c r="X178" s="46"/>
      <c r="Y178" s="46"/>
      <c r="Z178" s="46"/>
      <c r="AA178" s="46"/>
      <c r="AB178" s="46"/>
      <c r="AC178" s="46"/>
      <c r="AD178" s="46"/>
      <c r="AE178" s="46"/>
    </row>
    <row r="179" ht="15.75" customHeight="1">
      <c r="A179" s="33" t="str">
        <f t="shared" si="3"/>
        <v/>
      </c>
      <c r="B179" s="40" t="str">
        <f t="shared" si="1"/>
        <v/>
      </c>
      <c r="C179" s="24"/>
      <c r="D179" s="23"/>
      <c r="E179" s="51"/>
      <c r="F179" s="51"/>
      <c r="G179" s="24"/>
      <c r="H179" s="40"/>
      <c r="I179" s="40" t="str">
        <f t="array" ref="I179">IF(G179="","",IFERROR(INDEX('Người sử dụng'!$H$5:$H$140,MATCH(G179,'Người sử dụng'!$C$5:$C$140,0)),"Chưa có trong DS"))</f>
        <v/>
      </c>
      <c r="J179" s="24"/>
      <c r="K179" s="24"/>
      <c r="L179" s="23"/>
      <c r="M179" s="24"/>
      <c r="N179" s="24"/>
      <c r="O179" s="24"/>
      <c r="P179" s="26"/>
      <c r="Q179" s="51"/>
      <c r="R179" s="46"/>
      <c r="S179" s="51"/>
      <c r="T179" s="46"/>
      <c r="U179" s="46"/>
      <c r="V179" s="46"/>
      <c r="W179" s="46"/>
      <c r="X179" s="46"/>
      <c r="Y179" s="46"/>
      <c r="Z179" s="46"/>
      <c r="AA179" s="46"/>
      <c r="AB179" s="46"/>
      <c r="AC179" s="46"/>
      <c r="AD179" s="46"/>
      <c r="AE179" s="46"/>
    </row>
    <row r="180" ht="15.75" customHeight="1">
      <c r="A180" s="33" t="str">
        <f t="shared" si="3"/>
        <v/>
      </c>
      <c r="B180" s="40" t="str">
        <f t="shared" si="1"/>
        <v/>
      </c>
      <c r="C180" s="24"/>
      <c r="D180" s="23"/>
      <c r="E180" s="51"/>
      <c r="F180" s="51"/>
      <c r="G180" s="24"/>
      <c r="H180" s="40"/>
      <c r="I180" s="40" t="str">
        <f t="array" ref="I180">IF(G180="","",IFERROR(INDEX('Người sử dụng'!$H$5:$H$140,MATCH(G180,'Người sử dụng'!$C$5:$C$140,0)),"Chưa có trong DS"))</f>
        <v/>
      </c>
      <c r="J180" s="24"/>
      <c r="K180" s="24"/>
      <c r="L180" s="23"/>
      <c r="M180" s="24"/>
      <c r="N180" s="24"/>
      <c r="O180" s="24"/>
      <c r="P180" s="26"/>
      <c r="Q180" s="51"/>
      <c r="R180" s="46"/>
      <c r="S180" s="51"/>
      <c r="T180" s="46"/>
      <c r="U180" s="46"/>
      <c r="V180" s="46"/>
      <c r="W180" s="46"/>
      <c r="X180" s="46"/>
      <c r="Y180" s="46"/>
      <c r="Z180" s="46"/>
      <c r="AA180" s="46"/>
      <c r="AB180" s="46"/>
      <c r="AC180" s="46"/>
      <c r="AD180" s="46"/>
      <c r="AE180" s="46"/>
    </row>
    <row r="181" ht="15.75" customHeight="1">
      <c r="A181" s="33" t="str">
        <f t="shared" si="3"/>
        <v/>
      </c>
      <c r="B181" s="40" t="str">
        <f t="shared" si="1"/>
        <v/>
      </c>
      <c r="C181" s="24"/>
      <c r="D181" s="23"/>
      <c r="E181" s="51"/>
      <c r="F181" s="51"/>
      <c r="G181" s="24"/>
      <c r="H181" s="40"/>
      <c r="I181" s="40" t="str">
        <f t="array" ref="I181">IF(G181="","",IFERROR(INDEX('Người sử dụng'!$H$5:$H$140,MATCH(G181,'Người sử dụng'!$C$5:$C$140,0)),"Chưa có trong DS"))</f>
        <v/>
      </c>
      <c r="J181" s="24"/>
      <c r="K181" s="24"/>
      <c r="L181" s="23"/>
      <c r="M181" s="24"/>
      <c r="N181" s="24"/>
      <c r="O181" s="24"/>
      <c r="P181" s="26"/>
      <c r="Q181" s="51"/>
      <c r="R181" s="46"/>
      <c r="S181" s="51"/>
      <c r="T181" s="46"/>
      <c r="U181" s="46"/>
      <c r="V181" s="46"/>
      <c r="W181" s="46"/>
      <c r="X181" s="46"/>
      <c r="Y181" s="46"/>
      <c r="Z181" s="46"/>
      <c r="AA181" s="46"/>
      <c r="AB181" s="46"/>
      <c r="AC181" s="46"/>
      <c r="AD181" s="46"/>
      <c r="AE181" s="46"/>
    </row>
    <row r="182" ht="15.75" customHeight="1">
      <c r="A182" s="33" t="str">
        <f t="shared" si="3"/>
        <v/>
      </c>
      <c r="B182" s="40" t="str">
        <f t="shared" si="1"/>
        <v/>
      </c>
      <c r="C182" s="24"/>
      <c r="D182" s="23"/>
      <c r="E182" s="51"/>
      <c r="F182" s="51"/>
      <c r="G182" s="24"/>
      <c r="H182" s="40"/>
      <c r="I182" s="40" t="str">
        <f t="array" ref="I182">IF(G182="","",IFERROR(INDEX('Người sử dụng'!$H$5:$H$140,MATCH(G182,'Người sử dụng'!$C$5:$C$140,0)),"Chưa có trong DS"))</f>
        <v/>
      </c>
      <c r="J182" s="24"/>
      <c r="K182" s="24"/>
      <c r="L182" s="23"/>
      <c r="M182" s="24"/>
      <c r="N182" s="24"/>
      <c r="O182" s="24"/>
      <c r="P182" s="26"/>
      <c r="Q182" s="51"/>
      <c r="R182" s="46"/>
      <c r="S182" s="51"/>
      <c r="T182" s="46"/>
      <c r="U182" s="46"/>
      <c r="V182" s="46"/>
      <c r="W182" s="46"/>
      <c r="X182" s="46"/>
      <c r="Y182" s="46"/>
      <c r="Z182" s="46"/>
      <c r="AA182" s="46"/>
      <c r="AB182" s="46"/>
      <c r="AC182" s="46"/>
      <c r="AD182" s="46"/>
      <c r="AE182" s="46"/>
    </row>
    <row r="183" ht="15.75" customHeight="1">
      <c r="A183" s="33" t="str">
        <f t="shared" si="3"/>
        <v/>
      </c>
      <c r="B183" s="40" t="str">
        <f t="shared" si="1"/>
        <v/>
      </c>
      <c r="C183" s="24"/>
      <c r="D183" s="23"/>
      <c r="E183" s="51"/>
      <c r="F183" s="51"/>
      <c r="G183" s="24"/>
      <c r="H183" s="40"/>
      <c r="I183" s="40" t="str">
        <f t="array" ref="I183">IF(G183="","",IFERROR(INDEX('Người sử dụng'!$H$5:$H$140,MATCH(G183,'Người sử dụng'!$C$5:$C$140,0)),"Chưa có trong DS"))</f>
        <v/>
      </c>
      <c r="J183" s="24"/>
      <c r="K183" s="24"/>
      <c r="L183" s="23"/>
      <c r="M183" s="24"/>
      <c r="N183" s="24"/>
      <c r="O183" s="24"/>
      <c r="P183" s="26"/>
      <c r="Q183" s="51"/>
      <c r="R183" s="46"/>
      <c r="S183" s="51"/>
      <c r="T183" s="46"/>
      <c r="U183" s="46"/>
      <c r="V183" s="46"/>
      <c r="W183" s="46"/>
      <c r="X183" s="46"/>
      <c r="Y183" s="46"/>
      <c r="Z183" s="46"/>
      <c r="AA183" s="46"/>
      <c r="AB183" s="46"/>
      <c r="AC183" s="46"/>
      <c r="AD183" s="46"/>
      <c r="AE183" s="46"/>
    </row>
    <row r="184" ht="15.75" customHeight="1">
      <c r="A184" s="33" t="str">
        <f t="shared" si="3"/>
        <v/>
      </c>
      <c r="B184" s="40" t="str">
        <f t="shared" si="1"/>
        <v/>
      </c>
      <c r="C184" s="24"/>
      <c r="D184" s="23"/>
      <c r="E184" s="51"/>
      <c r="F184" s="51"/>
      <c r="G184" s="24"/>
      <c r="H184" s="40"/>
      <c r="I184" s="40" t="str">
        <f t="array" ref="I184">IF(G184="","",IFERROR(INDEX('Người sử dụng'!$H$5:$H$140,MATCH(G184,'Người sử dụng'!$C$5:$C$140,0)),"Chưa có trong DS"))</f>
        <v/>
      </c>
      <c r="J184" s="24"/>
      <c r="K184" s="24"/>
      <c r="L184" s="23"/>
      <c r="M184" s="24"/>
      <c r="N184" s="24"/>
      <c r="O184" s="24"/>
      <c r="P184" s="26"/>
      <c r="Q184" s="51"/>
      <c r="R184" s="46"/>
      <c r="S184" s="51"/>
      <c r="T184" s="46"/>
      <c r="U184" s="46"/>
      <c r="V184" s="46"/>
      <c r="W184" s="46"/>
      <c r="X184" s="46"/>
      <c r="Y184" s="46"/>
      <c r="Z184" s="46"/>
      <c r="AA184" s="46"/>
      <c r="AB184" s="46"/>
      <c r="AC184" s="46"/>
      <c r="AD184" s="46"/>
      <c r="AE184" s="46"/>
    </row>
    <row r="185" ht="15.75" customHeight="1">
      <c r="A185" s="33" t="str">
        <f t="shared" si="3"/>
        <v/>
      </c>
      <c r="B185" s="40" t="str">
        <f t="shared" si="1"/>
        <v/>
      </c>
      <c r="C185" s="24"/>
      <c r="D185" s="23"/>
      <c r="E185" s="51"/>
      <c r="F185" s="51"/>
      <c r="G185" s="24"/>
      <c r="H185" s="40"/>
      <c r="I185" s="40" t="str">
        <f t="array" ref="I185">IF(G185="","",IFERROR(INDEX('Người sử dụng'!$H$5:$H$140,MATCH(G185,'Người sử dụng'!$C$5:$C$140,0)),"Chưa có trong DS"))</f>
        <v/>
      </c>
      <c r="J185" s="24"/>
      <c r="K185" s="24"/>
      <c r="L185" s="23"/>
      <c r="M185" s="24"/>
      <c r="N185" s="24"/>
      <c r="O185" s="24"/>
      <c r="P185" s="26"/>
      <c r="Q185" s="51"/>
      <c r="R185" s="46"/>
      <c r="S185" s="51"/>
      <c r="T185" s="46"/>
      <c r="U185" s="46"/>
      <c r="V185" s="46"/>
      <c r="W185" s="46"/>
      <c r="X185" s="46"/>
      <c r="Y185" s="46"/>
      <c r="Z185" s="46"/>
      <c r="AA185" s="46"/>
      <c r="AB185" s="46"/>
      <c r="AC185" s="46"/>
      <c r="AD185" s="46"/>
      <c r="AE185" s="46"/>
    </row>
    <row r="186" ht="15.75" customHeight="1">
      <c r="A186" s="33" t="str">
        <f t="shared" si="3"/>
        <v/>
      </c>
      <c r="B186" s="40" t="str">
        <f t="shared" si="1"/>
        <v/>
      </c>
      <c r="C186" s="24"/>
      <c r="D186" s="23"/>
      <c r="E186" s="51"/>
      <c r="F186" s="51"/>
      <c r="G186" s="24"/>
      <c r="H186" s="40"/>
      <c r="I186" s="40" t="str">
        <f t="array" ref="I186">IF(G186="","",IFERROR(INDEX('Người sử dụng'!$H$5:$H$140,MATCH(G186,'Người sử dụng'!$C$5:$C$140,0)),"Chưa có trong DS"))</f>
        <v/>
      </c>
      <c r="J186" s="24"/>
      <c r="K186" s="24"/>
      <c r="L186" s="23"/>
      <c r="M186" s="24"/>
      <c r="N186" s="24"/>
      <c r="O186" s="24"/>
      <c r="P186" s="26"/>
      <c r="Q186" s="51"/>
      <c r="R186" s="46"/>
      <c r="S186" s="51"/>
      <c r="T186" s="46"/>
      <c r="U186" s="46"/>
      <c r="V186" s="46"/>
      <c r="W186" s="46"/>
      <c r="X186" s="46"/>
      <c r="Y186" s="46"/>
      <c r="Z186" s="46"/>
      <c r="AA186" s="46"/>
      <c r="AB186" s="46"/>
      <c r="AC186" s="46"/>
      <c r="AD186" s="46"/>
      <c r="AE186" s="46"/>
    </row>
    <row r="187" ht="15.75" customHeight="1">
      <c r="A187" s="33" t="str">
        <f t="shared" si="3"/>
        <v/>
      </c>
      <c r="B187" s="40" t="str">
        <f t="shared" si="1"/>
        <v/>
      </c>
      <c r="C187" s="24"/>
      <c r="D187" s="23"/>
      <c r="E187" s="51"/>
      <c r="F187" s="51"/>
      <c r="G187" s="24"/>
      <c r="H187" s="40"/>
      <c r="I187" s="40" t="str">
        <f t="array" ref="I187">IF(G187="","",IFERROR(INDEX('Người sử dụng'!$H$5:$H$140,MATCH(G187,'Người sử dụng'!$C$5:$C$140,0)),"Chưa có trong DS"))</f>
        <v/>
      </c>
      <c r="J187" s="24"/>
      <c r="K187" s="24"/>
      <c r="L187" s="23"/>
      <c r="M187" s="24"/>
      <c r="N187" s="24"/>
      <c r="O187" s="24"/>
      <c r="P187" s="26"/>
      <c r="Q187" s="51"/>
      <c r="R187" s="46"/>
      <c r="S187" s="51"/>
      <c r="T187" s="46"/>
      <c r="U187" s="46"/>
      <c r="V187" s="46"/>
      <c r="W187" s="46"/>
      <c r="X187" s="46"/>
      <c r="Y187" s="46"/>
      <c r="Z187" s="46"/>
      <c r="AA187" s="46"/>
      <c r="AB187" s="46"/>
      <c r="AC187" s="46"/>
      <c r="AD187" s="46"/>
      <c r="AE187" s="46"/>
    </row>
    <row r="188" ht="15.75" customHeight="1">
      <c r="A188" s="33" t="str">
        <f t="shared" si="3"/>
        <v/>
      </c>
      <c r="B188" s="40" t="str">
        <f t="shared" si="1"/>
        <v/>
      </c>
      <c r="C188" s="24"/>
      <c r="D188" s="23"/>
      <c r="E188" s="51"/>
      <c r="F188" s="51"/>
      <c r="G188" s="24"/>
      <c r="H188" s="40"/>
      <c r="I188" s="40" t="str">
        <f t="array" ref="I188">IF(G188="","",IFERROR(INDEX('Người sử dụng'!$H$5:$H$140,MATCH(G188,'Người sử dụng'!$C$5:$C$140,0)),"Chưa có trong DS"))</f>
        <v/>
      </c>
      <c r="J188" s="24"/>
      <c r="K188" s="24"/>
      <c r="L188" s="23"/>
      <c r="M188" s="24"/>
      <c r="N188" s="24"/>
      <c r="O188" s="24"/>
      <c r="P188" s="26"/>
      <c r="Q188" s="51"/>
      <c r="R188" s="46"/>
      <c r="S188" s="51"/>
      <c r="T188" s="46"/>
      <c r="U188" s="46"/>
      <c r="V188" s="46"/>
      <c r="W188" s="46"/>
      <c r="X188" s="46"/>
      <c r="Y188" s="46"/>
      <c r="Z188" s="46"/>
      <c r="AA188" s="46"/>
      <c r="AB188" s="46"/>
      <c r="AC188" s="46"/>
      <c r="AD188" s="46"/>
      <c r="AE188" s="46"/>
    </row>
    <row r="189" ht="15.75" customHeight="1">
      <c r="A189" s="33" t="str">
        <f t="shared" si="3"/>
        <v/>
      </c>
      <c r="B189" s="40" t="str">
        <f t="shared" si="1"/>
        <v/>
      </c>
      <c r="C189" s="24"/>
      <c r="D189" s="23"/>
      <c r="E189" s="51"/>
      <c r="F189" s="51"/>
      <c r="G189" s="24"/>
      <c r="H189" s="40"/>
      <c r="I189" s="40" t="str">
        <f t="array" ref="I189">IF(G189="","",IFERROR(INDEX('Người sử dụng'!$H$5:$H$140,MATCH(G189,'Người sử dụng'!$C$5:$C$140,0)),"Chưa có trong DS"))</f>
        <v/>
      </c>
      <c r="J189" s="24"/>
      <c r="K189" s="24"/>
      <c r="L189" s="23"/>
      <c r="M189" s="24"/>
      <c r="N189" s="24"/>
      <c r="O189" s="24"/>
      <c r="P189" s="26"/>
      <c r="Q189" s="51"/>
      <c r="R189" s="46"/>
      <c r="S189" s="51"/>
      <c r="T189" s="46"/>
      <c r="U189" s="46"/>
      <c r="V189" s="46"/>
      <c r="W189" s="46"/>
      <c r="X189" s="46"/>
      <c r="Y189" s="46"/>
      <c r="Z189" s="46"/>
      <c r="AA189" s="46"/>
      <c r="AB189" s="46"/>
      <c r="AC189" s="46"/>
      <c r="AD189" s="46"/>
      <c r="AE189" s="46"/>
    </row>
    <row r="190" ht="15.75" customHeight="1">
      <c r="A190" s="33" t="str">
        <f t="shared" si="3"/>
        <v/>
      </c>
      <c r="B190" s="40" t="str">
        <f t="shared" si="1"/>
        <v/>
      </c>
      <c r="C190" s="24"/>
      <c r="D190" s="23"/>
      <c r="E190" s="51"/>
      <c r="F190" s="51"/>
      <c r="G190" s="24"/>
      <c r="H190" s="40"/>
      <c r="I190" s="40" t="str">
        <f t="array" ref="I190">IF(G190="","",IFERROR(INDEX('Người sử dụng'!$H$5:$H$140,MATCH(G190,'Người sử dụng'!$C$5:$C$140,0)),"Chưa có trong DS"))</f>
        <v/>
      </c>
      <c r="J190" s="24"/>
      <c r="K190" s="24"/>
      <c r="L190" s="23"/>
      <c r="M190" s="24"/>
      <c r="N190" s="24"/>
      <c r="O190" s="24"/>
      <c r="P190" s="26"/>
      <c r="Q190" s="51"/>
      <c r="R190" s="46"/>
      <c r="S190" s="51"/>
      <c r="T190" s="46"/>
      <c r="U190" s="46"/>
      <c r="V190" s="46"/>
      <c r="W190" s="46"/>
      <c r="X190" s="46"/>
      <c r="Y190" s="46"/>
      <c r="Z190" s="46"/>
      <c r="AA190" s="46"/>
      <c r="AB190" s="46"/>
      <c r="AC190" s="46"/>
      <c r="AD190" s="46"/>
      <c r="AE190" s="46"/>
    </row>
    <row r="191" ht="15.75" customHeight="1">
      <c r="A191" s="33" t="str">
        <f t="shared" si="3"/>
        <v/>
      </c>
      <c r="B191" s="40" t="str">
        <f t="shared" si="1"/>
        <v/>
      </c>
      <c r="C191" s="24"/>
      <c r="D191" s="23"/>
      <c r="E191" s="51"/>
      <c r="F191" s="51"/>
      <c r="G191" s="24"/>
      <c r="H191" s="40"/>
      <c r="I191" s="40" t="str">
        <f t="array" ref="I191">IF(G191="","",IFERROR(INDEX('Người sử dụng'!$H$5:$H$140,MATCH(G191,'Người sử dụng'!$C$5:$C$140,0)),"Chưa có trong DS"))</f>
        <v/>
      </c>
      <c r="J191" s="24"/>
      <c r="K191" s="24"/>
      <c r="L191" s="23"/>
      <c r="M191" s="24"/>
      <c r="N191" s="24"/>
      <c r="O191" s="24"/>
      <c r="P191" s="26"/>
      <c r="Q191" s="51"/>
      <c r="R191" s="46"/>
      <c r="S191" s="51"/>
      <c r="T191" s="46"/>
      <c r="U191" s="46"/>
      <c r="V191" s="46"/>
      <c r="W191" s="46"/>
      <c r="X191" s="46"/>
      <c r="Y191" s="46"/>
      <c r="Z191" s="46"/>
      <c r="AA191" s="46"/>
      <c r="AB191" s="46"/>
      <c r="AC191" s="46"/>
      <c r="AD191" s="46"/>
      <c r="AE191" s="46"/>
    </row>
    <row r="192" ht="15.75" customHeight="1">
      <c r="A192" s="33" t="str">
        <f t="shared" si="3"/>
        <v/>
      </c>
      <c r="B192" s="40" t="str">
        <f t="shared" si="1"/>
        <v/>
      </c>
      <c r="C192" s="24"/>
      <c r="D192" s="23"/>
      <c r="E192" s="51"/>
      <c r="F192" s="51"/>
      <c r="G192" s="24"/>
      <c r="H192" s="40"/>
      <c r="I192" s="40" t="str">
        <f t="array" ref="I192">IF(G192="","",IFERROR(INDEX('Người sử dụng'!$H$5:$H$140,MATCH(G192,'Người sử dụng'!$C$5:$C$140,0)),"Chưa có trong DS"))</f>
        <v/>
      </c>
      <c r="J192" s="24"/>
      <c r="K192" s="24"/>
      <c r="L192" s="23"/>
      <c r="M192" s="24"/>
      <c r="N192" s="24"/>
      <c r="O192" s="24"/>
      <c r="P192" s="26"/>
      <c r="Q192" s="51"/>
      <c r="R192" s="46"/>
      <c r="S192" s="51"/>
      <c r="T192" s="46"/>
      <c r="U192" s="46"/>
      <c r="V192" s="46"/>
      <c r="W192" s="46"/>
      <c r="X192" s="46"/>
      <c r="Y192" s="46"/>
      <c r="Z192" s="46"/>
      <c r="AA192" s="46"/>
      <c r="AB192" s="46"/>
      <c r="AC192" s="46"/>
      <c r="AD192" s="46"/>
      <c r="AE192" s="46"/>
    </row>
    <row r="193" ht="15.75" customHeight="1">
      <c r="A193" s="33" t="str">
        <f t="shared" si="3"/>
        <v/>
      </c>
      <c r="B193" s="40" t="str">
        <f t="shared" si="1"/>
        <v/>
      </c>
      <c r="C193" s="24"/>
      <c r="D193" s="23"/>
      <c r="E193" s="51"/>
      <c r="F193" s="51"/>
      <c r="G193" s="24"/>
      <c r="H193" s="40"/>
      <c r="I193" s="40" t="str">
        <f t="array" ref="I193">IF(G193="","",IFERROR(INDEX('Người sử dụng'!$H$5:$H$140,MATCH(G193,'Người sử dụng'!$C$5:$C$140,0)),"Chưa có trong DS"))</f>
        <v/>
      </c>
      <c r="J193" s="24"/>
      <c r="K193" s="24"/>
      <c r="L193" s="23"/>
      <c r="M193" s="24"/>
      <c r="N193" s="24"/>
      <c r="O193" s="24"/>
      <c r="P193" s="26"/>
      <c r="Q193" s="51"/>
      <c r="R193" s="46"/>
      <c r="S193" s="51"/>
      <c r="T193" s="46"/>
      <c r="U193" s="46"/>
      <c r="V193" s="46"/>
      <c r="W193" s="46"/>
      <c r="X193" s="46"/>
      <c r="Y193" s="46"/>
      <c r="Z193" s="46"/>
      <c r="AA193" s="46"/>
      <c r="AB193" s="46"/>
      <c r="AC193" s="46"/>
      <c r="AD193" s="46"/>
      <c r="AE193" s="46"/>
    </row>
    <row r="194" ht="15.75" customHeight="1">
      <c r="A194" s="33" t="str">
        <f t="shared" si="3"/>
        <v/>
      </c>
      <c r="B194" s="40" t="str">
        <f t="shared" si="1"/>
        <v/>
      </c>
      <c r="C194" s="24"/>
      <c r="D194" s="23"/>
      <c r="E194" s="51"/>
      <c r="F194" s="51"/>
      <c r="G194" s="24"/>
      <c r="H194" s="40"/>
      <c r="I194" s="40" t="str">
        <f t="array" ref="I194">IF(G194="","",IFERROR(INDEX('Người sử dụng'!$H$5:$H$140,MATCH(G194,'Người sử dụng'!$C$5:$C$140,0)),"Chưa có trong DS"))</f>
        <v/>
      </c>
      <c r="J194" s="24"/>
      <c r="K194" s="24"/>
      <c r="L194" s="23"/>
      <c r="M194" s="24"/>
      <c r="N194" s="24"/>
      <c r="O194" s="24"/>
      <c r="P194" s="26"/>
      <c r="Q194" s="51"/>
      <c r="R194" s="46"/>
      <c r="S194" s="51"/>
      <c r="T194" s="46"/>
      <c r="U194" s="46"/>
      <c r="V194" s="46"/>
      <c r="W194" s="46"/>
      <c r="X194" s="46"/>
      <c r="Y194" s="46"/>
      <c r="Z194" s="46"/>
      <c r="AA194" s="46"/>
      <c r="AB194" s="46"/>
      <c r="AC194" s="46"/>
      <c r="AD194" s="46"/>
      <c r="AE194" s="46"/>
    </row>
    <row r="195" ht="15.75" customHeight="1">
      <c r="A195" s="33" t="str">
        <f t="shared" si="3"/>
        <v/>
      </c>
      <c r="B195" s="40" t="str">
        <f t="shared" si="1"/>
        <v/>
      </c>
      <c r="C195" s="24"/>
      <c r="D195" s="23"/>
      <c r="E195" s="51"/>
      <c r="F195" s="51"/>
      <c r="G195" s="24"/>
      <c r="H195" s="40"/>
      <c r="I195" s="40" t="str">
        <f t="array" ref="I195">IF(G195="","",IFERROR(INDEX('Người sử dụng'!$H$5:$H$140,MATCH(G195,'Người sử dụng'!$C$5:$C$140,0)),"Chưa có trong DS"))</f>
        <v/>
      </c>
      <c r="J195" s="24"/>
      <c r="K195" s="24"/>
      <c r="L195" s="23"/>
      <c r="M195" s="24"/>
      <c r="N195" s="24"/>
      <c r="O195" s="24"/>
      <c r="P195" s="26"/>
      <c r="Q195" s="51"/>
      <c r="R195" s="46"/>
      <c r="S195" s="51"/>
      <c r="T195" s="46"/>
      <c r="U195" s="46"/>
      <c r="V195" s="46"/>
      <c r="W195" s="46"/>
      <c r="X195" s="46"/>
      <c r="Y195" s="46"/>
      <c r="Z195" s="46"/>
      <c r="AA195" s="46"/>
      <c r="AB195" s="46"/>
      <c r="AC195" s="46"/>
      <c r="AD195" s="46"/>
      <c r="AE195" s="46"/>
    </row>
    <row r="196" ht="15.75" customHeight="1">
      <c r="A196" s="33" t="str">
        <f t="shared" si="3"/>
        <v/>
      </c>
      <c r="B196" s="40" t="str">
        <f t="shared" si="1"/>
        <v/>
      </c>
      <c r="C196" s="24"/>
      <c r="D196" s="23"/>
      <c r="E196" s="51"/>
      <c r="F196" s="51"/>
      <c r="G196" s="24"/>
      <c r="H196" s="40"/>
      <c r="I196" s="40" t="str">
        <f t="array" ref="I196">IF(G196="","",IFERROR(INDEX('Người sử dụng'!$H$5:$H$140,MATCH(G196,'Người sử dụng'!$C$5:$C$140,0)),"Chưa có trong DS"))</f>
        <v/>
      </c>
      <c r="J196" s="24"/>
      <c r="K196" s="24"/>
      <c r="L196" s="23"/>
      <c r="M196" s="24"/>
      <c r="N196" s="24"/>
      <c r="O196" s="24"/>
      <c r="P196" s="26"/>
      <c r="Q196" s="51"/>
      <c r="R196" s="46"/>
      <c r="S196" s="51"/>
      <c r="T196" s="46"/>
      <c r="U196" s="46"/>
      <c r="V196" s="46"/>
      <c r="W196" s="46"/>
      <c r="X196" s="46"/>
      <c r="Y196" s="46"/>
      <c r="Z196" s="46"/>
      <c r="AA196" s="46"/>
      <c r="AB196" s="46"/>
      <c r="AC196" s="46"/>
      <c r="AD196" s="46"/>
      <c r="AE196" s="46"/>
    </row>
    <row r="197" ht="15.75" customHeight="1">
      <c r="A197" s="33" t="str">
        <f t="shared" si="3"/>
        <v/>
      </c>
      <c r="B197" s="40" t="str">
        <f t="shared" si="1"/>
        <v/>
      </c>
      <c r="C197" s="24"/>
      <c r="D197" s="23"/>
      <c r="E197" s="51"/>
      <c r="F197" s="51"/>
      <c r="G197" s="24"/>
      <c r="H197" s="40"/>
      <c r="I197" s="40" t="str">
        <f t="array" ref="I197">IF(G197="","",IFERROR(INDEX('Người sử dụng'!$H$5:$H$140,MATCH(G197,'Người sử dụng'!$C$5:$C$140,0)),"Chưa có trong DS"))</f>
        <v/>
      </c>
      <c r="J197" s="24"/>
      <c r="K197" s="24"/>
      <c r="L197" s="23"/>
      <c r="M197" s="24"/>
      <c r="N197" s="24"/>
      <c r="O197" s="24"/>
      <c r="P197" s="26"/>
      <c r="Q197" s="51"/>
      <c r="R197" s="46"/>
      <c r="S197" s="51"/>
      <c r="T197" s="46"/>
      <c r="U197" s="46"/>
      <c r="V197" s="46"/>
      <c r="W197" s="46"/>
      <c r="X197" s="46"/>
      <c r="Y197" s="46"/>
      <c r="Z197" s="46"/>
      <c r="AA197" s="46"/>
      <c r="AB197" s="46"/>
      <c r="AC197" s="46"/>
      <c r="AD197" s="46"/>
      <c r="AE197" s="46"/>
    </row>
    <row r="198" ht="15.75" customHeight="1">
      <c r="A198" s="33" t="str">
        <f t="shared" si="3"/>
        <v/>
      </c>
      <c r="B198" s="40" t="str">
        <f t="shared" si="1"/>
        <v/>
      </c>
      <c r="C198" s="24"/>
      <c r="D198" s="23"/>
      <c r="E198" s="51"/>
      <c r="F198" s="51"/>
      <c r="G198" s="24"/>
      <c r="H198" s="40"/>
      <c r="I198" s="40" t="str">
        <f t="array" ref="I198">IF(G198="","",IFERROR(INDEX('Người sử dụng'!$H$5:$H$140,MATCH(G198,'Người sử dụng'!$C$5:$C$140,0)),"Chưa có trong DS"))</f>
        <v/>
      </c>
      <c r="J198" s="24"/>
      <c r="K198" s="24"/>
      <c r="L198" s="23"/>
      <c r="M198" s="24"/>
      <c r="N198" s="24"/>
      <c r="O198" s="24"/>
      <c r="P198" s="26"/>
      <c r="Q198" s="51"/>
      <c r="R198" s="46"/>
      <c r="S198" s="51"/>
      <c r="T198" s="46"/>
      <c r="U198" s="46"/>
      <c r="V198" s="46"/>
      <c r="W198" s="46"/>
      <c r="X198" s="46"/>
      <c r="Y198" s="46"/>
      <c r="Z198" s="46"/>
      <c r="AA198" s="46"/>
      <c r="AB198" s="46"/>
      <c r="AC198" s="46"/>
      <c r="AD198" s="46"/>
      <c r="AE198" s="46"/>
    </row>
    <row r="199" ht="15.75" customHeight="1">
      <c r="A199" s="33" t="str">
        <f t="shared" si="3"/>
        <v/>
      </c>
      <c r="B199" s="40" t="str">
        <f t="shared" si="1"/>
        <v/>
      </c>
      <c r="C199" s="24"/>
      <c r="D199" s="23"/>
      <c r="E199" s="51"/>
      <c r="F199" s="51"/>
      <c r="G199" s="24"/>
      <c r="H199" s="40"/>
      <c r="I199" s="40" t="str">
        <f t="array" ref="I199">IF(G199="","",IFERROR(INDEX('Người sử dụng'!$H$5:$H$140,MATCH(G199,'Người sử dụng'!$C$5:$C$140,0)),"Chưa có trong DS"))</f>
        <v/>
      </c>
      <c r="J199" s="24"/>
      <c r="K199" s="24"/>
      <c r="L199" s="23"/>
      <c r="M199" s="24"/>
      <c r="N199" s="24"/>
      <c r="O199" s="24"/>
      <c r="P199" s="26"/>
      <c r="Q199" s="51"/>
      <c r="R199" s="46"/>
      <c r="S199" s="51"/>
      <c r="T199" s="46"/>
      <c r="U199" s="46"/>
      <c r="V199" s="46"/>
      <c r="W199" s="46"/>
      <c r="X199" s="46"/>
      <c r="Y199" s="46"/>
      <c r="Z199" s="46"/>
      <c r="AA199" s="46"/>
      <c r="AB199" s="46"/>
      <c r="AC199" s="46"/>
      <c r="AD199" s="46"/>
      <c r="AE199" s="46"/>
    </row>
    <row r="200" ht="15.75" customHeight="1">
      <c r="A200" s="33" t="str">
        <f t="shared" si="3"/>
        <v/>
      </c>
      <c r="B200" s="40" t="str">
        <f t="shared" si="1"/>
        <v/>
      </c>
      <c r="C200" s="24"/>
      <c r="D200" s="23"/>
      <c r="E200" s="51"/>
      <c r="F200" s="51"/>
      <c r="G200" s="24"/>
      <c r="H200" s="40"/>
      <c r="I200" s="40" t="str">
        <f t="array" ref="I200">IF(G200="","",IFERROR(INDEX('Người sử dụng'!$H$5:$H$140,MATCH(G200,'Người sử dụng'!$C$5:$C$140,0)),"Chưa có trong DS"))</f>
        <v/>
      </c>
      <c r="J200" s="24"/>
      <c r="K200" s="24"/>
      <c r="L200" s="23"/>
      <c r="M200" s="24"/>
      <c r="N200" s="24"/>
      <c r="O200" s="24"/>
      <c r="P200" s="26"/>
      <c r="Q200" s="51"/>
      <c r="R200" s="46"/>
      <c r="S200" s="51"/>
      <c r="T200" s="46"/>
      <c r="U200" s="46"/>
      <c r="V200" s="46"/>
      <c r="W200" s="46"/>
      <c r="X200" s="46"/>
      <c r="Y200" s="46"/>
      <c r="Z200" s="46"/>
      <c r="AA200" s="46"/>
      <c r="AB200" s="46"/>
      <c r="AC200" s="46"/>
      <c r="AD200" s="46"/>
      <c r="AE200" s="46"/>
    </row>
    <row r="201" ht="15.75" customHeight="1">
      <c r="A201" s="33" t="str">
        <f t="shared" si="3"/>
        <v/>
      </c>
      <c r="B201" s="40" t="str">
        <f t="shared" si="1"/>
        <v/>
      </c>
      <c r="C201" s="24"/>
      <c r="D201" s="23"/>
      <c r="E201" s="51"/>
      <c r="F201" s="51"/>
      <c r="G201" s="24"/>
      <c r="H201" s="40"/>
      <c r="I201" s="40" t="str">
        <f t="array" ref="I201">IF(G201="","",IFERROR(INDEX('Người sử dụng'!$H$5:$H$140,MATCH(G201,'Người sử dụng'!$C$5:$C$140,0)),"Chưa có trong DS"))</f>
        <v/>
      </c>
      <c r="J201" s="24"/>
      <c r="K201" s="24"/>
      <c r="L201" s="23"/>
      <c r="M201" s="24"/>
      <c r="N201" s="24"/>
      <c r="O201" s="24"/>
      <c r="P201" s="26"/>
      <c r="Q201" s="51"/>
      <c r="R201" s="46"/>
      <c r="S201" s="51"/>
      <c r="T201" s="46"/>
      <c r="U201" s="46"/>
      <c r="V201" s="46"/>
      <c r="W201" s="46"/>
      <c r="X201" s="46"/>
      <c r="Y201" s="46"/>
      <c r="Z201" s="46"/>
      <c r="AA201" s="46"/>
      <c r="AB201" s="46"/>
      <c r="AC201" s="46"/>
      <c r="AD201" s="46"/>
      <c r="AE201" s="46"/>
    </row>
    <row r="202" ht="15.75" customHeight="1">
      <c r="A202" s="33" t="str">
        <f t="shared" si="3"/>
        <v/>
      </c>
      <c r="B202" s="40" t="str">
        <f t="shared" si="1"/>
        <v/>
      </c>
      <c r="C202" s="24"/>
      <c r="D202" s="23"/>
      <c r="E202" s="51"/>
      <c r="F202" s="51"/>
      <c r="G202" s="24"/>
      <c r="H202" s="40"/>
      <c r="I202" s="40" t="str">
        <f t="array" ref="I202">IF(G202="","",IFERROR(INDEX('Người sử dụng'!$H$5:$H$140,MATCH(G202,'Người sử dụng'!$C$5:$C$140,0)),"Chưa có trong DS"))</f>
        <v/>
      </c>
      <c r="J202" s="24"/>
      <c r="K202" s="24"/>
      <c r="L202" s="23"/>
      <c r="M202" s="24"/>
      <c r="N202" s="24"/>
      <c r="O202" s="24"/>
      <c r="P202" s="26"/>
      <c r="Q202" s="51"/>
      <c r="R202" s="46"/>
      <c r="S202" s="51"/>
      <c r="T202" s="46"/>
      <c r="U202" s="46"/>
      <c r="V202" s="46"/>
      <c r="W202" s="46"/>
      <c r="X202" s="46"/>
      <c r="Y202" s="46"/>
      <c r="Z202" s="46"/>
      <c r="AA202" s="46"/>
      <c r="AB202" s="46"/>
      <c r="AC202" s="46"/>
      <c r="AD202" s="46"/>
      <c r="AE202" s="46"/>
    </row>
    <row r="203" ht="15.75" customHeight="1">
      <c r="A203" s="33" t="str">
        <f t="shared" si="3"/>
        <v/>
      </c>
      <c r="B203" s="40" t="str">
        <f t="shared" si="1"/>
        <v/>
      </c>
      <c r="C203" s="24"/>
      <c r="D203" s="23"/>
      <c r="E203" s="51"/>
      <c r="F203" s="51"/>
      <c r="G203" s="24"/>
      <c r="H203" s="40"/>
      <c r="I203" s="40" t="str">
        <f t="array" ref="I203">IF(G203="","",IFERROR(INDEX('Người sử dụng'!$H$5:$H$140,MATCH(G203,'Người sử dụng'!$C$5:$C$140,0)),"Chưa có trong DS"))</f>
        <v/>
      </c>
      <c r="J203" s="24"/>
      <c r="K203" s="24"/>
      <c r="L203" s="23"/>
      <c r="M203" s="24"/>
      <c r="N203" s="24"/>
      <c r="O203" s="24"/>
      <c r="P203" s="26"/>
      <c r="Q203" s="51"/>
      <c r="R203" s="46"/>
      <c r="S203" s="51"/>
      <c r="T203" s="46"/>
      <c r="U203" s="46"/>
      <c r="V203" s="46"/>
      <c r="W203" s="46"/>
      <c r="X203" s="46"/>
      <c r="Y203" s="46"/>
      <c r="Z203" s="46"/>
      <c r="AA203" s="46"/>
      <c r="AB203" s="46"/>
      <c r="AC203" s="46"/>
      <c r="AD203" s="46"/>
      <c r="AE203" s="46"/>
    </row>
    <row r="204" ht="15.75" customHeight="1">
      <c r="A204" s="33" t="str">
        <f t="shared" si="3"/>
        <v/>
      </c>
      <c r="B204" s="40" t="str">
        <f t="shared" si="1"/>
        <v/>
      </c>
      <c r="C204" s="24"/>
      <c r="D204" s="23"/>
      <c r="E204" s="51"/>
      <c r="F204" s="51"/>
      <c r="G204" s="24"/>
      <c r="H204" s="40"/>
      <c r="I204" s="40" t="str">
        <f t="array" ref="I204">IF(G204="","",IFERROR(INDEX('Người sử dụng'!$H$5:$H$140,MATCH(G204,'Người sử dụng'!$C$5:$C$140,0)),"Chưa có trong DS"))</f>
        <v/>
      </c>
      <c r="J204" s="24"/>
      <c r="K204" s="24"/>
      <c r="L204" s="23"/>
      <c r="M204" s="24"/>
      <c r="N204" s="24"/>
      <c r="O204" s="24"/>
      <c r="P204" s="26"/>
      <c r="Q204" s="51"/>
      <c r="R204" s="46"/>
      <c r="S204" s="51"/>
      <c r="T204" s="46"/>
      <c r="U204" s="46"/>
      <c r="V204" s="46"/>
      <c r="W204" s="46"/>
      <c r="X204" s="46"/>
      <c r="Y204" s="46"/>
      <c r="Z204" s="46"/>
      <c r="AA204" s="46"/>
      <c r="AB204" s="46"/>
      <c r="AC204" s="46"/>
      <c r="AD204" s="46"/>
      <c r="AE204" s="46"/>
    </row>
    <row r="205" ht="15.75" customHeight="1">
      <c r="A205" s="33" t="str">
        <f t="shared" si="3"/>
        <v/>
      </c>
      <c r="B205" s="40" t="str">
        <f t="shared" si="1"/>
        <v/>
      </c>
      <c r="C205" s="24"/>
      <c r="D205" s="23"/>
      <c r="E205" s="51"/>
      <c r="F205" s="51"/>
      <c r="G205" s="24"/>
      <c r="H205" s="40"/>
      <c r="I205" s="40" t="str">
        <f t="array" ref="I205">IF(G205="","",IFERROR(INDEX('Người sử dụng'!$H$5:$H$140,MATCH(G205,'Người sử dụng'!$C$5:$C$140,0)),"Chưa có trong DS"))</f>
        <v/>
      </c>
      <c r="J205" s="24"/>
      <c r="K205" s="24"/>
      <c r="L205" s="23"/>
      <c r="M205" s="24"/>
      <c r="N205" s="24"/>
      <c r="O205" s="24"/>
      <c r="P205" s="26"/>
      <c r="Q205" s="51"/>
      <c r="R205" s="46"/>
      <c r="S205" s="51"/>
      <c r="T205" s="46"/>
      <c r="U205" s="46"/>
      <c r="V205" s="46"/>
      <c r="W205" s="46"/>
      <c r="X205" s="46"/>
      <c r="Y205" s="46"/>
      <c r="Z205" s="46"/>
      <c r="AA205" s="46"/>
      <c r="AB205" s="46"/>
      <c r="AC205" s="46"/>
      <c r="AD205" s="46"/>
      <c r="AE205" s="46"/>
    </row>
    <row r="206" ht="15.75" customHeight="1">
      <c r="A206" s="136"/>
      <c r="H206" s="52"/>
    </row>
    <row r="207" ht="15.75" customHeight="1">
      <c r="A207" s="136"/>
      <c r="H207" s="52"/>
    </row>
    <row r="208" ht="15.75" customHeight="1">
      <c r="A208" s="136"/>
      <c r="H208" s="52"/>
    </row>
    <row r="209" ht="15.75" customHeight="1">
      <c r="A209" s="136"/>
      <c r="H209" s="52"/>
    </row>
    <row r="210" ht="15.75" customHeight="1">
      <c r="A210" s="136"/>
      <c r="H210" s="52"/>
    </row>
    <row r="211" ht="15.75" customHeight="1">
      <c r="A211" s="136"/>
      <c r="H211" s="52"/>
    </row>
    <row r="212" ht="15.75" customHeight="1">
      <c r="A212" s="136"/>
      <c r="H212" s="52"/>
    </row>
    <row r="213" ht="15.75" customHeight="1">
      <c r="A213" s="136"/>
      <c r="H213" s="52"/>
    </row>
    <row r="214" ht="15.75" customHeight="1">
      <c r="A214" s="136"/>
      <c r="H214" s="52"/>
    </row>
    <row r="215" ht="15.75" customHeight="1">
      <c r="A215" s="136"/>
      <c r="H215" s="52"/>
    </row>
    <row r="216" ht="15.75" customHeight="1">
      <c r="A216" s="136"/>
      <c r="H216" s="52"/>
    </row>
    <row r="217" ht="15.75" customHeight="1">
      <c r="A217" s="136"/>
      <c r="H217" s="52"/>
    </row>
    <row r="218" ht="15.75" customHeight="1">
      <c r="A218" s="136"/>
      <c r="H218" s="52"/>
    </row>
    <row r="219" ht="15.75" customHeight="1">
      <c r="A219" s="136"/>
      <c r="H219" s="52"/>
    </row>
    <row r="220" ht="15.75" customHeight="1">
      <c r="A220" s="136"/>
      <c r="H220" s="52"/>
    </row>
    <row r="221" ht="15.75" customHeight="1">
      <c r="A221" s="136"/>
      <c r="H221" s="52"/>
    </row>
    <row r="222" ht="15.75" customHeight="1">
      <c r="A222" s="136"/>
      <c r="H222" s="52"/>
    </row>
    <row r="223" ht="15.75" customHeight="1">
      <c r="A223" s="136"/>
      <c r="H223" s="52"/>
    </row>
    <row r="224" ht="15.75" customHeight="1">
      <c r="A224" s="136"/>
      <c r="H224" s="52"/>
    </row>
    <row r="225" ht="15.75" customHeight="1">
      <c r="A225" s="136"/>
      <c r="H225" s="52"/>
    </row>
    <row r="226" ht="15.75" customHeight="1">
      <c r="A226" s="136"/>
      <c r="H226" s="52"/>
    </row>
    <row r="227" ht="15.75" customHeight="1">
      <c r="A227" s="136"/>
      <c r="H227" s="52"/>
    </row>
    <row r="228" ht="15.75" customHeight="1">
      <c r="A228" s="136"/>
      <c r="H228" s="52"/>
    </row>
    <row r="229" ht="15.75" customHeight="1">
      <c r="A229" s="136"/>
      <c r="H229" s="52"/>
    </row>
    <row r="230" ht="15.75" customHeight="1">
      <c r="A230" s="136"/>
      <c r="H230" s="52"/>
    </row>
    <row r="231" ht="15.75" customHeight="1">
      <c r="A231" s="136"/>
      <c r="H231" s="52"/>
    </row>
    <row r="232" ht="15.75" customHeight="1">
      <c r="A232" s="136"/>
      <c r="H232" s="52"/>
    </row>
    <row r="233" ht="15.75" customHeight="1">
      <c r="A233" s="136"/>
      <c r="H233" s="52"/>
    </row>
    <row r="234" ht="15.75" customHeight="1">
      <c r="A234" s="136"/>
      <c r="H234" s="52"/>
    </row>
    <row r="235" ht="15.75" customHeight="1">
      <c r="A235" s="136"/>
      <c r="H235" s="52"/>
    </row>
    <row r="236" ht="15.75" customHeight="1">
      <c r="A236" s="136"/>
      <c r="H236" s="52"/>
    </row>
    <row r="237" ht="15.75" customHeight="1">
      <c r="A237" s="136"/>
      <c r="H237" s="52"/>
    </row>
    <row r="238" ht="15.75" customHeight="1">
      <c r="A238" s="136"/>
      <c r="H238" s="52"/>
    </row>
    <row r="239" ht="15.75" customHeight="1">
      <c r="A239" s="136"/>
      <c r="H239" s="52"/>
    </row>
    <row r="240" ht="15.75" customHeight="1">
      <c r="A240" s="136"/>
      <c r="H240" s="52"/>
    </row>
    <row r="241" ht="15.75" customHeight="1">
      <c r="A241" s="136"/>
      <c r="H241" s="52"/>
    </row>
    <row r="242" ht="15.75" customHeight="1">
      <c r="A242" s="136"/>
      <c r="H242" s="52"/>
    </row>
    <row r="243" ht="15.75" customHeight="1">
      <c r="A243" s="136"/>
      <c r="H243" s="52"/>
    </row>
    <row r="244" ht="15.75" customHeight="1">
      <c r="A244" s="136"/>
      <c r="H244" s="52"/>
    </row>
    <row r="245" ht="15.75" customHeight="1">
      <c r="A245" s="136"/>
      <c r="H245" s="52"/>
    </row>
    <row r="246" ht="15.75" customHeight="1">
      <c r="A246" s="136"/>
      <c r="H246" s="52"/>
    </row>
    <row r="247" ht="15.75" customHeight="1">
      <c r="A247" s="136"/>
      <c r="H247" s="52"/>
    </row>
    <row r="248" ht="15.75" customHeight="1">
      <c r="A248" s="136"/>
      <c r="H248" s="52"/>
    </row>
    <row r="249" ht="15.75" customHeight="1">
      <c r="A249" s="136"/>
      <c r="H249" s="52"/>
    </row>
    <row r="250" ht="15.75" customHeight="1">
      <c r="A250" s="136"/>
      <c r="H250" s="52"/>
    </row>
    <row r="251" ht="15.75" customHeight="1">
      <c r="A251" s="136"/>
      <c r="H251" s="52"/>
    </row>
    <row r="252" ht="15.75" customHeight="1">
      <c r="A252" s="136"/>
      <c r="H252" s="52"/>
    </row>
    <row r="253" ht="15.75" customHeight="1">
      <c r="A253" s="136"/>
      <c r="H253" s="52"/>
    </row>
    <row r="254" ht="15.75" customHeight="1">
      <c r="A254" s="136"/>
      <c r="H254" s="52"/>
    </row>
    <row r="255" ht="15.75" customHeight="1">
      <c r="A255" s="136"/>
      <c r="H255" s="52"/>
    </row>
    <row r="256" ht="15.75" customHeight="1">
      <c r="A256" s="136"/>
      <c r="H256" s="52"/>
    </row>
    <row r="257" ht="15.75" customHeight="1">
      <c r="A257" s="136"/>
      <c r="H257" s="52"/>
    </row>
    <row r="258" ht="15.75" customHeight="1">
      <c r="A258" s="136"/>
      <c r="H258" s="52"/>
    </row>
    <row r="259" ht="15.75" customHeight="1">
      <c r="A259" s="136"/>
      <c r="H259" s="52"/>
    </row>
    <row r="260" ht="15.75" customHeight="1">
      <c r="A260" s="136"/>
      <c r="H260" s="52"/>
    </row>
    <row r="261" ht="15.75" customHeight="1">
      <c r="A261" s="136"/>
      <c r="H261" s="52"/>
    </row>
    <row r="262" ht="15.75" customHeight="1">
      <c r="A262" s="136"/>
      <c r="H262" s="52"/>
    </row>
    <row r="263" ht="15.75" customHeight="1">
      <c r="A263" s="136"/>
      <c r="H263" s="52"/>
    </row>
    <row r="264" ht="15.75" customHeight="1">
      <c r="A264" s="136"/>
      <c r="H264" s="52"/>
    </row>
    <row r="265" ht="15.75" customHeight="1">
      <c r="A265" s="136"/>
      <c r="H265" s="52"/>
    </row>
    <row r="266" ht="15.75" customHeight="1">
      <c r="A266" s="136"/>
      <c r="H266" s="52"/>
    </row>
    <row r="267" ht="15.75" customHeight="1">
      <c r="A267" s="136"/>
      <c r="H267" s="52"/>
    </row>
    <row r="268" ht="15.75" customHeight="1">
      <c r="A268" s="136"/>
      <c r="H268" s="52"/>
    </row>
    <row r="269" ht="15.75" customHeight="1">
      <c r="A269" s="136"/>
      <c r="H269" s="52"/>
    </row>
    <row r="270" ht="15.75" customHeight="1">
      <c r="A270" s="136"/>
      <c r="H270" s="52"/>
    </row>
    <row r="271" ht="15.75" customHeight="1">
      <c r="A271" s="136"/>
      <c r="H271" s="52"/>
    </row>
    <row r="272" ht="15.75" customHeight="1">
      <c r="A272" s="136"/>
      <c r="H272" s="52"/>
    </row>
    <row r="273" ht="15.75" customHeight="1">
      <c r="A273" s="136"/>
      <c r="H273" s="52"/>
    </row>
    <row r="274" ht="15.75" customHeight="1">
      <c r="A274" s="136"/>
      <c r="H274" s="52"/>
    </row>
    <row r="275" ht="15.75" customHeight="1">
      <c r="A275" s="136"/>
      <c r="H275" s="52"/>
    </row>
    <row r="276" ht="15.75" customHeight="1">
      <c r="A276" s="136"/>
      <c r="H276" s="52"/>
    </row>
    <row r="277" ht="15.75" customHeight="1">
      <c r="A277" s="136"/>
      <c r="H277" s="52"/>
    </row>
    <row r="278" ht="15.75" customHeight="1">
      <c r="A278" s="136"/>
      <c r="H278" s="52"/>
    </row>
    <row r="279" ht="15.75" customHeight="1">
      <c r="A279" s="136"/>
      <c r="H279" s="52"/>
    </row>
    <row r="280" ht="15.75" customHeight="1">
      <c r="A280" s="136"/>
      <c r="H280" s="52"/>
    </row>
    <row r="281" ht="15.75" customHeight="1">
      <c r="A281" s="136"/>
      <c r="H281" s="52"/>
    </row>
    <row r="282" ht="15.75" customHeight="1">
      <c r="A282" s="136"/>
      <c r="H282" s="52"/>
    </row>
    <row r="283" ht="15.75" customHeight="1">
      <c r="A283" s="136"/>
      <c r="H283" s="52"/>
    </row>
    <row r="284" ht="15.75" customHeight="1">
      <c r="A284" s="136"/>
      <c r="H284" s="52"/>
    </row>
    <row r="285" ht="15.75" customHeight="1">
      <c r="A285" s="136"/>
      <c r="H285" s="52"/>
    </row>
    <row r="286" ht="15.75" customHeight="1">
      <c r="A286" s="136"/>
      <c r="H286" s="52"/>
    </row>
    <row r="287" ht="15.75" customHeight="1">
      <c r="A287" s="136"/>
      <c r="H287" s="52"/>
    </row>
    <row r="288" ht="15.75" customHeight="1">
      <c r="A288" s="136"/>
      <c r="H288" s="52"/>
    </row>
    <row r="289" ht="15.75" customHeight="1">
      <c r="A289" s="136"/>
      <c r="H289" s="52"/>
    </row>
    <row r="290" ht="15.75" customHeight="1">
      <c r="A290" s="136"/>
      <c r="H290" s="52"/>
    </row>
    <row r="291" ht="15.75" customHeight="1">
      <c r="A291" s="136"/>
      <c r="H291" s="52"/>
    </row>
    <row r="292" ht="15.75" customHeight="1">
      <c r="A292" s="136"/>
      <c r="H292" s="52"/>
    </row>
    <row r="293" ht="15.75" customHeight="1">
      <c r="A293" s="136"/>
      <c r="H293" s="52"/>
    </row>
    <row r="294" ht="15.75" customHeight="1">
      <c r="A294" s="136"/>
      <c r="H294" s="52"/>
    </row>
    <row r="295" ht="15.75" customHeight="1">
      <c r="A295" s="136"/>
      <c r="H295" s="52"/>
    </row>
    <row r="296" ht="15.75" customHeight="1">
      <c r="A296" s="136"/>
      <c r="H296" s="52"/>
    </row>
    <row r="297" ht="15.75" customHeight="1">
      <c r="A297" s="136"/>
      <c r="H297" s="52"/>
    </row>
    <row r="298" ht="15.75" customHeight="1">
      <c r="A298" s="136"/>
      <c r="H298" s="52"/>
    </row>
    <row r="299" ht="15.75" customHeight="1">
      <c r="A299" s="136"/>
      <c r="H299" s="52"/>
    </row>
    <row r="300" ht="15.75" customHeight="1">
      <c r="A300" s="136"/>
      <c r="H300" s="52"/>
    </row>
    <row r="301" ht="15.75" customHeight="1">
      <c r="A301" s="136"/>
      <c r="H301" s="52"/>
    </row>
    <row r="302" ht="15.75" customHeight="1">
      <c r="A302" s="136"/>
      <c r="H302" s="52"/>
    </row>
    <row r="303" ht="15.75" customHeight="1">
      <c r="A303" s="136"/>
      <c r="H303" s="52"/>
    </row>
    <row r="304" ht="15.75" customHeight="1">
      <c r="A304" s="136"/>
      <c r="H304" s="52"/>
    </row>
    <row r="305" ht="15.75" customHeight="1">
      <c r="A305" s="136"/>
      <c r="H305" s="52"/>
    </row>
    <row r="306" ht="15.75" customHeight="1">
      <c r="A306" s="136"/>
      <c r="H306" s="52"/>
    </row>
    <row r="307" ht="15.75" customHeight="1">
      <c r="A307" s="136"/>
      <c r="H307" s="52"/>
    </row>
    <row r="308" ht="15.75" customHeight="1">
      <c r="A308" s="136"/>
      <c r="H308" s="52"/>
    </row>
    <row r="309" ht="15.75" customHeight="1">
      <c r="A309" s="136"/>
      <c r="H309" s="52"/>
    </row>
    <row r="310" ht="15.75" customHeight="1">
      <c r="A310" s="136"/>
      <c r="H310" s="52"/>
    </row>
    <row r="311" ht="15.75" customHeight="1">
      <c r="A311" s="136"/>
      <c r="H311" s="52"/>
    </row>
    <row r="312" ht="15.75" customHeight="1">
      <c r="A312" s="136"/>
      <c r="H312" s="52"/>
    </row>
    <row r="313" ht="15.75" customHeight="1">
      <c r="A313" s="136"/>
      <c r="H313" s="52"/>
    </row>
    <row r="314" ht="15.75" customHeight="1">
      <c r="A314" s="136"/>
      <c r="H314" s="52"/>
    </row>
    <row r="315" ht="15.75" customHeight="1">
      <c r="A315" s="136"/>
      <c r="H315" s="52"/>
    </row>
    <row r="316" ht="15.75" customHeight="1">
      <c r="A316" s="136"/>
      <c r="H316" s="52"/>
    </row>
    <row r="317" ht="15.75" customHeight="1">
      <c r="A317" s="136"/>
      <c r="H317" s="52"/>
    </row>
    <row r="318" ht="15.75" customHeight="1">
      <c r="A318" s="136"/>
      <c r="H318" s="52"/>
    </row>
    <row r="319" ht="15.75" customHeight="1">
      <c r="A319" s="136"/>
      <c r="H319" s="52"/>
    </row>
    <row r="320" ht="15.75" customHeight="1">
      <c r="A320" s="136"/>
      <c r="H320" s="52"/>
    </row>
    <row r="321" ht="15.75" customHeight="1">
      <c r="A321" s="136"/>
      <c r="H321" s="52"/>
    </row>
    <row r="322" ht="15.75" customHeight="1">
      <c r="A322" s="136"/>
      <c r="H322" s="52"/>
    </row>
    <row r="323" ht="15.75" customHeight="1">
      <c r="A323" s="136"/>
      <c r="H323" s="52"/>
    </row>
    <row r="324" ht="15.75" customHeight="1">
      <c r="A324" s="136"/>
      <c r="H324" s="52"/>
    </row>
    <row r="325" ht="15.75" customHeight="1">
      <c r="A325" s="136"/>
      <c r="H325" s="52"/>
    </row>
    <row r="326" ht="15.75" customHeight="1">
      <c r="A326" s="136"/>
      <c r="H326" s="52"/>
    </row>
    <row r="327" ht="15.75" customHeight="1">
      <c r="A327" s="136"/>
      <c r="H327" s="52"/>
    </row>
    <row r="328" ht="15.75" customHeight="1">
      <c r="A328" s="136"/>
      <c r="H328" s="52"/>
    </row>
    <row r="329" ht="15.75" customHeight="1">
      <c r="A329" s="136"/>
      <c r="H329" s="52"/>
    </row>
    <row r="330" ht="15.75" customHeight="1">
      <c r="A330" s="136"/>
      <c r="H330" s="52"/>
    </row>
    <row r="331" ht="15.75" customHeight="1">
      <c r="A331" s="136"/>
      <c r="H331" s="52"/>
    </row>
    <row r="332" ht="15.75" customHeight="1">
      <c r="A332" s="136"/>
      <c r="H332" s="52"/>
    </row>
    <row r="333" ht="15.75" customHeight="1">
      <c r="A333" s="136"/>
      <c r="H333" s="52"/>
    </row>
    <row r="334" ht="15.75" customHeight="1">
      <c r="A334" s="136"/>
      <c r="H334" s="52"/>
    </row>
    <row r="335" ht="15.75" customHeight="1">
      <c r="A335" s="136"/>
      <c r="H335" s="52"/>
    </row>
    <row r="336" ht="15.75" customHeight="1">
      <c r="A336" s="136"/>
      <c r="H336" s="52"/>
    </row>
    <row r="337" ht="15.75" customHeight="1">
      <c r="A337" s="136"/>
      <c r="H337" s="52"/>
    </row>
    <row r="338" ht="15.75" customHeight="1">
      <c r="A338" s="136"/>
      <c r="H338" s="52"/>
    </row>
    <row r="339" ht="15.75" customHeight="1">
      <c r="A339" s="136"/>
      <c r="H339" s="52"/>
    </row>
    <row r="340" ht="15.75" customHeight="1">
      <c r="A340" s="136"/>
      <c r="H340" s="52"/>
    </row>
    <row r="341" ht="15.75" customHeight="1">
      <c r="A341" s="136"/>
      <c r="H341" s="52"/>
    </row>
    <row r="342" ht="15.75" customHeight="1">
      <c r="A342" s="136"/>
      <c r="H342" s="52"/>
    </row>
    <row r="343" ht="15.75" customHeight="1">
      <c r="A343" s="136"/>
      <c r="H343" s="52"/>
    </row>
    <row r="344" ht="15.75" customHeight="1">
      <c r="A344" s="136"/>
      <c r="H344" s="52"/>
    </row>
    <row r="345" ht="15.75" customHeight="1">
      <c r="A345" s="136"/>
      <c r="H345" s="52"/>
    </row>
    <row r="346" ht="15.75" customHeight="1">
      <c r="A346" s="136"/>
      <c r="H346" s="52"/>
    </row>
    <row r="347" ht="15.75" customHeight="1">
      <c r="A347" s="136"/>
      <c r="H347" s="52"/>
    </row>
    <row r="348" ht="15.75" customHeight="1">
      <c r="A348" s="136"/>
      <c r="H348" s="52"/>
    </row>
    <row r="349" ht="15.75" customHeight="1">
      <c r="A349" s="136"/>
      <c r="H349" s="52"/>
    </row>
    <row r="350" ht="15.75" customHeight="1">
      <c r="A350" s="136"/>
      <c r="H350" s="52"/>
    </row>
    <row r="351" ht="15.75" customHeight="1">
      <c r="A351" s="136"/>
      <c r="H351" s="52"/>
    </row>
    <row r="352" ht="15.75" customHeight="1">
      <c r="A352" s="136"/>
      <c r="H352" s="52"/>
    </row>
    <row r="353" ht="15.75" customHeight="1">
      <c r="A353" s="136"/>
      <c r="H353" s="52"/>
    </row>
    <row r="354" ht="15.75" customHeight="1">
      <c r="A354" s="136"/>
      <c r="H354" s="52"/>
    </row>
    <row r="355" ht="15.75" customHeight="1">
      <c r="A355" s="136"/>
      <c r="H355" s="52"/>
    </row>
    <row r="356" ht="15.75" customHeight="1">
      <c r="A356" s="136"/>
      <c r="H356" s="52"/>
    </row>
    <row r="357" ht="15.75" customHeight="1">
      <c r="A357" s="136"/>
      <c r="H357" s="52"/>
    </row>
    <row r="358" ht="15.75" customHeight="1">
      <c r="A358" s="136"/>
      <c r="H358" s="52"/>
    </row>
    <row r="359" ht="15.75" customHeight="1">
      <c r="A359" s="136"/>
      <c r="H359" s="52"/>
    </row>
    <row r="360" ht="15.75" customHeight="1">
      <c r="A360" s="136"/>
      <c r="H360" s="52"/>
    </row>
    <row r="361" ht="15.75" customHeight="1">
      <c r="A361" s="136"/>
      <c r="H361" s="52"/>
    </row>
    <row r="362" ht="15.75" customHeight="1">
      <c r="A362" s="136"/>
      <c r="H362" s="52"/>
    </row>
    <row r="363" ht="15.75" customHeight="1">
      <c r="A363" s="136"/>
      <c r="H363" s="52"/>
    </row>
    <row r="364" ht="15.75" customHeight="1">
      <c r="A364" s="136"/>
      <c r="H364" s="52"/>
    </row>
    <row r="365" ht="15.75" customHeight="1">
      <c r="A365" s="136"/>
      <c r="H365" s="52"/>
    </row>
    <row r="366" ht="15.75" customHeight="1">
      <c r="A366" s="136"/>
      <c r="H366" s="52"/>
    </row>
    <row r="367" ht="15.75" customHeight="1">
      <c r="A367" s="136"/>
      <c r="H367" s="52"/>
    </row>
    <row r="368" ht="15.75" customHeight="1">
      <c r="A368" s="136"/>
      <c r="H368" s="52"/>
    </row>
    <row r="369" ht="15.75" customHeight="1">
      <c r="A369" s="136"/>
      <c r="H369" s="52"/>
    </row>
    <row r="370" ht="15.75" customHeight="1">
      <c r="A370" s="136"/>
      <c r="H370" s="52"/>
    </row>
    <row r="371" ht="15.75" customHeight="1">
      <c r="A371" s="136"/>
      <c r="H371" s="52"/>
    </row>
    <row r="372" ht="15.75" customHeight="1">
      <c r="A372" s="136"/>
      <c r="H372" s="52"/>
    </row>
    <row r="373" ht="15.75" customHeight="1">
      <c r="A373" s="136"/>
      <c r="H373" s="52"/>
    </row>
    <row r="374" ht="15.75" customHeight="1">
      <c r="A374" s="136"/>
      <c r="H374" s="52"/>
    </row>
    <row r="375" ht="15.75" customHeight="1">
      <c r="A375" s="136"/>
      <c r="H375" s="52"/>
    </row>
    <row r="376" ht="15.75" customHeight="1">
      <c r="A376" s="136"/>
      <c r="H376" s="52"/>
    </row>
    <row r="377" ht="15.75" customHeight="1">
      <c r="A377" s="136"/>
      <c r="H377" s="52"/>
    </row>
    <row r="378" ht="15.75" customHeight="1">
      <c r="A378" s="136"/>
      <c r="H378" s="52"/>
    </row>
    <row r="379" ht="15.75" customHeight="1">
      <c r="A379" s="136"/>
      <c r="H379" s="52"/>
    </row>
    <row r="380" ht="15.75" customHeight="1">
      <c r="A380" s="136"/>
      <c r="H380" s="52"/>
    </row>
    <row r="381" ht="15.75" customHeight="1">
      <c r="A381" s="136"/>
      <c r="H381" s="52"/>
    </row>
    <row r="382" ht="15.75" customHeight="1">
      <c r="A382" s="136"/>
      <c r="H382" s="52"/>
    </row>
    <row r="383" ht="15.75" customHeight="1">
      <c r="A383" s="136"/>
      <c r="H383" s="52"/>
    </row>
    <row r="384" ht="15.75" customHeight="1">
      <c r="A384" s="136"/>
      <c r="H384" s="52"/>
    </row>
    <row r="385" ht="15.75" customHeight="1">
      <c r="A385" s="136"/>
      <c r="H385" s="52"/>
    </row>
    <row r="386" ht="15.75" customHeight="1">
      <c r="A386" s="136"/>
      <c r="H386" s="52"/>
    </row>
    <row r="387" ht="15.75" customHeight="1">
      <c r="A387" s="136"/>
      <c r="H387" s="52"/>
    </row>
    <row r="388" ht="15.75" customHeight="1">
      <c r="A388" s="136"/>
      <c r="H388" s="52"/>
    </row>
    <row r="389" ht="15.75" customHeight="1">
      <c r="A389" s="136"/>
      <c r="H389" s="52"/>
    </row>
    <row r="390" ht="15.75" customHeight="1">
      <c r="A390" s="136"/>
      <c r="H390" s="52"/>
    </row>
    <row r="391" ht="15.75" customHeight="1">
      <c r="A391" s="136"/>
      <c r="H391" s="52"/>
    </row>
    <row r="392" ht="15.75" customHeight="1">
      <c r="A392" s="136"/>
      <c r="H392" s="52"/>
    </row>
    <row r="393" ht="15.75" customHeight="1">
      <c r="A393" s="136"/>
      <c r="H393" s="52"/>
    </row>
    <row r="394" ht="15.75" customHeight="1">
      <c r="A394" s="136"/>
      <c r="H394" s="52"/>
    </row>
    <row r="395" ht="15.75" customHeight="1">
      <c r="A395" s="136"/>
      <c r="H395" s="52"/>
    </row>
    <row r="396" ht="15.75" customHeight="1">
      <c r="A396" s="136"/>
      <c r="H396" s="52"/>
    </row>
    <row r="397" ht="15.75" customHeight="1">
      <c r="A397" s="136"/>
      <c r="H397" s="52"/>
    </row>
    <row r="398" ht="15.75" customHeight="1">
      <c r="A398" s="136"/>
      <c r="H398" s="52"/>
    </row>
    <row r="399" ht="15.75" customHeight="1">
      <c r="A399" s="136"/>
      <c r="H399" s="52"/>
    </row>
    <row r="400" ht="15.75" customHeight="1">
      <c r="A400" s="136"/>
      <c r="H400" s="52"/>
    </row>
    <row r="401" ht="15.75" customHeight="1">
      <c r="A401" s="136"/>
      <c r="H401" s="52"/>
    </row>
    <row r="402" ht="15.75" customHeight="1">
      <c r="A402" s="136"/>
      <c r="H402" s="52"/>
    </row>
    <row r="403" ht="15.75" customHeight="1">
      <c r="A403" s="136"/>
      <c r="H403" s="52"/>
    </row>
    <row r="404" ht="15.75" customHeight="1">
      <c r="A404" s="136"/>
      <c r="H404" s="52"/>
    </row>
    <row r="405" ht="15.75" customHeight="1">
      <c r="A405" s="136"/>
      <c r="H405" s="52"/>
    </row>
    <row r="406" ht="15.75" customHeight="1">
      <c r="A406" s="136"/>
      <c r="H406" s="52"/>
    </row>
    <row r="407" ht="15.75" customHeight="1">
      <c r="A407" s="136"/>
      <c r="H407" s="52"/>
    </row>
    <row r="408" ht="15.75" customHeight="1">
      <c r="A408" s="136"/>
      <c r="H408" s="52"/>
    </row>
    <row r="409" ht="15.75" customHeight="1">
      <c r="A409" s="136"/>
      <c r="H409" s="52"/>
    </row>
    <row r="410" ht="15.75" customHeight="1">
      <c r="A410" s="136"/>
      <c r="H410" s="52"/>
    </row>
    <row r="411" ht="15.75" customHeight="1">
      <c r="A411" s="136"/>
      <c r="H411" s="52"/>
    </row>
    <row r="412" ht="15.75" customHeight="1">
      <c r="A412" s="136"/>
      <c r="H412" s="52"/>
    </row>
    <row r="413" ht="15.75" customHeight="1">
      <c r="A413" s="136"/>
      <c r="H413" s="52"/>
    </row>
    <row r="414" ht="15.75" customHeight="1">
      <c r="A414" s="136"/>
      <c r="H414" s="52"/>
    </row>
    <row r="415" ht="15.75" customHeight="1">
      <c r="A415" s="136"/>
      <c r="H415" s="52"/>
    </row>
    <row r="416" ht="15.75" customHeight="1">
      <c r="A416" s="136"/>
      <c r="H416" s="52"/>
    </row>
    <row r="417" ht="15.75" customHeight="1">
      <c r="A417" s="136"/>
      <c r="H417" s="52"/>
    </row>
    <row r="418" ht="15.75" customHeight="1">
      <c r="A418" s="136"/>
      <c r="H418" s="52"/>
    </row>
    <row r="419" ht="15.75" customHeight="1">
      <c r="A419" s="136"/>
      <c r="H419" s="52"/>
    </row>
    <row r="420" ht="15.75" customHeight="1">
      <c r="A420" s="136"/>
      <c r="H420" s="52"/>
    </row>
    <row r="421" ht="15.75" customHeight="1">
      <c r="A421" s="136"/>
      <c r="H421" s="52"/>
    </row>
    <row r="422" ht="15.75" customHeight="1">
      <c r="A422" s="136"/>
      <c r="H422" s="52"/>
    </row>
    <row r="423" ht="15.75" customHeight="1">
      <c r="A423" s="136"/>
      <c r="H423" s="52"/>
    </row>
    <row r="424" ht="15.75" customHeight="1">
      <c r="A424" s="136"/>
      <c r="H424" s="52"/>
    </row>
    <row r="425" ht="15.75" customHeight="1">
      <c r="A425" s="136"/>
      <c r="H425" s="52"/>
    </row>
    <row r="426" ht="15.75" customHeight="1">
      <c r="A426" s="136"/>
      <c r="H426" s="52"/>
    </row>
    <row r="427" ht="15.75" customHeight="1">
      <c r="A427" s="136"/>
      <c r="H427" s="52"/>
    </row>
    <row r="428" ht="15.75" customHeight="1">
      <c r="A428" s="136"/>
      <c r="H428" s="52"/>
    </row>
    <row r="429" ht="15.75" customHeight="1">
      <c r="A429" s="136"/>
      <c r="H429" s="52"/>
    </row>
    <row r="430" ht="15.75" customHeight="1">
      <c r="A430" s="136"/>
      <c r="H430" s="52"/>
    </row>
    <row r="431" ht="15.75" customHeight="1">
      <c r="A431" s="136"/>
      <c r="H431" s="52"/>
    </row>
    <row r="432" ht="15.75" customHeight="1">
      <c r="A432" s="136"/>
      <c r="H432" s="52"/>
    </row>
    <row r="433" ht="15.75" customHeight="1">
      <c r="A433" s="136"/>
      <c r="H433" s="52"/>
    </row>
    <row r="434" ht="15.75" customHeight="1">
      <c r="A434" s="136"/>
      <c r="H434" s="52"/>
    </row>
    <row r="435" ht="15.75" customHeight="1">
      <c r="A435" s="136"/>
      <c r="H435" s="52"/>
    </row>
    <row r="436" ht="15.75" customHeight="1">
      <c r="A436" s="136"/>
      <c r="H436" s="52"/>
    </row>
    <row r="437" ht="15.75" customHeight="1">
      <c r="A437" s="136"/>
      <c r="H437" s="52"/>
    </row>
    <row r="438" ht="15.75" customHeight="1">
      <c r="A438" s="136"/>
      <c r="H438" s="52"/>
    </row>
    <row r="439" ht="15.75" customHeight="1">
      <c r="A439" s="136"/>
      <c r="H439" s="52"/>
    </row>
    <row r="440" ht="15.75" customHeight="1">
      <c r="A440" s="136"/>
      <c r="H440" s="52"/>
    </row>
    <row r="441" ht="15.75" customHeight="1">
      <c r="A441" s="136"/>
      <c r="H441" s="52"/>
    </row>
    <row r="442" ht="15.75" customHeight="1">
      <c r="A442" s="136"/>
      <c r="H442" s="52"/>
    </row>
    <row r="443" ht="15.75" customHeight="1">
      <c r="A443" s="136"/>
      <c r="H443" s="52"/>
    </row>
    <row r="444" ht="15.75" customHeight="1">
      <c r="A444" s="136"/>
      <c r="H444" s="52"/>
    </row>
    <row r="445" ht="15.75" customHeight="1">
      <c r="A445" s="136"/>
      <c r="H445" s="52"/>
    </row>
    <row r="446" ht="15.75" customHeight="1">
      <c r="A446" s="136"/>
      <c r="H446" s="52"/>
    </row>
    <row r="447" ht="15.75" customHeight="1">
      <c r="A447" s="136"/>
      <c r="H447" s="52"/>
    </row>
    <row r="448" ht="15.75" customHeight="1">
      <c r="A448" s="136"/>
      <c r="H448" s="52"/>
    </row>
    <row r="449" ht="15.75" customHeight="1">
      <c r="A449" s="136"/>
      <c r="H449" s="52"/>
    </row>
    <row r="450" ht="15.75" customHeight="1">
      <c r="A450" s="136"/>
      <c r="H450" s="52"/>
    </row>
    <row r="451" ht="15.75" customHeight="1">
      <c r="A451" s="136"/>
      <c r="H451" s="52"/>
    </row>
    <row r="452" ht="15.75" customHeight="1">
      <c r="A452" s="136"/>
      <c r="H452" s="52"/>
    </row>
    <row r="453" ht="15.75" customHeight="1">
      <c r="A453" s="136"/>
      <c r="H453" s="52"/>
    </row>
    <row r="454" ht="15.75" customHeight="1">
      <c r="A454" s="136"/>
      <c r="H454" s="52"/>
    </row>
    <row r="455" ht="15.75" customHeight="1">
      <c r="A455" s="136"/>
      <c r="H455" s="52"/>
    </row>
    <row r="456" ht="15.75" customHeight="1">
      <c r="A456" s="136"/>
      <c r="H456" s="52"/>
    </row>
    <row r="457" ht="15.75" customHeight="1">
      <c r="A457" s="136"/>
      <c r="H457" s="52"/>
    </row>
    <row r="458" ht="15.75" customHeight="1">
      <c r="A458" s="136"/>
      <c r="H458" s="52"/>
    </row>
    <row r="459" ht="15.75" customHeight="1">
      <c r="A459" s="136"/>
      <c r="H459" s="52"/>
    </row>
    <row r="460" ht="15.75" customHeight="1">
      <c r="A460" s="136"/>
      <c r="H460" s="52"/>
    </row>
    <row r="461" ht="15.75" customHeight="1">
      <c r="A461" s="136"/>
      <c r="H461" s="52"/>
    </row>
    <row r="462" ht="15.75" customHeight="1">
      <c r="A462" s="136"/>
      <c r="H462" s="52"/>
    </row>
    <row r="463" ht="15.75" customHeight="1">
      <c r="A463" s="136"/>
      <c r="H463" s="52"/>
    </row>
    <row r="464" ht="15.75" customHeight="1">
      <c r="A464" s="136"/>
      <c r="H464" s="52"/>
    </row>
    <row r="465" ht="15.75" customHeight="1">
      <c r="A465" s="136"/>
      <c r="H465" s="52"/>
    </row>
    <row r="466" ht="15.75" customHeight="1">
      <c r="A466" s="136"/>
      <c r="H466" s="52"/>
    </row>
    <row r="467" ht="15.75" customHeight="1">
      <c r="A467" s="136"/>
      <c r="H467" s="52"/>
    </row>
    <row r="468" ht="15.75" customHeight="1">
      <c r="A468" s="136"/>
      <c r="H468" s="52"/>
    </row>
    <row r="469" ht="15.75" customHeight="1">
      <c r="A469" s="136"/>
      <c r="H469" s="52"/>
    </row>
    <row r="470" ht="15.75" customHeight="1">
      <c r="A470" s="136"/>
      <c r="H470" s="52"/>
    </row>
    <row r="471" ht="15.75" customHeight="1">
      <c r="A471" s="136"/>
      <c r="H471" s="52"/>
    </row>
    <row r="472" ht="15.75" customHeight="1">
      <c r="A472" s="136"/>
      <c r="H472" s="52"/>
    </row>
    <row r="473" ht="15.75" customHeight="1">
      <c r="A473" s="136"/>
      <c r="H473" s="52"/>
    </row>
    <row r="474" ht="15.75" customHeight="1">
      <c r="A474" s="136"/>
      <c r="H474" s="52"/>
    </row>
    <row r="475" ht="15.75" customHeight="1">
      <c r="A475" s="136"/>
      <c r="H475" s="52"/>
    </row>
    <row r="476" ht="15.75" customHeight="1">
      <c r="A476" s="136"/>
      <c r="H476" s="52"/>
    </row>
    <row r="477" ht="15.75" customHeight="1">
      <c r="A477" s="136"/>
      <c r="H477" s="52"/>
    </row>
    <row r="478" ht="15.75" customHeight="1">
      <c r="A478" s="136"/>
      <c r="H478" s="52"/>
    </row>
    <row r="479" ht="15.75" customHeight="1">
      <c r="A479" s="136"/>
      <c r="H479" s="52"/>
    </row>
    <row r="480" ht="15.75" customHeight="1">
      <c r="A480" s="136"/>
      <c r="H480" s="52"/>
    </row>
    <row r="481" ht="15.75" customHeight="1">
      <c r="A481" s="136"/>
      <c r="H481" s="52"/>
    </row>
    <row r="482" ht="15.75" customHeight="1">
      <c r="A482" s="136"/>
      <c r="H482" s="52"/>
    </row>
    <row r="483" ht="15.75" customHeight="1">
      <c r="A483" s="136"/>
      <c r="H483" s="52"/>
    </row>
    <row r="484" ht="15.75" customHeight="1">
      <c r="A484" s="136"/>
      <c r="H484" s="52"/>
    </row>
    <row r="485" ht="15.75" customHeight="1">
      <c r="A485" s="136"/>
      <c r="H485" s="52"/>
    </row>
    <row r="486" ht="15.75" customHeight="1">
      <c r="A486" s="136"/>
      <c r="H486" s="52"/>
    </row>
    <row r="487" ht="15.75" customHeight="1">
      <c r="A487" s="136"/>
      <c r="H487" s="52"/>
    </row>
    <row r="488" ht="15.75" customHeight="1">
      <c r="A488" s="136"/>
      <c r="H488" s="52"/>
    </row>
    <row r="489" ht="15.75" customHeight="1">
      <c r="A489" s="136"/>
      <c r="H489" s="52"/>
    </row>
    <row r="490" ht="15.75" customHeight="1">
      <c r="A490" s="136"/>
      <c r="H490" s="52"/>
    </row>
    <row r="491" ht="15.75" customHeight="1">
      <c r="A491" s="136"/>
      <c r="H491" s="52"/>
    </row>
    <row r="492" ht="15.75" customHeight="1">
      <c r="A492" s="136"/>
      <c r="H492" s="52"/>
    </row>
    <row r="493" ht="15.75" customHeight="1">
      <c r="A493" s="136"/>
      <c r="H493" s="52"/>
    </row>
    <row r="494" ht="15.75" customHeight="1">
      <c r="A494" s="136"/>
      <c r="H494" s="52"/>
    </row>
    <row r="495" ht="15.75" customHeight="1">
      <c r="A495" s="136"/>
      <c r="H495" s="52"/>
    </row>
    <row r="496" ht="15.75" customHeight="1">
      <c r="A496" s="136"/>
      <c r="H496" s="52"/>
    </row>
    <row r="497" ht="15.75" customHeight="1">
      <c r="A497" s="136"/>
      <c r="H497" s="52"/>
    </row>
    <row r="498" ht="15.75" customHeight="1">
      <c r="A498" s="136"/>
      <c r="H498" s="52"/>
    </row>
    <row r="499" ht="15.75" customHeight="1">
      <c r="A499" s="136"/>
      <c r="H499" s="52"/>
    </row>
    <row r="500" ht="15.75" customHeight="1">
      <c r="A500" s="136"/>
      <c r="H500" s="52"/>
    </row>
    <row r="501" ht="15.75" customHeight="1">
      <c r="A501" s="136"/>
      <c r="H501" s="52"/>
    </row>
    <row r="502" ht="15.75" customHeight="1">
      <c r="A502" s="136"/>
      <c r="H502" s="52"/>
    </row>
    <row r="503" ht="15.75" customHeight="1">
      <c r="A503" s="136"/>
      <c r="H503" s="52"/>
    </row>
    <row r="504" ht="15.75" customHeight="1">
      <c r="A504" s="136"/>
      <c r="H504" s="52"/>
    </row>
    <row r="505" ht="15.75" customHeight="1">
      <c r="A505" s="136"/>
      <c r="H505" s="52"/>
    </row>
    <row r="506" ht="15.75" customHeight="1">
      <c r="A506" s="136"/>
      <c r="H506" s="52"/>
    </row>
    <row r="507" ht="15.75" customHeight="1">
      <c r="A507" s="136"/>
      <c r="H507" s="52"/>
    </row>
    <row r="508" ht="15.75" customHeight="1">
      <c r="A508" s="136"/>
      <c r="H508" s="52"/>
    </row>
    <row r="509" ht="15.75" customHeight="1">
      <c r="A509" s="136"/>
      <c r="H509" s="52"/>
    </row>
    <row r="510" ht="15.75" customHeight="1">
      <c r="A510" s="136"/>
      <c r="H510" s="52"/>
    </row>
    <row r="511" ht="15.75" customHeight="1">
      <c r="A511" s="136"/>
      <c r="H511" s="52"/>
    </row>
    <row r="512" ht="15.75" customHeight="1">
      <c r="A512" s="136"/>
      <c r="H512" s="52"/>
    </row>
    <row r="513" ht="15.75" customHeight="1">
      <c r="A513" s="136"/>
      <c r="H513" s="52"/>
    </row>
    <row r="514" ht="15.75" customHeight="1">
      <c r="A514" s="136"/>
      <c r="H514" s="52"/>
    </row>
    <row r="515" ht="15.75" customHeight="1">
      <c r="A515" s="136"/>
      <c r="H515" s="52"/>
    </row>
    <row r="516" ht="15.75" customHeight="1">
      <c r="A516" s="136"/>
      <c r="H516" s="52"/>
    </row>
    <row r="517" ht="15.75" customHeight="1">
      <c r="A517" s="136"/>
      <c r="H517" s="52"/>
    </row>
    <row r="518" ht="15.75" customHeight="1">
      <c r="A518" s="136"/>
      <c r="H518" s="52"/>
    </row>
    <row r="519" ht="15.75" customHeight="1">
      <c r="A519" s="136"/>
      <c r="H519" s="52"/>
    </row>
    <row r="520" ht="15.75" customHeight="1">
      <c r="A520" s="136"/>
      <c r="H520" s="52"/>
    </row>
    <row r="521" ht="15.75" customHeight="1">
      <c r="A521" s="136"/>
      <c r="H521" s="52"/>
    </row>
    <row r="522" ht="15.75" customHeight="1">
      <c r="A522" s="136"/>
      <c r="H522" s="52"/>
    </row>
    <row r="523" ht="15.75" customHeight="1">
      <c r="A523" s="136"/>
      <c r="H523" s="52"/>
    </row>
    <row r="524" ht="15.75" customHeight="1">
      <c r="A524" s="136"/>
      <c r="H524" s="52"/>
    </row>
    <row r="525" ht="15.75" customHeight="1">
      <c r="A525" s="136"/>
      <c r="H525" s="52"/>
    </row>
    <row r="526" ht="15.75" customHeight="1">
      <c r="A526" s="136"/>
      <c r="H526" s="52"/>
    </row>
    <row r="527" ht="15.75" customHeight="1">
      <c r="A527" s="136"/>
      <c r="H527" s="52"/>
    </row>
    <row r="528" ht="15.75" customHeight="1">
      <c r="A528" s="136"/>
      <c r="H528" s="52"/>
    </row>
    <row r="529" ht="15.75" customHeight="1">
      <c r="A529" s="136"/>
      <c r="H529" s="52"/>
    </row>
    <row r="530" ht="15.75" customHeight="1">
      <c r="A530" s="136"/>
      <c r="H530" s="52"/>
    </row>
    <row r="531" ht="15.75" customHeight="1">
      <c r="A531" s="136"/>
      <c r="H531" s="52"/>
    </row>
    <row r="532" ht="15.75" customHeight="1">
      <c r="A532" s="136"/>
      <c r="H532" s="52"/>
    </row>
    <row r="533" ht="15.75" customHeight="1">
      <c r="A533" s="136"/>
      <c r="H533" s="52"/>
    </row>
    <row r="534" ht="15.75" customHeight="1">
      <c r="A534" s="136"/>
      <c r="H534" s="52"/>
    </row>
    <row r="535" ht="15.75" customHeight="1">
      <c r="A535" s="136"/>
      <c r="H535" s="52"/>
    </row>
    <row r="536" ht="15.75" customHeight="1">
      <c r="A536" s="136"/>
      <c r="H536" s="52"/>
    </row>
    <row r="537" ht="15.75" customHeight="1">
      <c r="A537" s="136"/>
      <c r="H537" s="52"/>
    </row>
    <row r="538" ht="15.75" customHeight="1">
      <c r="A538" s="136"/>
      <c r="H538" s="52"/>
    </row>
    <row r="539" ht="15.75" customHeight="1">
      <c r="A539" s="136"/>
      <c r="H539" s="52"/>
    </row>
    <row r="540" ht="15.75" customHeight="1">
      <c r="A540" s="136"/>
      <c r="H540" s="52"/>
    </row>
    <row r="541" ht="15.75" customHeight="1">
      <c r="A541" s="136"/>
      <c r="H541" s="52"/>
    </row>
    <row r="542" ht="15.75" customHeight="1">
      <c r="A542" s="136"/>
      <c r="H542" s="52"/>
    </row>
    <row r="543" ht="15.75" customHeight="1">
      <c r="A543" s="136"/>
      <c r="H543" s="52"/>
    </row>
    <row r="544" ht="15.75" customHeight="1">
      <c r="A544" s="136"/>
      <c r="H544" s="52"/>
    </row>
    <row r="545" ht="15.75" customHeight="1">
      <c r="A545" s="136"/>
      <c r="H545" s="52"/>
    </row>
    <row r="546" ht="15.75" customHeight="1">
      <c r="A546" s="136"/>
      <c r="H546" s="52"/>
    </row>
    <row r="547" ht="15.75" customHeight="1">
      <c r="A547" s="136"/>
      <c r="H547" s="52"/>
    </row>
    <row r="548" ht="15.75" customHeight="1">
      <c r="A548" s="136"/>
      <c r="H548" s="52"/>
    </row>
    <row r="549" ht="15.75" customHeight="1">
      <c r="A549" s="136"/>
      <c r="H549" s="52"/>
    </row>
    <row r="550" ht="15.75" customHeight="1">
      <c r="A550" s="136"/>
      <c r="H550" s="52"/>
    </row>
    <row r="551" ht="15.75" customHeight="1">
      <c r="A551" s="136"/>
      <c r="H551" s="52"/>
    </row>
    <row r="552" ht="15.75" customHeight="1">
      <c r="A552" s="136"/>
      <c r="H552" s="52"/>
    </row>
    <row r="553" ht="15.75" customHeight="1">
      <c r="A553" s="136"/>
      <c r="H553" s="52"/>
    </row>
    <row r="554" ht="15.75" customHeight="1">
      <c r="A554" s="136"/>
      <c r="H554" s="52"/>
    </row>
    <row r="555" ht="15.75" customHeight="1">
      <c r="A555" s="136"/>
      <c r="H555" s="52"/>
    </row>
    <row r="556" ht="15.75" customHeight="1">
      <c r="A556" s="136"/>
      <c r="H556" s="52"/>
    </row>
    <row r="557" ht="15.75" customHeight="1">
      <c r="A557" s="136"/>
      <c r="H557" s="52"/>
    </row>
    <row r="558" ht="15.75" customHeight="1">
      <c r="A558" s="136"/>
      <c r="H558" s="52"/>
    </row>
    <row r="559" ht="15.75" customHeight="1">
      <c r="A559" s="136"/>
      <c r="H559" s="52"/>
    </row>
    <row r="560" ht="15.75" customHeight="1">
      <c r="A560" s="136"/>
      <c r="H560" s="52"/>
    </row>
    <row r="561" ht="15.75" customHeight="1">
      <c r="A561" s="136"/>
      <c r="H561" s="52"/>
    </row>
    <row r="562" ht="15.75" customHeight="1">
      <c r="A562" s="136"/>
      <c r="H562" s="52"/>
    </row>
    <row r="563" ht="15.75" customHeight="1">
      <c r="A563" s="136"/>
      <c r="H563" s="52"/>
    </row>
    <row r="564" ht="15.75" customHeight="1">
      <c r="A564" s="136"/>
      <c r="H564" s="52"/>
    </row>
    <row r="565" ht="15.75" customHeight="1">
      <c r="A565" s="136"/>
      <c r="H565" s="52"/>
    </row>
    <row r="566" ht="15.75" customHeight="1">
      <c r="A566" s="136"/>
      <c r="H566" s="52"/>
    </row>
    <row r="567" ht="15.75" customHeight="1">
      <c r="A567" s="136"/>
      <c r="H567" s="52"/>
    </row>
    <row r="568" ht="15.75" customHeight="1">
      <c r="A568" s="136"/>
      <c r="H568" s="52"/>
    </row>
    <row r="569" ht="15.75" customHeight="1">
      <c r="A569" s="136"/>
      <c r="H569" s="52"/>
    </row>
    <row r="570" ht="15.75" customHeight="1">
      <c r="A570" s="136"/>
      <c r="H570" s="52"/>
    </row>
    <row r="571" ht="15.75" customHeight="1">
      <c r="A571" s="136"/>
      <c r="H571" s="52"/>
    </row>
    <row r="572" ht="15.75" customHeight="1">
      <c r="A572" s="136"/>
      <c r="H572" s="52"/>
    </row>
    <row r="573" ht="15.75" customHeight="1">
      <c r="A573" s="136"/>
      <c r="H573" s="52"/>
    </row>
    <row r="574" ht="15.75" customHeight="1">
      <c r="A574" s="136"/>
      <c r="H574" s="52"/>
    </row>
    <row r="575" ht="15.75" customHeight="1">
      <c r="A575" s="136"/>
      <c r="H575" s="52"/>
    </row>
    <row r="576" ht="15.75" customHeight="1">
      <c r="A576" s="136"/>
      <c r="H576" s="52"/>
    </row>
    <row r="577" ht="15.75" customHeight="1">
      <c r="A577" s="136"/>
      <c r="H577" s="52"/>
    </row>
    <row r="578" ht="15.75" customHeight="1">
      <c r="A578" s="136"/>
      <c r="H578" s="52"/>
    </row>
    <row r="579" ht="15.75" customHeight="1">
      <c r="A579" s="136"/>
      <c r="H579" s="52"/>
    </row>
    <row r="580" ht="15.75" customHeight="1">
      <c r="A580" s="136"/>
      <c r="H580" s="52"/>
    </row>
    <row r="581" ht="15.75" customHeight="1">
      <c r="A581" s="136"/>
      <c r="H581" s="52"/>
    </row>
    <row r="582" ht="15.75" customHeight="1">
      <c r="A582" s="136"/>
      <c r="H582" s="52"/>
    </row>
    <row r="583" ht="15.75" customHeight="1">
      <c r="A583" s="136"/>
      <c r="H583" s="52"/>
    </row>
    <row r="584" ht="15.75" customHeight="1">
      <c r="A584" s="136"/>
      <c r="H584" s="52"/>
    </row>
    <row r="585" ht="15.75" customHeight="1">
      <c r="A585" s="136"/>
      <c r="H585" s="52"/>
    </row>
    <row r="586" ht="15.75" customHeight="1">
      <c r="A586" s="136"/>
      <c r="H586" s="52"/>
    </row>
    <row r="587" ht="15.75" customHeight="1">
      <c r="A587" s="136"/>
      <c r="H587" s="52"/>
    </row>
    <row r="588" ht="15.75" customHeight="1">
      <c r="A588" s="136"/>
      <c r="H588" s="52"/>
    </row>
    <row r="589" ht="15.75" customHeight="1">
      <c r="A589" s="136"/>
      <c r="H589" s="52"/>
    </row>
    <row r="590" ht="15.75" customHeight="1">
      <c r="A590" s="136"/>
      <c r="H590" s="52"/>
    </row>
    <row r="591" ht="15.75" customHeight="1">
      <c r="A591" s="136"/>
      <c r="H591" s="52"/>
    </row>
    <row r="592" ht="15.75" customHeight="1">
      <c r="A592" s="136"/>
      <c r="H592" s="52"/>
    </row>
    <row r="593" ht="15.75" customHeight="1">
      <c r="A593" s="136"/>
      <c r="H593" s="52"/>
    </row>
    <row r="594" ht="15.75" customHeight="1">
      <c r="A594" s="136"/>
      <c r="H594" s="52"/>
    </row>
    <row r="595" ht="15.75" customHeight="1">
      <c r="A595" s="136"/>
      <c r="H595" s="52"/>
    </row>
    <row r="596" ht="15.75" customHeight="1">
      <c r="A596" s="136"/>
      <c r="H596" s="52"/>
    </row>
    <row r="597" ht="15.75" customHeight="1">
      <c r="A597" s="136"/>
      <c r="H597" s="52"/>
    </row>
    <row r="598" ht="15.75" customHeight="1">
      <c r="A598" s="136"/>
      <c r="H598" s="52"/>
    </row>
    <row r="599" ht="15.75" customHeight="1">
      <c r="A599" s="136"/>
      <c r="H599" s="52"/>
    </row>
    <row r="600" ht="15.75" customHeight="1">
      <c r="A600" s="136"/>
      <c r="H600" s="52"/>
    </row>
    <row r="601" ht="15.75" customHeight="1">
      <c r="A601" s="136"/>
      <c r="H601" s="52"/>
    </row>
    <row r="602" ht="15.75" customHeight="1">
      <c r="A602" s="136"/>
      <c r="H602" s="52"/>
    </row>
    <row r="603" ht="15.75" customHeight="1">
      <c r="A603" s="136"/>
      <c r="H603" s="52"/>
    </row>
    <row r="604" ht="15.75" customHeight="1">
      <c r="A604" s="136"/>
      <c r="H604" s="52"/>
    </row>
    <row r="605" ht="15.75" customHeight="1">
      <c r="A605" s="136"/>
      <c r="H605" s="52"/>
    </row>
    <row r="606" ht="15.75" customHeight="1">
      <c r="A606" s="136"/>
      <c r="H606" s="52"/>
    </row>
    <row r="607" ht="15.75" customHeight="1">
      <c r="A607" s="136"/>
      <c r="H607" s="52"/>
    </row>
    <row r="608" ht="15.75" customHeight="1">
      <c r="A608" s="136"/>
      <c r="H608" s="52"/>
    </row>
    <row r="609" ht="15.75" customHeight="1">
      <c r="A609" s="136"/>
      <c r="H609" s="52"/>
    </row>
    <row r="610" ht="15.75" customHeight="1">
      <c r="A610" s="136"/>
      <c r="H610" s="52"/>
    </row>
    <row r="611" ht="15.75" customHeight="1">
      <c r="A611" s="136"/>
      <c r="H611" s="52"/>
    </row>
    <row r="612" ht="15.75" customHeight="1">
      <c r="A612" s="136"/>
      <c r="H612" s="52"/>
    </row>
    <row r="613" ht="15.75" customHeight="1">
      <c r="A613" s="136"/>
      <c r="H613" s="52"/>
    </row>
    <row r="614" ht="15.75" customHeight="1">
      <c r="A614" s="136"/>
      <c r="H614" s="52"/>
    </row>
    <row r="615" ht="15.75" customHeight="1">
      <c r="A615" s="136"/>
      <c r="H615" s="52"/>
    </row>
    <row r="616" ht="15.75" customHeight="1">
      <c r="A616" s="136"/>
      <c r="H616" s="52"/>
    </row>
    <row r="617" ht="15.75" customHeight="1">
      <c r="A617" s="136"/>
      <c r="H617" s="52"/>
    </row>
    <row r="618" ht="15.75" customHeight="1">
      <c r="A618" s="136"/>
      <c r="H618" s="52"/>
    </row>
    <row r="619" ht="15.75" customHeight="1">
      <c r="A619" s="136"/>
      <c r="H619" s="52"/>
    </row>
    <row r="620" ht="15.75" customHeight="1">
      <c r="A620" s="136"/>
      <c r="H620" s="52"/>
    </row>
    <row r="621" ht="15.75" customHeight="1">
      <c r="A621" s="136"/>
      <c r="H621" s="52"/>
    </row>
    <row r="622" ht="15.75" customHeight="1">
      <c r="A622" s="136"/>
      <c r="H622" s="52"/>
    </row>
    <row r="623" ht="15.75" customHeight="1">
      <c r="A623" s="136"/>
      <c r="H623" s="52"/>
    </row>
    <row r="624" ht="15.75" customHeight="1">
      <c r="A624" s="136"/>
      <c r="H624" s="52"/>
    </row>
    <row r="625" ht="15.75" customHeight="1">
      <c r="A625" s="136"/>
      <c r="H625" s="52"/>
    </row>
    <row r="626" ht="15.75" customHeight="1">
      <c r="A626" s="136"/>
      <c r="H626" s="52"/>
    </row>
    <row r="627" ht="15.75" customHeight="1">
      <c r="A627" s="136"/>
      <c r="H627" s="52"/>
    </row>
    <row r="628" ht="15.75" customHeight="1">
      <c r="A628" s="136"/>
      <c r="H628" s="52"/>
    </row>
    <row r="629" ht="15.75" customHeight="1">
      <c r="A629" s="136"/>
      <c r="H629" s="52"/>
    </row>
    <row r="630" ht="15.75" customHeight="1">
      <c r="A630" s="136"/>
      <c r="H630" s="52"/>
    </row>
    <row r="631" ht="15.75" customHeight="1">
      <c r="A631" s="136"/>
      <c r="H631" s="52"/>
    </row>
    <row r="632" ht="15.75" customHeight="1">
      <c r="A632" s="136"/>
      <c r="H632" s="52"/>
    </row>
    <row r="633" ht="15.75" customHeight="1">
      <c r="A633" s="136"/>
      <c r="H633" s="52"/>
    </row>
    <row r="634" ht="15.75" customHeight="1">
      <c r="A634" s="136"/>
      <c r="H634" s="52"/>
    </row>
    <row r="635" ht="15.75" customHeight="1">
      <c r="A635" s="136"/>
      <c r="H635" s="52"/>
    </row>
    <row r="636" ht="15.75" customHeight="1">
      <c r="A636" s="136"/>
      <c r="H636" s="52"/>
    </row>
    <row r="637" ht="15.75" customHeight="1">
      <c r="A637" s="136"/>
      <c r="H637" s="52"/>
    </row>
    <row r="638" ht="15.75" customHeight="1">
      <c r="A638" s="136"/>
      <c r="H638" s="52"/>
    </row>
    <row r="639" ht="15.75" customHeight="1">
      <c r="A639" s="136"/>
      <c r="H639" s="52"/>
    </row>
    <row r="640" ht="15.75" customHeight="1">
      <c r="A640" s="136"/>
      <c r="H640" s="52"/>
    </row>
    <row r="641" ht="15.75" customHeight="1">
      <c r="A641" s="136"/>
      <c r="H641" s="52"/>
    </row>
    <row r="642" ht="15.75" customHeight="1">
      <c r="A642" s="136"/>
      <c r="H642" s="52"/>
    </row>
    <row r="643" ht="15.75" customHeight="1">
      <c r="A643" s="136"/>
      <c r="H643" s="52"/>
    </row>
    <row r="644" ht="15.75" customHeight="1">
      <c r="A644" s="136"/>
      <c r="H644" s="52"/>
    </row>
    <row r="645" ht="15.75" customHeight="1">
      <c r="A645" s="136"/>
      <c r="H645" s="52"/>
    </row>
    <row r="646" ht="15.75" customHeight="1">
      <c r="A646" s="136"/>
      <c r="H646" s="52"/>
    </row>
    <row r="647" ht="15.75" customHeight="1">
      <c r="A647" s="136"/>
      <c r="H647" s="52"/>
    </row>
    <row r="648" ht="15.75" customHeight="1">
      <c r="A648" s="136"/>
      <c r="H648" s="52"/>
    </row>
    <row r="649" ht="15.75" customHeight="1">
      <c r="A649" s="136"/>
      <c r="H649" s="52"/>
    </row>
    <row r="650" ht="15.75" customHeight="1">
      <c r="A650" s="136"/>
      <c r="H650" s="52"/>
    </row>
    <row r="651" ht="15.75" customHeight="1">
      <c r="A651" s="136"/>
      <c r="H651" s="52"/>
    </row>
    <row r="652" ht="15.75" customHeight="1">
      <c r="A652" s="136"/>
      <c r="H652" s="52"/>
    </row>
    <row r="653" ht="15.75" customHeight="1">
      <c r="A653" s="136"/>
      <c r="H653" s="52"/>
    </row>
    <row r="654" ht="15.75" customHeight="1">
      <c r="A654" s="136"/>
      <c r="H654" s="52"/>
    </row>
    <row r="655" ht="15.75" customHeight="1">
      <c r="A655" s="136"/>
      <c r="H655" s="52"/>
    </row>
    <row r="656" ht="15.75" customHeight="1">
      <c r="A656" s="136"/>
      <c r="H656" s="52"/>
    </row>
    <row r="657" ht="15.75" customHeight="1">
      <c r="A657" s="136"/>
      <c r="H657" s="52"/>
    </row>
    <row r="658" ht="15.75" customHeight="1">
      <c r="A658" s="136"/>
      <c r="H658" s="52"/>
    </row>
    <row r="659" ht="15.75" customHeight="1">
      <c r="A659" s="136"/>
      <c r="H659" s="52"/>
    </row>
    <row r="660" ht="15.75" customHeight="1">
      <c r="A660" s="136"/>
      <c r="H660" s="52"/>
    </row>
    <row r="661" ht="15.75" customHeight="1">
      <c r="A661" s="136"/>
      <c r="H661" s="52"/>
    </row>
    <row r="662" ht="15.75" customHeight="1">
      <c r="A662" s="136"/>
      <c r="H662" s="52"/>
    </row>
    <row r="663" ht="15.75" customHeight="1">
      <c r="A663" s="136"/>
      <c r="H663" s="52"/>
    </row>
    <row r="664" ht="15.75" customHeight="1">
      <c r="A664" s="136"/>
      <c r="H664" s="52"/>
    </row>
    <row r="665" ht="15.75" customHeight="1">
      <c r="A665" s="136"/>
      <c r="H665" s="52"/>
    </row>
    <row r="666" ht="15.75" customHeight="1">
      <c r="A666" s="136"/>
      <c r="H666" s="52"/>
    </row>
    <row r="667" ht="15.75" customHeight="1">
      <c r="A667" s="136"/>
      <c r="H667" s="52"/>
    </row>
    <row r="668" ht="15.75" customHeight="1">
      <c r="A668" s="136"/>
      <c r="H668" s="52"/>
    </row>
    <row r="669" ht="15.75" customHeight="1">
      <c r="A669" s="136"/>
      <c r="H669" s="52"/>
    </row>
    <row r="670" ht="15.75" customHeight="1">
      <c r="A670" s="136"/>
      <c r="H670" s="52"/>
    </row>
    <row r="671" ht="15.75" customHeight="1">
      <c r="A671" s="136"/>
      <c r="H671" s="52"/>
    </row>
    <row r="672" ht="15.75" customHeight="1">
      <c r="A672" s="136"/>
      <c r="H672" s="52"/>
    </row>
    <row r="673" ht="15.75" customHeight="1">
      <c r="A673" s="136"/>
      <c r="H673" s="52"/>
    </row>
    <row r="674" ht="15.75" customHeight="1">
      <c r="A674" s="136"/>
      <c r="H674" s="52"/>
    </row>
    <row r="675" ht="15.75" customHeight="1">
      <c r="A675" s="136"/>
      <c r="H675" s="52"/>
    </row>
    <row r="676" ht="15.75" customHeight="1">
      <c r="A676" s="136"/>
      <c r="H676" s="52"/>
    </row>
    <row r="677" ht="15.75" customHeight="1">
      <c r="A677" s="136"/>
      <c r="H677" s="52"/>
    </row>
    <row r="678" ht="15.75" customHeight="1">
      <c r="A678" s="136"/>
      <c r="H678" s="52"/>
    </row>
    <row r="679" ht="15.75" customHeight="1">
      <c r="A679" s="136"/>
      <c r="H679" s="52"/>
    </row>
    <row r="680" ht="15.75" customHeight="1">
      <c r="A680" s="136"/>
      <c r="H680" s="52"/>
    </row>
    <row r="681" ht="15.75" customHeight="1">
      <c r="A681" s="136"/>
      <c r="H681" s="52"/>
    </row>
    <row r="682" ht="15.75" customHeight="1">
      <c r="A682" s="136"/>
      <c r="H682" s="52"/>
    </row>
    <row r="683" ht="15.75" customHeight="1">
      <c r="A683" s="136"/>
      <c r="H683" s="52"/>
    </row>
    <row r="684" ht="15.75" customHeight="1">
      <c r="A684" s="136"/>
      <c r="H684" s="52"/>
    </row>
    <row r="685" ht="15.75" customHeight="1">
      <c r="A685" s="136"/>
      <c r="H685" s="52"/>
    </row>
    <row r="686" ht="15.75" customHeight="1">
      <c r="A686" s="136"/>
      <c r="H686" s="52"/>
    </row>
    <row r="687" ht="15.75" customHeight="1">
      <c r="A687" s="136"/>
      <c r="H687" s="52"/>
    </row>
    <row r="688" ht="15.75" customHeight="1">
      <c r="A688" s="136"/>
      <c r="H688" s="52"/>
    </row>
    <row r="689" ht="15.75" customHeight="1">
      <c r="A689" s="136"/>
      <c r="H689" s="52"/>
    </row>
    <row r="690" ht="15.75" customHeight="1">
      <c r="A690" s="136"/>
      <c r="H690" s="52"/>
    </row>
    <row r="691" ht="15.75" customHeight="1">
      <c r="A691" s="136"/>
      <c r="H691" s="52"/>
    </row>
    <row r="692" ht="15.75" customHeight="1">
      <c r="A692" s="136"/>
      <c r="H692" s="52"/>
    </row>
    <row r="693" ht="15.75" customHeight="1">
      <c r="A693" s="136"/>
      <c r="H693" s="52"/>
    </row>
    <row r="694" ht="15.75" customHeight="1">
      <c r="A694" s="136"/>
      <c r="H694" s="52"/>
    </row>
    <row r="695" ht="15.75" customHeight="1">
      <c r="A695" s="136"/>
      <c r="H695" s="52"/>
    </row>
    <row r="696" ht="15.75" customHeight="1">
      <c r="A696" s="136"/>
      <c r="H696" s="52"/>
    </row>
    <row r="697" ht="15.75" customHeight="1">
      <c r="A697" s="136"/>
      <c r="H697" s="52"/>
    </row>
    <row r="698" ht="15.75" customHeight="1">
      <c r="A698" s="136"/>
      <c r="H698" s="52"/>
    </row>
    <row r="699" ht="15.75" customHeight="1">
      <c r="A699" s="136"/>
      <c r="H699" s="52"/>
    </row>
    <row r="700" ht="15.75" customHeight="1">
      <c r="A700" s="136"/>
      <c r="H700" s="52"/>
    </row>
    <row r="701" ht="15.75" customHeight="1">
      <c r="A701" s="136"/>
      <c r="H701" s="52"/>
    </row>
    <row r="702" ht="15.75" customHeight="1">
      <c r="A702" s="136"/>
      <c r="H702" s="52"/>
    </row>
    <row r="703" ht="15.75" customHeight="1">
      <c r="A703" s="136"/>
      <c r="H703" s="52"/>
    </row>
    <row r="704" ht="15.75" customHeight="1">
      <c r="A704" s="136"/>
      <c r="H704" s="52"/>
    </row>
    <row r="705" ht="15.75" customHeight="1">
      <c r="A705" s="136"/>
      <c r="H705" s="52"/>
    </row>
    <row r="706" ht="15.75" customHeight="1">
      <c r="A706" s="136"/>
      <c r="H706" s="52"/>
    </row>
    <row r="707" ht="15.75" customHeight="1">
      <c r="A707" s="136"/>
      <c r="H707" s="52"/>
    </row>
    <row r="708" ht="15.75" customHeight="1">
      <c r="A708" s="136"/>
      <c r="H708" s="52"/>
    </row>
    <row r="709" ht="15.75" customHeight="1">
      <c r="A709" s="136"/>
      <c r="H709" s="52"/>
    </row>
    <row r="710" ht="15.75" customHeight="1">
      <c r="A710" s="136"/>
      <c r="H710" s="52"/>
    </row>
    <row r="711" ht="15.75" customHeight="1">
      <c r="A711" s="136"/>
      <c r="H711" s="52"/>
    </row>
    <row r="712" ht="15.75" customHeight="1">
      <c r="A712" s="136"/>
      <c r="H712" s="52"/>
    </row>
    <row r="713" ht="15.75" customHeight="1">
      <c r="A713" s="136"/>
      <c r="H713" s="52"/>
    </row>
    <row r="714" ht="15.75" customHeight="1">
      <c r="A714" s="136"/>
      <c r="H714" s="52"/>
    </row>
    <row r="715" ht="15.75" customHeight="1">
      <c r="A715" s="136"/>
      <c r="H715" s="52"/>
    </row>
    <row r="716" ht="15.75" customHeight="1">
      <c r="A716" s="136"/>
      <c r="H716" s="52"/>
    </row>
    <row r="717" ht="15.75" customHeight="1">
      <c r="A717" s="136"/>
      <c r="H717" s="52"/>
    </row>
    <row r="718" ht="15.75" customHeight="1">
      <c r="A718" s="136"/>
      <c r="H718" s="52"/>
    </row>
    <row r="719" ht="15.75" customHeight="1">
      <c r="A719" s="136"/>
      <c r="H719" s="52"/>
    </row>
    <row r="720" ht="15.75" customHeight="1">
      <c r="A720" s="136"/>
      <c r="H720" s="52"/>
    </row>
    <row r="721" ht="15.75" customHeight="1">
      <c r="A721" s="136"/>
      <c r="H721" s="52"/>
    </row>
    <row r="722" ht="15.75" customHeight="1">
      <c r="A722" s="136"/>
      <c r="H722" s="52"/>
    </row>
    <row r="723" ht="15.75" customHeight="1">
      <c r="A723" s="136"/>
      <c r="H723" s="52"/>
    </row>
    <row r="724" ht="15.75" customHeight="1">
      <c r="A724" s="136"/>
      <c r="H724" s="52"/>
    </row>
    <row r="725" ht="15.75" customHeight="1">
      <c r="A725" s="136"/>
      <c r="H725" s="52"/>
    </row>
    <row r="726" ht="15.75" customHeight="1">
      <c r="A726" s="136"/>
      <c r="H726" s="52"/>
    </row>
    <row r="727" ht="15.75" customHeight="1">
      <c r="A727" s="136"/>
      <c r="H727" s="52"/>
    </row>
    <row r="728" ht="15.75" customHeight="1">
      <c r="A728" s="136"/>
      <c r="H728" s="52"/>
    </row>
    <row r="729" ht="15.75" customHeight="1">
      <c r="A729" s="136"/>
      <c r="H729" s="52"/>
    </row>
    <row r="730" ht="15.75" customHeight="1">
      <c r="A730" s="136"/>
      <c r="H730" s="52"/>
    </row>
    <row r="731" ht="15.75" customHeight="1">
      <c r="A731" s="136"/>
      <c r="H731" s="52"/>
    </row>
    <row r="732" ht="15.75" customHeight="1">
      <c r="A732" s="136"/>
      <c r="H732" s="52"/>
    </row>
    <row r="733" ht="15.75" customHeight="1">
      <c r="A733" s="136"/>
      <c r="H733" s="52"/>
    </row>
    <row r="734" ht="15.75" customHeight="1">
      <c r="A734" s="136"/>
      <c r="H734" s="52"/>
    </row>
    <row r="735" ht="15.75" customHeight="1">
      <c r="A735" s="136"/>
      <c r="H735" s="52"/>
    </row>
    <row r="736" ht="15.75" customHeight="1">
      <c r="A736" s="136"/>
      <c r="H736" s="52"/>
    </row>
    <row r="737" ht="15.75" customHeight="1">
      <c r="A737" s="136"/>
      <c r="H737" s="52"/>
    </row>
    <row r="738" ht="15.75" customHeight="1">
      <c r="A738" s="136"/>
      <c r="H738" s="52"/>
    </row>
    <row r="739" ht="15.75" customHeight="1">
      <c r="A739" s="136"/>
      <c r="H739" s="52"/>
    </row>
    <row r="740" ht="15.75" customHeight="1">
      <c r="A740" s="136"/>
      <c r="H740" s="52"/>
    </row>
    <row r="741" ht="15.75" customHeight="1">
      <c r="A741" s="136"/>
      <c r="H741" s="52"/>
    </row>
    <row r="742" ht="15.75" customHeight="1">
      <c r="A742" s="136"/>
      <c r="H742" s="52"/>
    </row>
    <row r="743" ht="15.75" customHeight="1">
      <c r="A743" s="136"/>
      <c r="H743" s="52"/>
    </row>
    <row r="744" ht="15.75" customHeight="1">
      <c r="A744" s="136"/>
      <c r="H744" s="52"/>
    </row>
    <row r="745" ht="15.75" customHeight="1">
      <c r="A745" s="136"/>
      <c r="H745" s="52"/>
    </row>
    <row r="746" ht="15.75" customHeight="1">
      <c r="A746" s="136"/>
      <c r="H746" s="52"/>
    </row>
    <row r="747" ht="15.75" customHeight="1">
      <c r="A747" s="136"/>
      <c r="H747" s="52"/>
    </row>
    <row r="748" ht="15.75" customHeight="1">
      <c r="A748" s="136"/>
      <c r="H748" s="52"/>
    </row>
    <row r="749" ht="15.75" customHeight="1">
      <c r="A749" s="136"/>
      <c r="H749" s="52"/>
    </row>
    <row r="750" ht="15.75" customHeight="1">
      <c r="A750" s="136"/>
      <c r="H750" s="52"/>
    </row>
    <row r="751" ht="15.75" customHeight="1">
      <c r="A751" s="136"/>
      <c r="H751" s="52"/>
    </row>
    <row r="752" ht="15.75" customHeight="1">
      <c r="A752" s="136"/>
      <c r="H752" s="52"/>
    </row>
    <row r="753" ht="15.75" customHeight="1">
      <c r="A753" s="136"/>
      <c r="H753" s="52"/>
    </row>
    <row r="754" ht="15.75" customHeight="1">
      <c r="A754" s="136"/>
      <c r="H754" s="52"/>
    </row>
    <row r="755" ht="15.75" customHeight="1">
      <c r="A755" s="136"/>
      <c r="H755" s="52"/>
    </row>
    <row r="756" ht="15.75" customHeight="1">
      <c r="A756" s="136"/>
      <c r="H756" s="52"/>
    </row>
    <row r="757" ht="15.75" customHeight="1">
      <c r="A757" s="136"/>
      <c r="H757" s="52"/>
    </row>
    <row r="758" ht="15.75" customHeight="1">
      <c r="A758" s="136"/>
      <c r="H758" s="52"/>
    </row>
    <row r="759" ht="15.75" customHeight="1">
      <c r="A759" s="136"/>
      <c r="H759" s="52"/>
    </row>
    <row r="760" ht="15.75" customHeight="1">
      <c r="A760" s="136"/>
      <c r="H760" s="52"/>
    </row>
    <row r="761" ht="15.75" customHeight="1">
      <c r="A761" s="136"/>
      <c r="H761" s="52"/>
    </row>
    <row r="762" ht="15.75" customHeight="1">
      <c r="A762" s="136"/>
      <c r="H762" s="52"/>
    </row>
    <row r="763" ht="15.75" customHeight="1">
      <c r="A763" s="136"/>
      <c r="H763" s="52"/>
    </row>
    <row r="764" ht="15.75" customHeight="1">
      <c r="A764" s="136"/>
      <c r="H764" s="52"/>
    </row>
    <row r="765" ht="15.75" customHeight="1">
      <c r="A765" s="136"/>
      <c r="H765" s="52"/>
    </row>
    <row r="766" ht="15.75" customHeight="1">
      <c r="A766" s="136"/>
      <c r="H766" s="52"/>
    </row>
    <row r="767" ht="15.75" customHeight="1">
      <c r="A767" s="136"/>
      <c r="H767" s="52"/>
    </row>
    <row r="768" ht="15.75" customHeight="1">
      <c r="A768" s="136"/>
      <c r="H768" s="52"/>
    </row>
    <row r="769" ht="15.75" customHeight="1">
      <c r="A769" s="136"/>
      <c r="H769" s="52"/>
    </row>
    <row r="770" ht="15.75" customHeight="1">
      <c r="A770" s="136"/>
      <c r="H770" s="52"/>
    </row>
    <row r="771" ht="15.75" customHeight="1">
      <c r="A771" s="136"/>
      <c r="H771" s="52"/>
    </row>
    <row r="772" ht="15.75" customHeight="1">
      <c r="A772" s="136"/>
      <c r="H772" s="52"/>
    </row>
    <row r="773" ht="15.75" customHeight="1">
      <c r="A773" s="136"/>
      <c r="H773" s="52"/>
    </row>
    <row r="774" ht="15.75" customHeight="1">
      <c r="A774" s="136"/>
      <c r="H774" s="52"/>
    </row>
    <row r="775" ht="15.75" customHeight="1">
      <c r="A775" s="136"/>
      <c r="H775" s="52"/>
    </row>
    <row r="776" ht="15.75" customHeight="1">
      <c r="A776" s="136"/>
      <c r="H776" s="52"/>
    </row>
    <row r="777" ht="15.75" customHeight="1">
      <c r="A777" s="136"/>
      <c r="H777" s="52"/>
    </row>
    <row r="778" ht="15.75" customHeight="1">
      <c r="A778" s="136"/>
      <c r="H778" s="52"/>
    </row>
    <row r="779" ht="15.75" customHeight="1">
      <c r="A779" s="136"/>
      <c r="H779" s="52"/>
    </row>
    <row r="780" ht="15.75" customHeight="1">
      <c r="A780" s="136"/>
      <c r="H780" s="52"/>
    </row>
    <row r="781" ht="15.75" customHeight="1">
      <c r="A781" s="136"/>
      <c r="H781" s="52"/>
    </row>
    <row r="782" ht="15.75" customHeight="1">
      <c r="A782" s="136"/>
      <c r="H782" s="52"/>
    </row>
    <row r="783" ht="15.75" customHeight="1">
      <c r="A783" s="136"/>
      <c r="H783" s="52"/>
    </row>
    <row r="784" ht="15.75" customHeight="1">
      <c r="A784" s="136"/>
      <c r="H784" s="52"/>
    </row>
    <row r="785" ht="15.75" customHeight="1">
      <c r="A785" s="136"/>
      <c r="H785" s="52"/>
    </row>
    <row r="786" ht="15.75" customHeight="1">
      <c r="A786" s="136"/>
      <c r="H786" s="52"/>
    </row>
    <row r="787" ht="15.75" customHeight="1">
      <c r="A787" s="136"/>
      <c r="H787" s="52"/>
    </row>
    <row r="788" ht="15.75" customHeight="1">
      <c r="A788" s="136"/>
      <c r="H788" s="52"/>
    </row>
    <row r="789" ht="15.75" customHeight="1">
      <c r="A789" s="136"/>
      <c r="H789" s="52"/>
    </row>
    <row r="790" ht="15.75" customHeight="1">
      <c r="A790" s="136"/>
      <c r="H790" s="52"/>
    </row>
    <row r="791" ht="15.75" customHeight="1">
      <c r="A791" s="136"/>
      <c r="H791" s="52"/>
    </row>
    <row r="792" ht="15.75" customHeight="1">
      <c r="A792" s="136"/>
      <c r="H792" s="52"/>
    </row>
    <row r="793" ht="15.75" customHeight="1">
      <c r="A793" s="136"/>
      <c r="H793" s="52"/>
    </row>
    <row r="794" ht="15.75" customHeight="1">
      <c r="A794" s="136"/>
      <c r="H794" s="52"/>
    </row>
    <row r="795" ht="15.75" customHeight="1">
      <c r="A795" s="136"/>
      <c r="H795" s="52"/>
    </row>
    <row r="796" ht="15.75" customHeight="1">
      <c r="A796" s="136"/>
      <c r="H796" s="52"/>
    </row>
    <row r="797" ht="15.75" customHeight="1">
      <c r="A797" s="136"/>
      <c r="H797" s="52"/>
    </row>
    <row r="798" ht="15.75" customHeight="1">
      <c r="A798" s="136"/>
      <c r="H798" s="52"/>
    </row>
    <row r="799" ht="15.75" customHeight="1">
      <c r="A799" s="136"/>
      <c r="H799" s="52"/>
    </row>
    <row r="800" ht="15.75" customHeight="1">
      <c r="A800" s="136"/>
      <c r="H800" s="52"/>
    </row>
    <row r="801" ht="15.75" customHeight="1">
      <c r="A801" s="136"/>
      <c r="H801" s="52"/>
    </row>
    <row r="802" ht="15.75" customHeight="1">
      <c r="A802" s="136"/>
      <c r="H802" s="52"/>
    </row>
    <row r="803" ht="15.75" customHeight="1">
      <c r="A803" s="136"/>
      <c r="H803" s="52"/>
    </row>
    <row r="804" ht="15.75" customHeight="1">
      <c r="A804" s="136"/>
      <c r="H804" s="52"/>
    </row>
    <row r="805" ht="15.75" customHeight="1">
      <c r="A805" s="136"/>
      <c r="H805" s="52"/>
    </row>
    <row r="806" ht="15.75" customHeight="1">
      <c r="A806" s="136"/>
      <c r="H806" s="52"/>
    </row>
    <row r="807" ht="15.75" customHeight="1">
      <c r="A807" s="136"/>
      <c r="H807" s="52"/>
    </row>
    <row r="808" ht="15.75" customHeight="1">
      <c r="A808" s="136"/>
      <c r="H808" s="52"/>
    </row>
    <row r="809" ht="15.75" customHeight="1">
      <c r="A809" s="136"/>
      <c r="H809" s="52"/>
    </row>
    <row r="810" ht="15.75" customHeight="1">
      <c r="A810" s="136"/>
      <c r="H810" s="52"/>
    </row>
    <row r="811" ht="15.75" customHeight="1">
      <c r="A811" s="136"/>
      <c r="H811" s="52"/>
    </row>
    <row r="812" ht="15.75" customHeight="1">
      <c r="A812" s="136"/>
      <c r="H812" s="52"/>
    </row>
    <row r="813" ht="15.75" customHeight="1">
      <c r="A813" s="136"/>
      <c r="H813" s="52"/>
    </row>
    <row r="814" ht="15.75" customHeight="1">
      <c r="A814" s="136"/>
      <c r="H814" s="52"/>
    </row>
    <row r="815" ht="15.75" customHeight="1">
      <c r="A815" s="136"/>
      <c r="H815" s="52"/>
    </row>
    <row r="816" ht="15.75" customHeight="1">
      <c r="A816" s="136"/>
      <c r="H816" s="52"/>
    </row>
    <row r="817" ht="15.75" customHeight="1">
      <c r="A817" s="136"/>
      <c r="H817" s="52"/>
    </row>
    <row r="818" ht="15.75" customHeight="1">
      <c r="A818" s="136"/>
      <c r="H818" s="52"/>
    </row>
    <row r="819" ht="15.75" customHeight="1">
      <c r="A819" s="136"/>
      <c r="H819" s="52"/>
    </row>
    <row r="820" ht="15.75" customHeight="1">
      <c r="A820" s="136"/>
      <c r="H820" s="52"/>
    </row>
    <row r="821" ht="15.75" customHeight="1">
      <c r="A821" s="136"/>
      <c r="H821" s="52"/>
    </row>
    <row r="822" ht="15.75" customHeight="1">
      <c r="A822" s="136"/>
      <c r="H822" s="52"/>
    </row>
    <row r="823" ht="15.75" customHeight="1">
      <c r="A823" s="136"/>
      <c r="H823" s="52"/>
    </row>
    <row r="824" ht="15.75" customHeight="1">
      <c r="A824" s="136"/>
      <c r="H824" s="52"/>
    </row>
    <row r="825" ht="15.75" customHeight="1">
      <c r="A825" s="136"/>
      <c r="H825" s="52"/>
    </row>
    <row r="826" ht="15.75" customHeight="1">
      <c r="A826" s="136"/>
      <c r="H826" s="52"/>
    </row>
    <row r="827" ht="15.75" customHeight="1">
      <c r="A827" s="136"/>
      <c r="H827" s="52"/>
    </row>
    <row r="828" ht="15.75" customHeight="1">
      <c r="A828" s="136"/>
      <c r="H828" s="52"/>
    </row>
    <row r="829" ht="15.75" customHeight="1">
      <c r="A829" s="136"/>
      <c r="H829" s="52"/>
    </row>
    <row r="830" ht="15.75" customHeight="1">
      <c r="A830" s="136"/>
      <c r="H830" s="52"/>
    </row>
    <row r="831" ht="15.75" customHeight="1">
      <c r="A831" s="136"/>
      <c r="H831" s="52"/>
    </row>
    <row r="832" ht="15.75" customHeight="1">
      <c r="A832" s="136"/>
      <c r="H832" s="52"/>
    </row>
    <row r="833" ht="15.75" customHeight="1">
      <c r="A833" s="136"/>
      <c r="H833" s="52"/>
    </row>
    <row r="834" ht="15.75" customHeight="1">
      <c r="A834" s="136"/>
      <c r="H834" s="52"/>
    </row>
    <row r="835" ht="15.75" customHeight="1">
      <c r="A835" s="136"/>
      <c r="H835" s="52"/>
    </row>
    <row r="836" ht="15.75" customHeight="1">
      <c r="A836" s="136"/>
      <c r="H836" s="52"/>
    </row>
    <row r="837" ht="15.75" customHeight="1">
      <c r="A837" s="136"/>
      <c r="H837" s="52"/>
    </row>
    <row r="838" ht="15.75" customHeight="1">
      <c r="A838" s="136"/>
      <c r="H838" s="52"/>
    </row>
    <row r="839" ht="15.75" customHeight="1">
      <c r="A839" s="136"/>
      <c r="H839" s="52"/>
    </row>
    <row r="840" ht="15.75" customHeight="1">
      <c r="A840" s="136"/>
      <c r="H840" s="52"/>
    </row>
    <row r="841" ht="15.75" customHeight="1">
      <c r="A841" s="136"/>
      <c r="H841" s="52"/>
    </row>
    <row r="842" ht="15.75" customHeight="1">
      <c r="A842" s="136"/>
      <c r="H842" s="52"/>
    </row>
    <row r="843" ht="15.75" customHeight="1">
      <c r="A843" s="136"/>
      <c r="H843" s="52"/>
    </row>
    <row r="844" ht="15.75" customHeight="1">
      <c r="A844" s="136"/>
      <c r="H844" s="52"/>
    </row>
    <row r="845" ht="15.75" customHeight="1">
      <c r="A845" s="136"/>
      <c r="H845" s="52"/>
    </row>
    <row r="846" ht="15.75" customHeight="1">
      <c r="A846" s="136"/>
      <c r="H846" s="52"/>
    </row>
    <row r="847" ht="15.75" customHeight="1">
      <c r="A847" s="136"/>
      <c r="H847" s="52"/>
    </row>
    <row r="848" ht="15.75" customHeight="1">
      <c r="A848" s="136"/>
      <c r="H848" s="52"/>
    </row>
    <row r="849" ht="15.75" customHeight="1">
      <c r="A849" s="136"/>
      <c r="H849" s="52"/>
    </row>
    <row r="850" ht="15.75" customHeight="1">
      <c r="A850" s="136"/>
      <c r="H850" s="52"/>
    </row>
    <row r="851" ht="15.75" customHeight="1">
      <c r="A851" s="136"/>
      <c r="H851" s="52"/>
    </row>
    <row r="852" ht="15.75" customHeight="1">
      <c r="A852" s="136"/>
      <c r="H852" s="52"/>
    </row>
    <row r="853" ht="15.75" customHeight="1">
      <c r="A853" s="136"/>
      <c r="H853" s="52"/>
    </row>
    <row r="854" ht="15.75" customHeight="1">
      <c r="A854" s="136"/>
      <c r="H854" s="52"/>
    </row>
    <row r="855" ht="15.75" customHeight="1">
      <c r="A855" s="136"/>
      <c r="H855" s="52"/>
    </row>
    <row r="856" ht="15.75" customHeight="1">
      <c r="A856" s="136"/>
      <c r="H856" s="52"/>
    </row>
    <row r="857" ht="15.75" customHeight="1">
      <c r="A857" s="136"/>
      <c r="H857" s="52"/>
    </row>
    <row r="858" ht="15.75" customHeight="1">
      <c r="A858" s="136"/>
      <c r="H858" s="52"/>
    </row>
    <row r="859" ht="15.75" customHeight="1">
      <c r="A859" s="136"/>
      <c r="H859" s="52"/>
    </row>
    <row r="860" ht="15.75" customHeight="1">
      <c r="A860" s="136"/>
      <c r="H860" s="52"/>
    </row>
    <row r="861" ht="15.75" customHeight="1">
      <c r="A861" s="136"/>
      <c r="H861" s="52"/>
    </row>
    <row r="862" ht="15.75" customHeight="1">
      <c r="A862" s="136"/>
      <c r="H862" s="52"/>
    </row>
    <row r="863" ht="15.75" customHeight="1">
      <c r="A863" s="136"/>
      <c r="H863" s="52"/>
    </row>
    <row r="864" ht="15.75" customHeight="1">
      <c r="A864" s="136"/>
      <c r="H864" s="52"/>
    </row>
    <row r="865" ht="15.75" customHeight="1">
      <c r="A865" s="136"/>
      <c r="H865" s="52"/>
    </row>
    <row r="866" ht="15.75" customHeight="1">
      <c r="A866" s="136"/>
      <c r="H866" s="52"/>
    </row>
    <row r="867" ht="15.75" customHeight="1">
      <c r="A867" s="136"/>
      <c r="H867" s="52"/>
    </row>
    <row r="868" ht="15.75" customHeight="1">
      <c r="A868" s="136"/>
      <c r="H868" s="52"/>
    </row>
    <row r="869" ht="15.75" customHeight="1">
      <c r="A869" s="136"/>
      <c r="H869" s="52"/>
    </row>
    <row r="870" ht="15.75" customHeight="1">
      <c r="A870" s="136"/>
      <c r="H870" s="52"/>
    </row>
    <row r="871" ht="15.75" customHeight="1">
      <c r="A871" s="136"/>
      <c r="H871" s="52"/>
    </row>
    <row r="872" ht="15.75" customHeight="1">
      <c r="A872" s="136"/>
      <c r="H872" s="52"/>
    </row>
    <row r="873" ht="15.75" customHeight="1">
      <c r="A873" s="136"/>
      <c r="H873" s="52"/>
    </row>
    <row r="874" ht="15.75" customHeight="1">
      <c r="A874" s="136"/>
      <c r="H874" s="52"/>
    </row>
    <row r="875" ht="15.75" customHeight="1">
      <c r="A875" s="136"/>
      <c r="H875" s="52"/>
    </row>
    <row r="876" ht="15.75" customHeight="1">
      <c r="A876" s="136"/>
      <c r="H876" s="52"/>
    </row>
    <row r="877" ht="15.75" customHeight="1">
      <c r="A877" s="136"/>
      <c r="H877" s="52"/>
    </row>
    <row r="878" ht="15.75" customHeight="1">
      <c r="A878" s="136"/>
      <c r="H878" s="52"/>
    </row>
    <row r="879" ht="15.75" customHeight="1">
      <c r="A879" s="136"/>
      <c r="H879" s="52"/>
    </row>
    <row r="880" ht="15.75" customHeight="1">
      <c r="A880" s="136"/>
      <c r="H880" s="52"/>
    </row>
    <row r="881" ht="15.75" customHeight="1">
      <c r="A881" s="136"/>
      <c r="H881" s="52"/>
    </row>
    <row r="882" ht="15.75" customHeight="1">
      <c r="A882" s="136"/>
      <c r="H882" s="52"/>
    </row>
    <row r="883" ht="15.75" customHeight="1">
      <c r="A883" s="136"/>
      <c r="H883" s="52"/>
    </row>
    <row r="884" ht="15.75" customHeight="1">
      <c r="A884" s="136"/>
      <c r="H884" s="52"/>
    </row>
    <row r="885" ht="15.75" customHeight="1">
      <c r="A885" s="136"/>
      <c r="H885" s="52"/>
    </row>
    <row r="886" ht="15.75" customHeight="1">
      <c r="A886" s="136"/>
      <c r="H886" s="52"/>
    </row>
    <row r="887" ht="15.75" customHeight="1">
      <c r="A887" s="136"/>
      <c r="H887" s="52"/>
    </row>
    <row r="888" ht="15.75" customHeight="1">
      <c r="A888" s="136"/>
      <c r="H888" s="52"/>
    </row>
    <row r="889" ht="15.75" customHeight="1">
      <c r="A889" s="136"/>
      <c r="H889" s="52"/>
    </row>
    <row r="890" ht="15.75" customHeight="1">
      <c r="A890" s="136"/>
      <c r="H890" s="52"/>
    </row>
    <row r="891" ht="15.75" customHeight="1">
      <c r="A891" s="136"/>
      <c r="H891" s="52"/>
    </row>
    <row r="892" ht="15.75" customHeight="1">
      <c r="A892" s="136"/>
      <c r="H892" s="52"/>
    </row>
    <row r="893" ht="15.75" customHeight="1">
      <c r="A893" s="136"/>
      <c r="H893" s="52"/>
    </row>
    <row r="894" ht="15.75" customHeight="1">
      <c r="A894" s="136"/>
      <c r="H894" s="52"/>
    </row>
    <row r="895" ht="15.75" customHeight="1">
      <c r="A895" s="136"/>
      <c r="H895" s="52"/>
    </row>
    <row r="896" ht="15.75" customHeight="1">
      <c r="A896" s="136"/>
      <c r="H896" s="52"/>
    </row>
    <row r="897" ht="15.75" customHeight="1">
      <c r="A897" s="136"/>
      <c r="H897" s="52"/>
    </row>
    <row r="898" ht="15.75" customHeight="1">
      <c r="A898" s="136"/>
      <c r="H898" s="52"/>
    </row>
    <row r="899" ht="15.75" customHeight="1">
      <c r="A899" s="136"/>
      <c r="H899" s="52"/>
    </row>
    <row r="900" ht="15.75" customHeight="1">
      <c r="A900" s="136"/>
      <c r="H900" s="52"/>
    </row>
    <row r="901" ht="15.75" customHeight="1">
      <c r="A901" s="136"/>
      <c r="H901" s="52"/>
    </row>
    <row r="902" ht="15.75" customHeight="1">
      <c r="A902" s="136"/>
      <c r="H902" s="52"/>
    </row>
    <row r="903" ht="15.75" customHeight="1">
      <c r="A903" s="136"/>
      <c r="H903" s="52"/>
    </row>
    <row r="904" ht="15.75" customHeight="1">
      <c r="A904" s="136"/>
      <c r="H904" s="52"/>
    </row>
    <row r="905" ht="15.75" customHeight="1">
      <c r="A905" s="136"/>
      <c r="H905" s="52"/>
    </row>
    <row r="906" ht="15.75" customHeight="1">
      <c r="A906" s="136"/>
      <c r="H906" s="52"/>
    </row>
    <row r="907" ht="15.75" customHeight="1">
      <c r="A907" s="136"/>
      <c r="H907" s="52"/>
    </row>
    <row r="908" ht="15.75" customHeight="1">
      <c r="A908" s="136"/>
      <c r="H908" s="52"/>
    </row>
    <row r="909" ht="15.75" customHeight="1">
      <c r="A909" s="136"/>
      <c r="H909" s="52"/>
    </row>
    <row r="910" ht="15.75" customHeight="1">
      <c r="A910" s="136"/>
      <c r="H910" s="52"/>
    </row>
    <row r="911" ht="15.75" customHeight="1">
      <c r="A911" s="136"/>
      <c r="H911" s="52"/>
    </row>
    <row r="912" ht="15.75" customHeight="1">
      <c r="A912" s="136"/>
      <c r="H912" s="52"/>
    </row>
    <row r="913" ht="15.75" customHeight="1">
      <c r="A913" s="136"/>
      <c r="H913" s="52"/>
    </row>
    <row r="914" ht="15.75" customHeight="1">
      <c r="A914" s="136"/>
      <c r="H914" s="52"/>
    </row>
    <row r="915" ht="15.75" customHeight="1">
      <c r="A915" s="136"/>
      <c r="H915" s="52"/>
    </row>
    <row r="916" ht="15.75" customHeight="1">
      <c r="A916" s="136"/>
      <c r="H916" s="52"/>
    </row>
    <row r="917" ht="15.75" customHeight="1">
      <c r="A917" s="136"/>
      <c r="H917" s="52"/>
    </row>
    <row r="918" ht="15.75" customHeight="1">
      <c r="A918" s="136"/>
      <c r="H918" s="52"/>
    </row>
    <row r="919" ht="15.75" customHeight="1">
      <c r="A919" s="136"/>
      <c r="H919" s="52"/>
    </row>
    <row r="920" ht="15.75" customHeight="1">
      <c r="A920" s="136"/>
      <c r="H920" s="52"/>
    </row>
    <row r="921" ht="15.75" customHeight="1">
      <c r="A921" s="136"/>
      <c r="H921" s="52"/>
    </row>
    <row r="922" ht="15.75" customHeight="1">
      <c r="A922" s="136"/>
      <c r="H922" s="52"/>
    </row>
    <row r="923" ht="15.75" customHeight="1">
      <c r="A923" s="136"/>
      <c r="H923" s="52"/>
    </row>
    <row r="924" ht="15.75" customHeight="1">
      <c r="A924" s="136"/>
      <c r="H924" s="52"/>
    </row>
    <row r="925" ht="15.75" customHeight="1">
      <c r="A925" s="136"/>
      <c r="H925" s="52"/>
    </row>
    <row r="926" ht="15.75" customHeight="1">
      <c r="A926" s="136"/>
      <c r="H926" s="52"/>
    </row>
    <row r="927" ht="15.75" customHeight="1">
      <c r="A927" s="136"/>
      <c r="H927" s="52"/>
    </row>
    <row r="928" ht="15.75" customHeight="1">
      <c r="A928" s="136"/>
      <c r="H928" s="52"/>
    </row>
    <row r="929" ht="15.75" customHeight="1">
      <c r="A929" s="136"/>
      <c r="H929" s="52"/>
    </row>
    <row r="930" ht="15.75" customHeight="1">
      <c r="A930" s="136"/>
      <c r="H930" s="52"/>
    </row>
    <row r="931" ht="15.75" customHeight="1">
      <c r="A931" s="136"/>
      <c r="H931" s="52"/>
    </row>
    <row r="932" ht="15.75" customHeight="1">
      <c r="A932" s="136"/>
      <c r="H932" s="52"/>
    </row>
    <row r="933" ht="15.75" customHeight="1">
      <c r="A933" s="136"/>
      <c r="H933" s="52"/>
    </row>
    <row r="934" ht="15.75" customHeight="1">
      <c r="A934" s="136"/>
      <c r="H934" s="52"/>
    </row>
    <row r="935" ht="15.75" customHeight="1">
      <c r="A935" s="136"/>
      <c r="H935" s="52"/>
    </row>
    <row r="936" ht="15.75" customHeight="1">
      <c r="A936" s="136"/>
      <c r="H936" s="52"/>
    </row>
    <row r="937" ht="15.75" customHeight="1">
      <c r="A937" s="136"/>
      <c r="H937" s="52"/>
    </row>
    <row r="938" ht="15.75" customHeight="1">
      <c r="A938" s="136"/>
      <c r="H938" s="52"/>
    </row>
    <row r="939" ht="15.75" customHeight="1">
      <c r="A939" s="136"/>
      <c r="H939" s="52"/>
    </row>
    <row r="940" ht="15.75" customHeight="1">
      <c r="A940" s="136"/>
      <c r="H940" s="52"/>
    </row>
    <row r="941" ht="15.75" customHeight="1">
      <c r="A941" s="136"/>
      <c r="H941" s="52"/>
    </row>
    <row r="942" ht="15.75" customHeight="1">
      <c r="A942" s="136"/>
      <c r="H942" s="52"/>
    </row>
    <row r="943" ht="15.75" customHeight="1">
      <c r="A943" s="136"/>
      <c r="H943" s="52"/>
    </row>
    <row r="944" ht="15.75" customHeight="1">
      <c r="A944" s="136"/>
      <c r="H944" s="52"/>
    </row>
    <row r="945" ht="15.75" customHeight="1">
      <c r="A945" s="136"/>
      <c r="H945" s="52"/>
    </row>
    <row r="946" ht="15.75" customHeight="1">
      <c r="A946" s="136"/>
      <c r="H946" s="52"/>
    </row>
    <row r="947" ht="15.75" customHeight="1">
      <c r="A947" s="136"/>
      <c r="H947" s="52"/>
    </row>
    <row r="948" ht="15.75" customHeight="1">
      <c r="A948" s="136"/>
      <c r="H948" s="52"/>
    </row>
    <row r="949" ht="15.75" customHeight="1">
      <c r="A949" s="136"/>
      <c r="H949" s="52"/>
    </row>
    <row r="950" ht="15.75" customHeight="1">
      <c r="A950" s="136"/>
      <c r="H950" s="52"/>
    </row>
    <row r="951" ht="15.75" customHeight="1">
      <c r="A951" s="136"/>
      <c r="H951" s="52"/>
    </row>
    <row r="952" ht="15.75" customHeight="1">
      <c r="A952" s="136"/>
      <c r="H952" s="52"/>
    </row>
    <row r="953" ht="15.75" customHeight="1">
      <c r="A953" s="136"/>
      <c r="H953" s="52"/>
    </row>
    <row r="954" ht="15.75" customHeight="1">
      <c r="A954" s="136"/>
      <c r="H954" s="52"/>
    </row>
    <row r="955" ht="15.75" customHeight="1">
      <c r="A955" s="136"/>
      <c r="H955" s="52"/>
    </row>
    <row r="956" ht="15.75" customHeight="1">
      <c r="A956" s="136"/>
      <c r="H956" s="52"/>
    </row>
    <row r="957" ht="15.75" customHeight="1">
      <c r="A957" s="136"/>
      <c r="H957" s="52"/>
    </row>
    <row r="958" ht="15.75" customHeight="1">
      <c r="A958" s="136"/>
      <c r="H958" s="52"/>
    </row>
    <row r="959" ht="15.75" customHeight="1">
      <c r="A959" s="136"/>
      <c r="H959" s="52"/>
    </row>
    <row r="960" ht="15.75" customHeight="1">
      <c r="A960" s="136"/>
      <c r="H960" s="52"/>
    </row>
    <row r="961" ht="15.75" customHeight="1">
      <c r="A961" s="136"/>
      <c r="H961" s="52"/>
    </row>
    <row r="962" ht="15.75" customHeight="1">
      <c r="A962" s="136"/>
      <c r="H962" s="52"/>
    </row>
    <row r="963" ht="15.75" customHeight="1">
      <c r="A963" s="136"/>
      <c r="H963" s="52"/>
    </row>
    <row r="964" ht="15.75" customHeight="1">
      <c r="A964" s="136"/>
      <c r="H964" s="52"/>
    </row>
    <row r="965" ht="15.75" customHeight="1">
      <c r="A965" s="136"/>
      <c r="H965" s="52"/>
    </row>
    <row r="966" ht="15.75" customHeight="1">
      <c r="A966" s="136"/>
      <c r="H966" s="52"/>
    </row>
    <row r="967" ht="15.75" customHeight="1">
      <c r="A967" s="136"/>
      <c r="H967" s="52"/>
    </row>
    <row r="968" ht="15.75" customHeight="1">
      <c r="A968" s="136"/>
      <c r="H968" s="52"/>
    </row>
    <row r="969" ht="15.75" customHeight="1">
      <c r="A969" s="136"/>
      <c r="H969" s="52"/>
    </row>
    <row r="970" ht="15.75" customHeight="1">
      <c r="A970" s="136"/>
      <c r="H970" s="52"/>
    </row>
    <row r="971" ht="15.75" customHeight="1">
      <c r="A971" s="136"/>
      <c r="H971" s="52"/>
    </row>
    <row r="972" ht="15.75" customHeight="1">
      <c r="A972" s="136"/>
      <c r="H972" s="52"/>
    </row>
    <row r="973" ht="15.75" customHeight="1">
      <c r="A973" s="136"/>
      <c r="H973" s="52"/>
    </row>
    <row r="974" ht="15.75" customHeight="1">
      <c r="A974" s="136"/>
      <c r="H974" s="52"/>
    </row>
    <row r="975" ht="15.75" customHeight="1">
      <c r="A975" s="136"/>
      <c r="H975" s="52"/>
    </row>
    <row r="976" ht="15.75" customHeight="1">
      <c r="A976" s="136"/>
      <c r="H976" s="52"/>
    </row>
    <row r="977" ht="15.75" customHeight="1">
      <c r="A977" s="136"/>
      <c r="H977" s="52"/>
    </row>
    <row r="978" ht="15.75" customHeight="1">
      <c r="A978" s="136"/>
      <c r="H978" s="52"/>
    </row>
    <row r="979" ht="15.75" customHeight="1">
      <c r="A979" s="136"/>
      <c r="H979" s="52"/>
    </row>
    <row r="980" ht="15.75" customHeight="1">
      <c r="A980" s="136"/>
      <c r="H980" s="52"/>
    </row>
    <row r="981" ht="15.75" customHeight="1">
      <c r="A981" s="136"/>
      <c r="H981" s="52"/>
    </row>
    <row r="982" ht="15.75" customHeight="1">
      <c r="A982" s="136"/>
      <c r="H982" s="52"/>
    </row>
    <row r="983" ht="15.75" customHeight="1">
      <c r="A983" s="136"/>
      <c r="H983" s="52"/>
    </row>
    <row r="984" ht="15.75" customHeight="1">
      <c r="A984" s="136"/>
      <c r="H984" s="52"/>
    </row>
    <row r="985" ht="15.75" customHeight="1">
      <c r="A985" s="136"/>
      <c r="H985" s="52"/>
    </row>
    <row r="986" ht="15.75" customHeight="1">
      <c r="A986" s="136"/>
      <c r="H986" s="52"/>
    </row>
    <row r="987" ht="15.75" customHeight="1">
      <c r="A987" s="136"/>
      <c r="H987" s="52"/>
    </row>
    <row r="988" ht="15.75" customHeight="1">
      <c r="A988" s="136"/>
      <c r="H988" s="52"/>
    </row>
    <row r="989" ht="15.75" customHeight="1">
      <c r="A989" s="136"/>
      <c r="H989" s="52"/>
    </row>
    <row r="990" ht="15.75" customHeight="1">
      <c r="A990" s="136"/>
      <c r="H990" s="52"/>
    </row>
    <row r="991" ht="15.75" customHeight="1">
      <c r="A991" s="136"/>
      <c r="H991" s="52"/>
    </row>
    <row r="992" ht="15.75" customHeight="1">
      <c r="A992" s="136"/>
      <c r="H992" s="52"/>
    </row>
    <row r="993" ht="15.75" customHeight="1">
      <c r="A993" s="136"/>
      <c r="H993" s="52"/>
    </row>
    <row r="994" ht="15.75" customHeight="1">
      <c r="A994" s="136"/>
      <c r="H994" s="52"/>
    </row>
    <row r="995" ht="15.75" customHeight="1">
      <c r="A995" s="136"/>
      <c r="H995" s="52"/>
    </row>
    <row r="996" ht="15.75" customHeight="1">
      <c r="A996" s="136"/>
      <c r="H996" s="52"/>
    </row>
    <row r="997" ht="15.75" customHeight="1">
      <c r="A997" s="136"/>
      <c r="H997" s="52"/>
    </row>
    <row r="998" ht="15.75" customHeight="1">
      <c r="A998" s="136"/>
      <c r="H998" s="52"/>
    </row>
    <row r="999" ht="15.75" customHeight="1">
      <c r="A999" s="136"/>
      <c r="H999" s="52"/>
    </row>
    <row r="1000" ht="15.75" customHeight="1">
      <c r="A1000" s="136"/>
      <c r="H1000" s="52"/>
    </row>
  </sheetData>
  <autoFilter ref="$A$5:$AE$205"/>
  <mergeCells count="2">
    <mergeCell ref="A4:S4"/>
    <mergeCell ref="T4:AE4"/>
  </mergeCells>
  <conditionalFormatting sqref="T6:AE205">
    <cfRule type="expression" dxfId="3" priority="1">
      <formula>T6="Hoạt động"</formula>
    </cfRule>
  </conditionalFormatting>
  <conditionalFormatting sqref="T6:AE205">
    <cfRule type="expression" dxfId="5" priority="2">
      <formula>T6="Hạn chế"</formula>
    </cfRule>
  </conditionalFormatting>
  <conditionalFormatting sqref="T6:AE205">
    <cfRule type="expression" dxfId="6" priority="3">
      <formula>T6="Checkpoint"</formula>
    </cfRule>
  </conditionalFormatting>
  <conditionalFormatting sqref="T6:AE205">
    <cfRule type="expression" dxfId="9" priority="4">
      <formula>T6="Die / Mất"</formula>
    </cfRule>
  </conditionalFormatting>
  <conditionalFormatting sqref="T6:AE205">
    <cfRule type="expression" dxfId="7" priority="5">
      <formula>T6="Đã thu hồi"</formula>
    </cfRule>
  </conditionalFormatting>
  <conditionalFormatting sqref="T6:AE205">
    <cfRule type="expression" dxfId="7" priority="6">
      <formula>T6="Ngừng dùng"</formula>
    </cfRule>
  </conditionalFormatting>
  <conditionalFormatting sqref="R6:R205">
    <cfRule type="expression" dxfId="3" priority="7">
      <formula>R6="Đã bàn giao"</formula>
    </cfRule>
  </conditionalFormatting>
  <conditionalFormatting sqref="R6:R205">
    <cfRule type="expression" dxfId="5" priority="8">
      <formula>R6="Đang bàn giao"</formula>
    </cfRule>
  </conditionalFormatting>
  <conditionalFormatting sqref="R6:R205">
    <cfRule type="expression" dxfId="9" priority="9">
      <formula>R6="Chưa bàn giao"</formula>
    </cfRule>
  </conditionalFormatting>
  <conditionalFormatting sqref="I6:I205 H7:H205">
    <cfRule type="expression" dxfId="10" priority="10">
      <formula>I6="Đang làm"</formula>
    </cfRule>
  </conditionalFormatting>
  <conditionalFormatting sqref="I6:I205 H7:H205">
    <cfRule type="expression" dxfId="11" priority="11">
      <formula>I6="Thử việc"</formula>
    </cfRule>
  </conditionalFormatting>
  <conditionalFormatting sqref="I6:I205 H7:H205">
    <cfRule type="expression" dxfId="12" priority="12">
      <formula>I6="Tạm nghỉ"</formula>
    </cfRule>
  </conditionalFormatting>
  <conditionalFormatting sqref="I6:I205 H7:H205">
    <cfRule type="expression" dxfId="13" priority="13">
      <formula>I6="Chuyển ban"</formula>
    </cfRule>
  </conditionalFormatting>
  <conditionalFormatting sqref="I6:I205 H7:H205">
    <cfRule type="expression" dxfId="8" priority="14">
      <formula>I6="Đã nghỉ việc"</formula>
    </cfRule>
  </conditionalFormatting>
  <conditionalFormatting sqref="I6:I205 H7:H205">
    <cfRule type="expression" dxfId="8" priority="15">
      <formula>I6="Chưa có trong DS"</formula>
    </cfRule>
  </conditionalFormatting>
  <dataValidations>
    <dataValidation type="list" allowBlank="1" showInputMessage="1" showErrorMessage="1" prompt="Kiểm tra lại - Vui lòng chọn trong danh sách." sqref="M6:M205">
      <formula1>'Danh mục'!$C$2:$C$4</formula1>
    </dataValidation>
    <dataValidation type="list" allowBlank="1" showInputMessage="1" showErrorMessage="1" prompt="Kiểm tra lại - Vui lòng chọn trong danh sách." sqref="O6:O205">
      <formula1>'Danh mục'!$D$2:$D$7</formula1>
    </dataValidation>
    <dataValidation type="list" allowBlank="1" showInputMessage="1" showErrorMessage="1" prompt="Kiểm tra lại - Vui lòng chọn trong danh sách." sqref="R6:R205">
      <formula1>'Danh mục'!$E$2:$E$4</formula1>
    </dataValidation>
    <dataValidation type="list" allowBlank="1" showInputMessage="1" showErrorMessage="1" prompt="Kiểm tra lại - Vui lòng chọn trong danh sách." sqref="T6:AE205">
      <formula1>'Danh mục'!$F$2:$F$7</formula1>
    </dataValidation>
    <dataValidation type="list" allowBlank="1" showInputMessage="1" showErrorMessage="1" prompt="Nhấp và nhập một giá trị trong dải ô" sqref="C6:C205">
      <formula1>'Danh mục'!$A$2:$A$99</formula1>
    </dataValidation>
    <dataValidation type="list" allowBlank="1" showInputMessage="1" prompt="Kiểm tra lại - Tên này chưa có trong tab Người sử dụng. Hãy thêm người này vào tab Người sử dụng trước." sqref="G6:G205">
      <formula1>'Người sử dụng'!$C$5:$C$140</formula1>
    </dataValidation>
    <dataValidation type="date" operator="greaterThan" allowBlank="1" showInputMessage="1" showErrorMessage="1" prompt="Nhập ngày dạng dd/mm/yyyy." sqref="P6:P205">
      <formula1>DATE(2000,1,1)</formula1>
    </dataValidation>
    <dataValidation type="list" allowBlank="1" showInputMessage="1" showErrorMessage="1" prompt="Kiểm tra lại - Vui lòng chọn trong danh sách." sqref="J6:J205">
      <formula1>'Danh mục'!$B$2:$B$10</formula1>
    </dataValidation>
    <dataValidation type="list" allowBlank="1" showInputMessage="1" prompt="Kiểm tra lại - Tên này chưa có trong tab Người sử dụng." sqref="N6:N205">
      <formula1>'Người sử dụng'!$C$5:$C$140</formula1>
    </dataValidation>
  </dataValidations>
  <hyperlinks>
    <hyperlink r:id="rId1" ref="F6"/>
    <hyperlink r:id="rId2" ref="F7"/>
    <hyperlink r:id="rId3" ref="F8"/>
    <hyperlink r:id="rId4" ref="F9"/>
    <hyperlink r:id="rId5" ref="F10"/>
    <hyperlink r:id="rId6" ref="F11"/>
    <hyperlink r:id="rId7" ref="F12"/>
    <hyperlink r:id="rId8" ref="F13"/>
    <hyperlink r:id="rId9" ref="F14"/>
    <hyperlink r:id="rId10" ref="F15"/>
  </hyperlinks>
  <printOptions/>
  <pageMargins bottom="1.0" footer="0.0" header="0.0" left="0.75" right="0.75" top="1.0"/>
  <pageSetup paperSize="9" orientation="portrait"/>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AFEA"/>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6.0"/>
    <col customWidth="1" min="2" max="2" width="13.0"/>
    <col customWidth="1" min="3" max="3" width="14.0"/>
    <col customWidth="1" min="4" max="4" width="22.0"/>
    <col customWidth="1" min="5" max="5" width="28.0"/>
    <col customWidth="1" min="6" max="6" width="30.0"/>
    <col customWidth="1" min="7" max="7" width="22.0"/>
    <col customWidth="1" min="8" max="9" width="16.0"/>
    <col customWidth="1" min="10" max="10" width="22.0"/>
    <col customWidth="1" min="11" max="11" width="26.0"/>
    <col customWidth="1" min="12" max="12" width="14.0"/>
    <col customWidth="1" min="13" max="13" width="12.0"/>
    <col customWidth="1" min="14" max="14" width="20.0"/>
    <col customWidth="1" min="15" max="15" width="18.0"/>
    <col customWidth="1" min="16" max="16" width="14.0"/>
    <col customWidth="1" min="17" max="17" width="26.0"/>
    <col customWidth="1" min="18" max="18" width="18.0"/>
    <col customWidth="1" min="19" max="19" width="28.0"/>
    <col customWidth="1" min="20" max="31" width="12.0"/>
  </cols>
  <sheetData>
    <row r="1">
      <c r="A1" s="1" t="s">
        <v>707</v>
      </c>
    </row>
    <row r="2">
      <c r="A2" s="8" t="s">
        <v>94</v>
      </c>
      <c r="C2" s="27"/>
      <c r="D2" s="27"/>
      <c r="E2" s="8" t="s">
        <v>99</v>
      </c>
      <c r="G2" s="29"/>
    </row>
    <row r="3">
      <c r="A3" s="7" t="s">
        <v>105</v>
      </c>
    </row>
    <row r="4" ht="15.0" customHeight="1">
      <c r="A4" s="31" t="s">
        <v>108</v>
      </c>
      <c r="B4" s="32"/>
      <c r="C4" s="32"/>
      <c r="D4" s="32"/>
      <c r="E4" s="32"/>
      <c r="F4" s="32"/>
      <c r="G4" s="32"/>
      <c r="H4" s="32"/>
      <c r="I4" s="32"/>
      <c r="J4" s="32"/>
      <c r="K4" s="32"/>
      <c r="L4" s="32"/>
      <c r="M4" s="32"/>
      <c r="N4" s="32"/>
      <c r="O4" s="32"/>
      <c r="P4" s="32"/>
      <c r="Q4" s="32"/>
      <c r="R4" s="32"/>
      <c r="S4" s="34"/>
      <c r="T4" s="37" t="s">
        <v>110</v>
      </c>
      <c r="U4" s="32"/>
      <c r="V4" s="32"/>
      <c r="W4" s="32"/>
      <c r="X4" s="32"/>
      <c r="Y4" s="32"/>
      <c r="Z4" s="32"/>
      <c r="AA4" s="32"/>
      <c r="AB4" s="32"/>
      <c r="AC4" s="32"/>
      <c r="AD4" s="32"/>
      <c r="AE4" s="34"/>
    </row>
    <row r="5" ht="33.75" customHeight="1">
      <c r="A5" s="11" t="s">
        <v>11</v>
      </c>
      <c r="B5" s="11" t="s">
        <v>65</v>
      </c>
      <c r="C5" s="12" t="s">
        <v>66</v>
      </c>
      <c r="D5" s="12" t="s">
        <v>67</v>
      </c>
      <c r="E5" s="12" t="s">
        <v>68</v>
      </c>
      <c r="F5" s="12" t="s">
        <v>69</v>
      </c>
      <c r="G5" s="12" t="s">
        <v>71</v>
      </c>
      <c r="H5" s="62" t="s">
        <v>112</v>
      </c>
      <c r="I5" s="11" t="s">
        <v>72</v>
      </c>
      <c r="J5" s="12" t="s">
        <v>73</v>
      </c>
      <c r="K5" s="12" t="s">
        <v>74</v>
      </c>
      <c r="L5" s="12" t="s">
        <v>75</v>
      </c>
      <c r="M5" s="12" t="s">
        <v>76</v>
      </c>
      <c r="N5" s="12" t="s">
        <v>78</v>
      </c>
      <c r="O5" s="12" t="s">
        <v>79</v>
      </c>
      <c r="P5" s="12" t="s">
        <v>80</v>
      </c>
      <c r="Q5" s="12" t="s">
        <v>81</v>
      </c>
      <c r="R5" s="39" t="s">
        <v>82</v>
      </c>
      <c r="S5" s="12" t="s">
        <v>36</v>
      </c>
      <c r="T5" s="39" t="s">
        <v>113</v>
      </c>
      <c r="U5" s="39" t="s">
        <v>114</v>
      </c>
      <c r="V5" s="39" t="s">
        <v>115</v>
      </c>
      <c r="W5" s="39" t="s">
        <v>116</v>
      </c>
      <c r="X5" s="39" t="s">
        <v>117</v>
      </c>
      <c r="Y5" s="39" t="s">
        <v>118</v>
      </c>
      <c r="Z5" s="39" t="s">
        <v>119</v>
      </c>
      <c r="AA5" s="39" t="s">
        <v>120</v>
      </c>
      <c r="AB5" s="39" t="s">
        <v>121</v>
      </c>
      <c r="AC5" s="39" t="s">
        <v>122</v>
      </c>
      <c r="AD5" s="39" t="s">
        <v>123</v>
      </c>
      <c r="AE5" s="39" t="s">
        <v>124</v>
      </c>
    </row>
    <row r="6">
      <c r="A6" s="40" t="str">
        <f t="shared" ref="A6:A10" si="1">IF(C6="","",ROW()-5)</f>
        <v/>
      </c>
      <c r="B6" s="40" t="str">
        <f t="shared" ref="B6:B29" si="2">IF(C6="","","PR-"&amp;TEXT(ROW()-5,"000"))</f>
        <v/>
      </c>
      <c r="C6" s="19"/>
      <c r="D6" s="23"/>
      <c r="E6" s="51"/>
      <c r="F6" s="51"/>
      <c r="G6" s="24"/>
      <c r="H6" s="64" t="str">
        <f t="array" ref="H6:H1000">IFERROR(_xlfn.XLOOKUP(G6:G1000,'Người sử dụng'!$C$4:$C1000,'Người sử dụng'!$B$4:$B1000),"")</f>
        <v/>
      </c>
      <c r="I6" s="40" t="str">
        <f t="array" ref="I6">IF(G6="","",IFERROR(INDEX('Người sử dụng'!$H$5:$H$140,MATCH(G6,'Người sử dụng'!$C$5:$C$140,0)),"Chưa có trong DS"))</f>
        <v/>
      </c>
      <c r="J6" s="24"/>
      <c r="K6" s="24"/>
      <c r="L6" s="23"/>
      <c r="M6" s="24"/>
      <c r="N6" s="24"/>
      <c r="O6" s="24"/>
      <c r="P6" s="26"/>
      <c r="Q6" s="51"/>
      <c r="R6" s="46"/>
      <c r="S6" s="51"/>
      <c r="T6" s="46"/>
      <c r="U6" s="46"/>
      <c r="V6" s="46"/>
      <c r="W6" s="46"/>
      <c r="X6" s="46"/>
      <c r="Y6" s="46"/>
      <c r="Z6" s="46"/>
      <c r="AA6" s="46"/>
      <c r="AB6" s="46"/>
      <c r="AC6" s="46"/>
      <c r="AD6" s="46"/>
      <c r="AE6" s="46"/>
    </row>
    <row r="7">
      <c r="A7" s="40">
        <f t="shared" si="1"/>
        <v>2</v>
      </c>
      <c r="B7" s="40" t="str">
        <f t="shared" si="2"/>
        <v>PR-002</v>
      </c>
      <c r="C7" s="19" t="s">
        <v>84</v>
      </c>
      <c r="D7" s="41" t="s">
        <v>725</v>
      </c>
      <c r="E7" s="42" t="s">
        <v>726</v>
      </c>
      <c r="F7" s="53" t="s">
        <v>727</v>
      </c>
      <c r="G7" s="19" t="s">
        <v>186</v>
      </c>
      <c r="H7" s="40" t="s">
        <v>185</v>
      </c>
      <c r="I7" s="40" t="str">
        <f t="array" ref="I7">IF(G7="","",IFERROR(INDEX('Người sử dụng'!$H$5:$H$140,MATCH(G7,'Người sử dụng'!$C$5:$C$140,0)),"Chưa có trong DS"))</f>
        <v>Đang làm</v>
      </c>
      <c r="J7" s="19" t="s">
        <v>731</v>
      </c>
      <c r="K7" s="24"/>
      <c r="L7" s="23"/>
      <c r="M7" s="19" t="s">
        <v>732</v>
      </c>
      <c r="N7" s="24"/>
      <c r="O7" s="19" t="s">
        <v>143</v>
      </c>
      <c r="P7" s="54">
        <v>45091.0</v>
      </c>
      <c r="Q7" s="42" t="s">
        <v>733</v>
      </c>
      <c r="R7" s="50"/>
      <c r="S7" s="51"/>
      <c r="T7" s="46"/>
      <c r="U7" s="46"/>
      <c r="V7" s="46"/>
      <c r="W7" s="46"/>
      <c r="X7" s="46"/>
      <c r="Y7" s="46"/>
      <c r="Z7" s="46"/>
      <c r="AA7" s="46"/>
      <c r="AB7" s="46"/>
      <c r="AC7" s="46"/>
      <c r="AD7" s="46"/>
      <c r="AE7" s="46"/>
    </row>
    <row r="8">
      <c r="A8" s="40">
        <f t="shared" si="1"/>
        <v>3</v>
      </c>
      <c r="B8" s="40" t="str">
        <f t="shared" si="2"/>
        <v>PR-003</v>
      </c>
      <c r="C8" s="19" t="s">
        <v>84</v>
      </c>
      <c r="D8" s="41" t="s">
        <v>738</v>
      </c>
      <c r="E8" s="42" t="s">
        <v>739</v>
      </c>
      <c r="F8" s="53" t="s">
        <v>740</v>
      </c>
      <c r="G8" s="19" t="s">
        <v>194</v>
      </c>
      <c r="H8" s="40" t="s">
        <v>193</v>
      </c>
      <c r="I8" s="40" t="str">
        <f t="array" ref="I8">IF(G8="","",IFERROR(INDEX('Người sử dụng'!$H$5:$H$140,MATCH(G8,'Người sử dụng'!$C$5:$C$140,0)),"Chưa có trong DS"))</f>
        <v>Đang làm</v>
      </c>
      <c r="J8" s="19" t="s">
        <v>741</v>
      </c>
      <c r="K8" s="24"/>
      <c r="L8" s="41"/>
      <c r="M8" s="19" t="s">
        <v>732</v>
      </c>
      <c r="N8" s="24"/>
      <c r="O8" s="19" t="s">
        <v>143</v>
      </c>
      <c r="P8" s="54">
        <v>45071.0</v>
      </c>
      <c r="Q8" s="42" t="s">
        <v>733</v>
      </c>
      <c r="R8" s="46"/>
      <c r="S8" s="51"/>
      <c r="T8" s="46"/>
      <c r="U8" s="46"/>
      <c r="V8" s="46"/>
      <c r="W8" s="46"/>
      <c r="X8" s="46"/>
      <c r="Y8" s="46"/>
      <c r="Z8" s="46"/>
      <c r="AA8" s="46"/>
      <c r="AB8" s="46"/>
      <c r="AC8" s="46"/>
      <c r="AD8" s="46"/>
      <c r="AE8" s="46"/>
    </row>
    <row r="9">
      <c r="A9" s="40">
        <f t="shared" si="1"/>
        <v>4</v>
      </c>
      <c r="B9" s="40" t="str">
        <f t="shared" si="2"/>
        <v>PR-004</v>
      </c>
      <c r="C9" s="19" t="s">
        <v>84</v>
      </c>
      <c r="D9" s="41" t="s">
        <v>725</v>
      </c>
      <c r="E9" s="42" t="s">
        <v>726</v>
      </c>
      <c r="F9" s="53" t="s">
        <v>727</v>
      </c>
      <c r="G9" s="19" t="s">
        <v>194</v>
      </c>
      <c r="H9" s="40" t="s">
        <v>193</v>
      </c>
      <c r="I9" s="40" t="str">
        <f t="array" ref="I9">IF(G9="","",IFERROR(INDEX('Người sử dụng'!$H$5:$H$140,MATCH(G9,'Người sử dụng'!$C$5:$C$140,0)),"Chưa có trong DS"))</f>
        <v>Đang làm</v>
      </c>
      <c r="J9" s="19" t="s">
        <v>741</v>
      </c>
      <c r="K9" s="24"/>
      <c r="L9" s="23"/>
      <c r="M9" s="19" t="s">
        <v>732</v>
      </c>
      <c r="N9" s="24"/>
      <c r="O9" s="19" t="s">
        <v>143</v>
      </c>
      <c r="P9" s="54">
        <v>45091.0</v>
      </c>
      <c r="Q9" s="42" t="s">
        <v>733</v>
      </c>
      <c r="R9" s="46"/>
      <c r="S9" s="51"/>
      <c r="T9" s="46"/>
      <c r="U9" s="46"/>
      <c r="V9" s="46"/>
      <c r="W9" s="46"/>
      <c r="X9" s="46"/>
      <c r="Y9" s="46"/>
      <c r="Z9" s="46"/>
      <c r="AA9" s="46"/>
      <c r="AB9" s="46"/>
      <c r="AC9" s="46"/>
      <c r="AD9" s="46"/>
      <c r="AE9" s="46"/>
    </row>
    <row r="10">
      <c r="A10" s="40">
        <f t="shared" si="1"/>
        <v>5</v>
      </c>
      <c r="B10" s="40" t="str">
        <f t="shared" si="2"/>
        <v>PR-005</v>
      </c>
      <c r="C10" s="19" t="s">
        <v>102</v>
      </c>
      <c r="D10" s="41" t="s">
        <v>744</v>
      </c>
      <c r="E10" s="42" t="s">
        <v>745</v>
      </c>
      <c r="F10" s="53" t="s">
        <v>746</v>
      </c>
      <c r="G10" s="19" t="s">
        <v>198</v>
      </c>
      <c r="H10" s="40" t="s">
        <v>197</v>
      </c>
      <c r="I10" s="40" t="str">
        <f t="array" ref="I10">IF(G10="","",IFERROR(INDEX('Người sử dụng'!$H$5:$H$140,MATCH(G10,'Người sử dụng'!$C$5:$C$140,0)),"Chưa có trong DS"))</f>
        <v>Đang làm</v>
      </c>
      <c r="J10" s="19" t="s">
        <v>741</v>
      </c>
      <c r="K10" s="24"/>
      <c r="L10" s="23"/>
      <c r="M10" s="19" t="s">
        <v>732</v>
      </c>
      <c r="N10" s="24"/>
      <c r="O10" s="19" t="s">
        <v>143</v>
      </c>
      <c r="P10" s="54">
        <v>46086.0</v>
      </c>
      <c r="Q10" s="42" t="s">
        <v>747</v>
      </c>
      <c r="R10" s="46"/>
      <c r="S10" s="51"/>
      <c r="T10" s="46"/>
      <c r="U10" s="46"/>
      <c r="V10" s="46"/>
      <c r="W10" s="46"/>
      <c r="X10" s="46"/>
      <c r="Y10" s="46"/>
      <c r="Z10" s="46"/>
      <c r="AA10" s="46"/>
      <c r="AB10" s="46"/>
      <c r="AC10" s="46"/>
      <c r="AD10" s="46"/>
      <c r="AE10" s="46"/>
    </row>
    <row r="11">
      <c r="A11" s="108">
        <v>5.0</v>
      </c>
      <c r="B11" s="40" t="str">
        <f t="shared" si="2"/>
        <v>PR-006</v>
      </c>
      <c r="C11" s="19" t="s">
        <v>102</v>
      </c>
      <c r="D11" s="41" t="s">
        <v>751</v>
      </c>
      <c r="E11" s="42" t="s">
        <v>752</v>
      </c>
      <c r="F11" s="45" t="s">
        <v>753</v>
      </c>
      <c r="G11" s="19" t="s">
        <v>204</v>
      </c>
      <c r="H11" s="40" t="s">
        <v>203</v>
      </c>
      <c r="I11" s="40" t="str">
        <f t="array" ref="I11">IF(G11="","",IFERROR(INDEX('Người sử dụng'!$H$5:$H$140,MATCH(G11,'Người sử dụng'!$C$5:$C$140,0)),"Chưa có trong DS"))</f>
        <v>Đang làm</v>
      </c>
      <c r="J11" s="19" t="s">
        <v>741</v>
      </c>
      <c r="K11" s="24"/>
      <c r="L11" s="23"/>
      <c r="M11" s="24"/>
      <c r="N11" s="24"/>
      <c r="O11" s="19" t="s">
        <v>143</v>
      </c>
      <c r="P11" s="26"/>
      <c r="Q11" s="51"/>
      <c r="R11" s="46"/>
      <c r="S11" s="51"/>
      <c r="T11" s="46"/>
      <c r="U11" s="46"/>
      <c r="V11" s="46"/>
      <c r="W11" s="46"/>
      <c r="X11" s="46"/>
      <c r="Y11" s="46"/>
      <c r="Z11" s="46"/>
      <c r="AA11" s="46"/>
      <c r="AB11" s="46"/>
      <c r="AC11" s="46"/>
      <c r="AD11" s="46"/>
      <c r="AE11" s="46"/>
    </row>
    <row r="12">
      <c r="A12" s="108">
        <v>7.0</v>
      </c>
      <c r="B12" s="40" t="str">
        <f t="shared" si="2"/>
        <v>PR-007</v>
      </c>
      <c r="C12" s="19" t="s">
        <v>102</v>
      </c>
      <c r="D12" s="41" t="s">
        <v>760</v>
      </c>
      <c r="E12" s="42" t="s">
        <v>761</v>
      </c>
      <c r="F12" s="45" t="s">
        <v>762</v>
      </c>
      <c r="G12" s="19" t="s">
        <v>204</v>
      </c>
      <c r="H12" s="40" t="s">
        <v>203</v>
      </c>
      <c r="I12" s="40" t="str">
        <f t="array" ref="I12">IF(G12="","",IFERROR(INDEX('Người sử dụng'!$H$5:$H$140,MATCH(G12,'Người sử dụng'!$C$5:$C$140,0)),"Chưa có trong DS"))</f>
        <v>Đang làm</v>
      </c>
      <c r="J12" s="19" t="s">
        <v>741</v>
      </c>
      <c r="K12" s="24"/>
      <c r="L12" s="23"/>
      <c r="M12" s="24"/>
      <c r="N12" s="24"/>
      <c r="O12" s="19" t="s">
        <v>143</v>
      </c>
      <c r="P12" s="26"/>
      <c r="Q12" s="51"/>
      <c r="R12" s="46"/>
      <c r="S12" s="51"/>
      <c r="T12" s="46"/>
      <c r="U12" s="46"/>
      <c r="V12" s="46"/>
      <c r="W12" s="46"/>
      <c r="X12" s="46"/>
      <c r="Y12" s="46"/>
      <c r="Z12" s="46"/>
      <c r="AA12" s="46"/>
      <c r="AB12" s="46"/>
      <c r="AC12" s="46"/>
      <c r="AD12" s="46"/>
      <c r="AE12" s="46"/>
    </row>
    <row r="13">
      <c r="A13" s="108">
        <v>8.0</v>
      </c>
      <c r="B13" s="40" t="str">
        <f t="shared" si="2"/>
        <v>PR-008</v>
      </c>
      <c r="C13" s="19" t="s">
        <v>102</v>
      </c>
      <c r="D13" s="41" t="s">
        <v>768</v>
      </c>
      <c r="E13" s="42" t="s">
        <v>769</v>
      </c>
      <c r="F13" s="45" t="s">
        <v>771</v>
      </c>
      <c r="G13" s="19" t="s">
        <v>204</v>
      </c>
      <c r="H13" s="40" t="s">
        <v>203</v>
      </c>
      <c r="I13" s="40" t="str">
        <f t="array" ref="I13">IF(G13="","",IFERROR(INDEX('Người sử dụng'!$H$5:$H$140,MATCH(G13,'Người sử dụng'!$C$5:$C$140,0)),"Chưa có trong DS"))</f>
        <v>Đang làm</v>
      </c>
      <c r="J13" s="19" t="s">
        <v>741</v>
      </c>
      <c r="K13" s="24"/>
      <c r="L13" s="23"/>
      <c r="M13" s="24"/>
      <c r="N13" s="24"/>
      <c r="O13" s="19" t="s">
        <v>143</v>
      </c>
      <c r="P13" s="26"/>
      <c r="Q13" s="51"/>
      <c r="R13" s="46"/>
      <c r="S13" s="51"/>
      <c r="T13" s="46"/>
      <c r="U13" s="46"/>
      <c r="V13" s="46"/>
      <c r="W13" s="46"/>
      <c r="X13" s="46"/>
      <c r="Y13" s="46"/>
      <c r="Z13" s="46"/>
      <c r="AA13" s="46"/>
      <c r="AB13" s="46"/>
      <c r="AC13" s="46"/>
      <c r="AD13" s="46"/>
      <c r="AE13" s="46"/>
    </row>
    <row r="14">
      <c r="A14" s="40">
        <f t="shared" ref="A14:A20" si="3">IF(C14="","",ROW()-5)</f>
        <v>9</v>
      </c>
      <c r="B14" s="40" t="str">
        <f t="shared" si="2"/>
        <v>PR-009</v>
      </c>
      <c r="C14" s="19" t="s">
        <v>102</v>
      </c>
      <c r="D14" s="41" t="s">
        <v>775</v>
      </c>
      <c r="E14" s="42" t="s">
        <v>776</v>
      </c>
      <c r="F14" s="53" t="s">
        <v>777</v>
      </c>
      <c r="G14" s="19" t="s">
        <v>198</v>
      </c>
      <c r="H14" s="40" t="s">
        <v>197</v>
      </c>
      <c r="I14" s="40" t="str">
        <f t="array" ref="I14">IF(G14="","",IFERROR(INDEX('Người sử dụng'!$H$5:$H$140,MATCH(G14,'Người sử dụng'!$C$5:$C$140,0)),"Chưa có trong DS"))</f>
        <v>Đang làm</v>
      </c>
      <c r="J14" s="19" t="s">
        <v>741</v>
      </c>
      <c r="K14" s="24"/>
      <c r="L14" s="23"/>
      <c r="M14" s="19"/>
      <c r="N14" s="24"/>
      <c r="O14" s="19" t="s">
        <v>143</v>
      </c>
      <c r="P14" s="54">
        <v>46208.0</v>
      </c>
      <c r="Q14" s="42" t="s">
        <v>747</v>
      </c>
      <c r="R14" s="46"/>
      <c r="S14" s="51"/>
      <c r="T14" s="46"/>
      <c r="U14" s="46"/>
      <c r="V14" s="46"/>
      <c r="W14" s="46"/>
      <c r="X14" s="46"/>
      <c r="Y14" s="46"/>
      <c r="Z14" s="46"/>
      <c r="AA14" s="46"/>
      <c r="AB14" s="46"/>
      <c r="AC14" s="46"/>
      <c r="AD14" s="46"/>
      <c r="AE14" s="46"/>
    </row>
    <row r="15">
      <c r="A15" s="40">
        <f t="shared" si="3"/>
        <v>10</v>
      </c>
      <c r="B15" s="40" t="str">
        <f t="shared" si="2"/>
        <v>PR-010</v>
      </c>
      <c r="C15" s="19" t="s">
        <v>102</v>
      </c>
      <c r="D15" s="41" t="s">
        <v>781</v>
      </c>
      <c r="E15" s="42" t="s">
        <v>782</v>
      </c>
      <c r="F15" s="53" t="s">
        <v>783</v>
      </c>
      <c r="G15" s="19" t="s">
        <v>198</v>
      </c>
      <c r="H15" s="40" t="s">
        <v>197</v>
      </c>
      <c r="I15" s="40" t="str">
        <f t="array" ref="I15">IF(G15="","",IFERROR(INDEX('Người sử dụng'!$H$5:$H$140,MATCH(G15,'Người sử dụng'!$C$5:$C$140,0)),"Chưa có trong DS"))</f>
        <v>Đang làm</v>
      </c>
      <c r="J15" s="19" t="s">
        <v>741</v>
      </c>
      <c r="K15" s="24"/>
      <c r="L15" s="23"/>
      <c r="M15" s="19"/>
      <c r="N15" s="24"/>
      <c r="O15" s="19" t="s">
        <v>143</v>
      </c>
      <c r="P15" s="54">
        <v>45351.0</v>
      </c>
      <c r="Q15" s="42" t="s">
        <v>747</v>
      </c>
      <c r="R15" s="46"/>
      <c r="S15" s="51"/>
      <c r="T15" s="46"/>
      <c r="U15" s="46"/>
      <c r="V15" s="46"/>
      <c r="W15" s="46"/>
      <c r="X15" s="46"/>
      <c r="Y15" s="46"/>
      <c r="Z15" s="46"/>
      <c r="AA15" s="46"/>
      <c r="AB15" s="46"/>
      <c r="AC15" s="46"/>
      <c r="AD15" s="46"/>
      <c r="AE15" s="46"/>
    </row>
    <row r="16">
      <c r="A16" s="40">
        <f t="shared" si="3"/>
        <v>11</v>
      </c>
      <c r="B16" s="40" t="str">
        <f t="shared" si="2"/>
        <v>PR-011</v>
      </c>
      <c r="C16" s="19" t="s">
        <v>102</v>
      </c>
      <c r="D16" s="41" t="s">
        <v>787</v>
      </c>
      <c r="E16" s="42" t="s">
        <v>788</v>
      </c>
      <c r="F16" s="53" t="s">
        <v>789</v>
      </c>
      <c r="G16" s="19" t="s">
        <v>198</v>
      </c>
      <c r="H16" s="40" t="s">
        <v>197</v>
      </c>
      <c r="I16" s="40" t="str">
        <f t="array" ref="I16">IF(G16="","",IFERROR(INDEX('Người sử dụng'!$H$5:$H$140,MATCH(G16,'Người sử dụng'!$C$5:$C$140,0)),"Chưa có trong DS"))</f>
        <v>Đang làm</v>
      </c>
      <c r="J16" s="19" t="s">
        <v>741</v>
      </c>
      <c r="K16" s="24"/>
      <c r="L16" s="23"/>
      <c r="M16" s="19"/>
      <c r="N16" s="24"/>
      <c r="O16" s="19" t="s">
        <v>143</v>
      </c>
      <c r="P16" s="54">
        <v>46111.0</v>
      </c>
      <c r="Q16" s="42" t="s">
        <v>747</v>
      </c>
      <c r="R16" s="46"/>
      <c r="S16" s="51"/>
      <c r="T16" s="46"/>
      <c r="U16" s="46"/>
      <c r="V16" s="46"/>
      <c r="W16" s="46"/>
      <c r="X16" s="46"/>
      <c r="Y16" s="46"/>
      <c r="Z16" s="46"/>
      <c r="AA16" s="46"/>
      <c r="AB16" s="46"/>
      <c r="AC16" s="46"/>
      <c r="AD16" s="46"/>
      <c r="AE16" s="46"/>
    </row>
    <row r="17">
      <c r="A17" s="40">
        <f t="shared" si="3"/>
        <v>12</v>
      </c>
      <c r="B17" s="40" t="str">
        <f t="shared" si="2"/>
        <v>PR-012</v>
      </c>
      <c r="C17" s="19" t="s">
        <v>102</v>
      </c>
      <c r="D17" s="41" t="s">
        <v>797</v>
      </c>
      <c r="E17" s="42" t="s">
        <v>798</v>
      </c>
      <c r="F17" s="53" t="s">
        <v>799</v>
      </c>
      <c r="G17" s="19" t="s">
        <v>211</v>
      </c>
      <c r="H17" s="40" t="s">
        <v>210</v>
      </c>
      <c r="I17" s="40" t="str">
        <f t="array" ref="I17">IF(G17="","",IFERROR(INDEX('Người sử dụng'!$H$5:$H$140,MATCH(G17,'Người sử dụng'!$C$5:$C$140,0)),"Chưa có trong DS"))</f>
        <v>Đang làm</v>
      </c>
      <c r="J17" s="19" t="s">
        <v>741</v>
      </c>
      <c r="K17" s="24"/>
      <c r="L17" s="23"/>
      <c r="M17" s="24"/>
      <c r="N17" s="24"/>
      <c r="O17" s="19" t="s">
        <v>143</v>
      </c>
      <c r="P17" s="26"/>
      <c r="Q17" s="51"/>
      <c r="R17" s="46"/>
      <c r="S17" s="51"/>
      <c r="T17" s="46"/>
      <c r="U17" s="46"/>
      <c r="V17" s="46"/>
      <c r="W17" s="46"/>
      <c r="X17" s="46"/>
      <c r="Y17" s="46"/>
      <c r="Z17" s="46"/>
      <c r="AA17" s="46"/>
      <c r="AB17" s="46"/>
      <c r="AC17" s="46"/>
      <c r="AD17" s="46"/>
      <c r="AE17" s="46"/>
    </row>
    <row r="18">
      <c r="A18" s="40">
        <f t="shared" si="3"/>
        <v>13</v>
      </c>
      <c r="B18" s="40" t="str">
        <f t="shared" si="2"/>
        <v>PR-013</v>
      </c>
      <c r="C18" s="19" t="s">
        <v>102</v>
      </c>
      <c r="D18" s="41" t="s">
        <v>804</v>
      </c>
      <c r="E18" s="42" t="s">
        <v>805</v>
      </c>
      <c r="F18" s="53" t="s">
        <v>806</v>
      </c>
      <c r="G18" s="19" t="s">
        <v>211</v>
      </c>
      <c r="H18" s="40" t="s">
        <v>210</v>
      </c>
      <c r="I18" s="40" t="str">
        <f t="array" ref="I18">IF(G18="","",IFERROR(INDEX('Người sử dụng'!$H$5:$H$140,MATCH(G18,'Người sử dụng'!$C$5:$C$140,0)),"Chưa có trong DS"))</f>
        <v>Đang làm</v>
      </c>
      <c r="J18" s="19" t="s">
        <v>741</v>
      </c>
      <c r="K18" s="24"/>
      <c r="L18" s="23"/>
      <c r="M18" s="24"/>
      <c r="N18" s="24"/>
      <c r="O18" s="19" t="s">
        <v>143</v>
      </c>
      <c r="P18" s="26"/>
      <c r="Q18" s="51"/>
      <c r="R18" s="46"/>
      <c r="S18" s="51"/>
      <c r="T18" s="46"/>
      <c r="U18" s="46"/>
      <c r="V18" s="46"/>
      <c r="W18" s="46"/>
      <c r="X18" s="46"/>
      <c r="Y18" s="46"/>
      <c r="Z18" s="46"/>
      <c r="AA18" s="46"/>
      <c r="AB18" s="46"/>
      <c r="AC18" s="46"/>
      <c r="AD18" s="46"/>
      <c r="AE18" s="46"/>
    </row>
    <row r="19">
      <c r="A19" s="40">
        <f t="shared" si="3"/>
        <v>14</v>
      </c>
      <c r="B19" s="40" t="str">
        <f t="shared" si="2"/>
        <v>PR-014</v>
      </c>
      <c r="C19" s="19" t="s">
        <v>102</v>
      </c>
      <c r="D19" s="41" t="s">
        <v>809</v>
      </c>
      <c r="E19" s="42" t="s">
        <v>810</v>
      </c>
      <c r="F19" s="53" t="s">
        <v>811</v>
      </c>
      <c r="G19" s="19" t="s">
        <v>211</v>
      </c>
      <c r="H19" s="40" t="s">
        <v>210</v>
      </c>
      <c r="I19" s="40" t="str">
        <f t="array" ref="I19">IF(G19="","",IFERROR(INDEX('Người sử dụng'!$H$5:$H$140,MATCH(G19,'Người sử dụng'!$C$5:$C$140,0)),"Chưa có trong DS"))</f>
        <v>Đang làm</v>
      </c>
      <c r="J19" s="19" t="s">
        <v>741</v>
      </c>
      <c r="K19" s="24"/>
      <c r="L19" s="23"/>
      <c r="M19" s="24"/>
      <c r="N19" s="24"/>
      <c r="O19" s="19" t="s">
        <v>143</v>
      </c>
      <c r="P19" s="26"/>
      <c r="Q19" s="51"/>
      <c r="R19" s="46"/>
      <c r="S19" s="51"/>
      <c r="T19" s="46"/>
      <c r="U19" s="46"/>
      <c r="V19" s="46"/>
      <c r="W19" s="46"/>
      <c r="X19" s="46"/>
      <c r="Y19" s="46"/>
      <c r="Z19" s="46"/>
      <c r="AA19" s="46"/>
      <c r="AB19" s="46"/>
      <c r="AC19" s="46"/>
      <c r="AD19" s="46"/>
      <c r="AE19" s="46"/>
    </row>
    <row r="20">
      <c r="A20" s="40">
        <f t="shared" si="3"/>
        <v>15</v>
      </c>
      <c r="B20" s="40" t="str">
        <f t="shared" si="2"/>
        <v>PR-015</v>
      </c>
      <c r="C20" s="19" t="s">
        <v>102</v>
      </c>
      <c r="D20" s="41" t="s">
        <v>816</v>
      </c>
      <c r="E20" s="42" t="s">
        <v>817</v>
      </c>
      <c r="F20" s="53" t="s">
        <v>818</v>
      </c>
      <c r="G20" s="19" t="s">
        <v>211</v>
      </c>
      <c r="H20" s="40" t="s">
        <v>210</v>
      </c>
      <c r="I20" s="40" t="str">
        <f t="array" ref="I20">IF(G20="","",IFERROR(INDEX('Người sử dụng'!$H$5:$H$140,MATCH(G20,'Người sử dụng'!$C$5:$C$140,0)),"Chưa có trong DS"))</f>
        <v>Đang làm</v>
      </c>
      <c r="J20" s="19" t="s">
        <v>741</v>
      </c>
      <c r="K20" s="24"/>
      <c r="L20" s="23"/>
      <c r="M20" s="24"/>
      <c r="N20" s="24"/>
      <c r="O20" s="19" t="s">
        <v>143</v>
      </c>
      <c r="P20" s="26"/>
      <c r="Q20" s="51"/>
      <c r="R20" s="46"/>
      <c r="S20" s="51"/>
      <c r="T20" s="46"/>
      <c r="U20" s="46"/>
      <c r="V20" s="46"/>
      <c r="W20" s="46"/>
      <c r="X20" s="46"/>
      <c r="Y20" s="46"/>
      <c r="Z20" s="46"/>
      <c r="AA20" s="46"/>
      <c r="AB20" s="46"/>
      <c r="AC20" s="46"/>
      <c r="AD20" s="46"/>
      <c r="AE20" s="46"/>
    </row>
    <row r="21" ht="15.75" customHeight="1">
      <c r="A21" s="108">
        <v>16.0</v>
      </c>
      <c r="B21" s="40" t="str">
        <f t="shared" si="2"/>
        <v>PR-016</v>
      </c>
      <c r="C21" s="19" t="s">
        <v>84</v>
      </c>
      <c r="D21" s="41" t="s">
        <v>738</v>
      </c>
      <c r="E21" s="42" t="s">
        <v>739</v>
      </c>
      <c r="F21" s="53" t="s">
        <v>825</v>
      </c>
      <c r="G21" s="19" t="s">
        <v>204</v>
      </c>
      <c r="H21" s="40" t="s">
        <v>203</v>
      </c>
      <c r="I21" s="40" t="str">
        <f t="array" ref="I21">IF(G21="","",IFERROR(INDEX('Người sử dụng'!$H$5:$H$140,MATCH(G21,'Người sử dụng'!$C$5:$C$140,0)),"Chưa có trong DS"))</f>
        <v>Đang làm</v>
      </c>
      <c r="J21" s="19" t="s">
        <v>741</v>
      </c>
      <c r="K21" s="24"/>
      <c r="L21" s="23"/>
      <c r="M21" s="19" t="s">
        <v>732</v>
      </c>
      <c r="N21" s="24"/>
      <c r="O21" s="19" t="s">
        <v>143</v>
      </c>
      <c r="P21" s="54">
        <v>45071.0</v>
      </c>
      <c r="Q21" s="42" t="s">
        <v>829</v>
      </c>
      <c r="R21" s="46"/>
      <c r="S21" s="51"/>
      <c r="T21" s="46"/>
      <c r="U21" s="46"/>
      <c r="V21" s="46"/>
      <c r="W21" s="46"/>
      <c r="X21" s="46"/>
      <c r="Y21" s="46"/>
      <c r="Z21" s="46"/>
      <c r="AA21" s="46"/>
      <c r="AB21" s="46"/>
      <c r="AC21" s="46"/>
      <c r="AD21" s="46"/>
      <c r="AE21" s="46"/>
    </row>
    <row r="22" ht="15.75" customHeight="1">
      <c r="A22" s="40">
        <f t="shared" ref="A22:A23" si="4">IF(C22="","",ROW()-5)</f>
        <v>17</v>
      </c>
      <c r="B22" s="40" t="str">
        <f t="shared" si="2"/>
        <v>PR-017</v>
      </c>
      <c r="C22" s="19" t="s">
        <v>102</v>
      </c>
      <c r="D22" s="41" t="s">
        <v>833</v>
      </c>
      <c r="E22" s="42" t="s">
        <v>834</v>
      </c>
      <c r="F22" s="53" t="s">
        <v>835</v>
      </c>
      <c r="G22" s="19" t="s">
        <v>198</v>
      </c>
      <c r="H22" s="40" t="s">
        <v>197</v>
      </c>
      <c r="I22" s="40" t="str">
        <f t="array" ref="I22">IF(G22="","",IFERROR(INDEX('Người sử dụng'!$H$5:$H$140,MATCH(G22,'Người sử dụng'!$C$5:$C$140,0)),"Chưa có trong DS"))</f>
        <v>Đang làm</v>
      </c>
      <c r="J22" s="19" t="s">
        <v>741</v>
      </c>
      <c r="K22" s="24"/>
      <c r="L22" s="23"/>
      <c r="M22" s="24"/>
      <c r="N22" s="24"/>
      <c r="O22" s="19" t="s">
        <v>143</v>
      </c>
      <c r="P22" s="54">
        <v>46218.0</v>
      </c>
      <c r="Q22" s="42" t="s">
        <v>747</v>
      </c>
      <c r="R22" s="46"/>
      <c r="S22" s="51"/>
      <c r="T22" s="46"/>
      <c r="U22" s="46"/>
      <c r="V22" s="46"/>
      <c r="W22" s="46"/>
      <c r="X22" s="46"/>
      <c r="Y22" s="46"/>
      <c r="Z22" s="46"/>
      <c r="AA22" s="46"/>
      <c r="AB22" s="46"/>
      <c r="AC22" s="46"/>
      <c r="AD22" s="46"/>
      <c r="AE22" s="46"/>
    </row>
    <row r="23" ht="15.75" customHeight="1">
      <c r="A23" s="40">
        <f t="shared" si="4"/>
        <v>18</v>
      </c>
      <c r="B23" s="40" t="str">
        <f t="shared" si="2"/>
        <v>PR-018</v>
      </c>
      <c r="C23" s="19" t="s">
        <v>84</v>
      </c>
      <c r="D23" s="41" t="s">
        <v>840</v>
      </c>
      <c r="E23" s="42" t="s">
        <v>841</v>
      </c>
      <c r="F23" s="53" t="s">
        <v>842</v>
      </c>
      <c r="G23" s="19" t="s">
        <v>198</v>
      </c>
      <c r="H23" s="40" t="s">
        <v>197</v>
      </c>
      <c r="I23" s="40" t="str">
        <f t="array" ref="I23">IF(G23="","",IFERROR(INDEX('Người sử dụng'!$H$5:$H$140,MATCH(G23,'Người sử dụng'!$C$5:$C$140,0)),"Chưa có trong DS"))</f>
        <v>Đang làm</v>
      </c>
      <c r="J23" s="19" t="s">
        <v>741</v>
      </c>
      <c r="K23" s="24"/>
      <c r="L23" s="23"/>
      <c r="M23" s="24"/>
      <c r="N23" s="24"/>
      <c r="O23" s="19" t="s">
        <v>143</v>
      </c>
      <c r="P23" s="54">
        <v>46157.0</v>
      </c>
      <c r="Q23" s="42" t="s">
        <v>829</v>
      </c>
      <c r="R23" s="46"/>
      <c r="S23" s="51"/>
      <c r="T23" s="46"/>
      <c r="U23" s="46"/>
      <c r="V23" s="46"/>
      <c r="W23" s="46"/>
      <c r="X23" s="46"/>
      <c r="Y23" s="46"/>
      <c r="Z23" s="46"/>
      <c r="AA23" s="46"/>
      <c r="AB23" s="46"/>
      <c r="AC23" s="46"/>
      <c r="AD23" s="46"/>
      <c r="AE23" s="46"/>
    </row>
    <row r="24" ht="15.75" customHeight="1">
      <c r="A24" s="108">
        <v>19.0</v>
      </c>
      <c r="B24" s="40" t="str">
        <f t="shared" si="2"/>
        <v>PR-019</v>
      </c>
      <c r="C24" s="19" t="s">
        <v>84</v>
      </c>
      <c r="D24" s="41" t="s">
        <v>840</v>
      </c>
      <c r="E24" s="42" t="s">
        <v>841</v>
      </c>
      <c r="F24" s="53" t="s">
        <v>842</v>
      </c>
      <c r="G24" s="19" t="s">
        <v>217</v>
      </c>
      <c r="H24" s="40" t="s">
        <v>216</v>
      </c>
      <c r="I24" s="40" t="str">
        <f t="array" ref="I24">IF(G24="","",IFERROR(INDEX('Người sử dụng'!$H$5:$H$140,MATCH(G24,'Người sử dụng'!$C$5:$C$140,0)),"Chưa có trong DS"))</f>
        <v>Đang làm</v>
      </c>
      <c r="J24" s="19" t="s">
        <v>731</v>
      </c>
      <c r="K24" s="24"/>
      <c r="L24" s="23"/>
      <c r="M24" s="24"/>
      <c r="N24" s="24"/>
      <c r="O24" s="19" t="s">
        <v>143</v>
      </c>
      <c r="P24" s="54">
        <v>46218.0</v>
      </c>
      <c r="Q24" s="42" t="s">
        <v>843</v>
      </c>
      <c r="R24" s="46"/>
      <c r="S24" s="51"/>
      <c r="T24" s="46"/>
      <c r="U24" s="46"/>
      <c r="V24" s="46"/>
      <c r="W24" s="46"/>
      <c r="X24" s="46"/>
      <c r="Y24" s="46"/>
      <c r="Z24" s="46"/>
      <c r="AA24" s="46"/>
      <c r="AB24" s="46"/>
      <c r="AC24" s="46"/>
      <c r="AD24" s="46"/>
      <c r="AE24" s="46"/>
    </row>
    <row r="25" ht="15.75" customHeight="1">
      <c r="A25" s="40">
        <f>IF(C25="","",ROW()-5)</f>
        <v>20</v>
      </c>
      <c r="B25" s="40" t="str">
        <f t="shared" si="2"/>
        <v>PR-020</v>
      </c>
      <c r="C25" s="19" t="s">
        <v>84</v>
      </c>
      <c r="D25" s="41" t="s">
        <v>844</v>
      </c>
      <c r="E25" s="42" t="s">
        <v>845</v>
      </c>
      <c r="F25" s="45" t="s">
        <v>846</v>
      </c>
      <c r="G25" s="19" t="s">
        <v>223</v>
      </c>
      <c r="H25" s="40" t="s">
        <v>222</v>
      </c>
      <c r="I25" s="40" t="str">
        <f t="array" ref="I25">IF(G25="","",IFERROR(INDEX('Người sử dụng'!$H$5:$H$140,MATCH(G25,'Người sử dụng'!$C$5:$C$140,0)),"Chưa có trong DS"))</f>
        <v>Đang làm</v>
      </c>
      <c r="J25" s="19" t="s">
        <v>731</v>
      </c>
      <c r="K25" s="24"/>
      <c r="L25" s="23"/>
      <c r="M25" s="24"/>
      <c r="N25" s="24"/>
      <c r="O25" s="19" t="s">
        <v>92</v>
      </c>
      <c r="P25" s="54">
        <v>45785.0</v>
      </c>
      <c r="Q25" s="42" t="s">
        <v>747</v>
      </c>
      <c r="R25" s="46"/>
      <c r="S25" s="51"/>
      <c r="T25" s="46"/>
      <c r="U25" s="46"/>
      <c r="V25" s="46"/>
      <c r="W25" s="46"/>
      <c r="X25" s="46"/>
      <c r="Y25" s="46"/>
      <c r="Z25" s="46"/>
      <c r="AA25" s="46"/>
      <c r="AB25" s="46"/>
      <c r="AC25" s="46"/>
      <c r="AD25" s="46"/>
      <c r="AE25" s="46"/>
    </row>
    <row r="26" ht="15.75" customHeight="1">
      <c r="A26" s="108">
        <v>21.0</v>
      </c>
      <c r="B26" s="40" t="str">
        <f t="shared" si="2"/>
        <v>PR-021</v>
      </c>
      <c r="C26" s="19" t="s">
        <v>84</v>
      </c>
      <c r="D26" s="41" t="s">
        <v>738</v>
      </c>
      <c r="E26" s="42" t="s">
        <v>739</v>
      </c>
      <c r="F26" s="53" t="s">
        <v>740</v>
      </c>
      <c r="G26" s="19" t="s">
        <v>234</v>
      </c>
      <c r="H26" s="40" t="s">
        <v>233</v>
      </c>
      <c r="I26" s="40" t="str">
        <f t="array" ref="I26">IF(G26="","",IFERROR(INDEX('Người sử dụng'!$H$5:$H$140,MATCH(G26,'Người sử dụng'!$C$5:$C$140,0)),"Chưa có trong DS"))</f>
        <v>Đang làm</v>
      </c>
      <c r="J26" s="19" t="s">
        <v>731</v>
      </c>
      <c r="K26" s="24"/>
      <c r="L26" s="23"/>
      <c r="M26" s="19" t="s">
        <v>732</v>
      </c>
      <c r="N26" s="24"/>
      <c r="O26" s="19" t="s">
        <v>143</v>
      </c>
      <c r="P26" s="26"/>
      <c r="Q26" s="51"/>
      <c r="R26" s="46"/>
      <c r="S26" s="51"/>
      <c r="T26" s="46"/>
      <c r="U26" s="46"/>
      <c r="V26" s="46"/>
      <c r="W26" s="46"/>
      <c r="X26" s="46"/>
      <c r="Y26" s="46"/>
      <c r="Z26" s="46"/>
      <c r="AA26" s="46"/>
      <c r="AB26" s="46"/>
      <c r="AC26" s="46"/>
      <c r="AD26" s="46"/>
      <c r="AE26" s="46"/>
    </row>
    <row r="27" ht="15.75" customHeight="1">
      <c r="A27" s="108">
        <v>22.0</v>
      </c>
      <c r="B27" s="40" t="str">
        <f t="shared" si="2"/>
        <v>PR-022</v>
      </c>
      <c r="C27" s="19" t="s">
        <v>102</v>
      </c>
      <c r="D27" s="41" t="s">
        <v>851</v>
      </c>
      <c r="E27" s="42" t="s">
        <v>852</v>
      </c>
      <c r="F27" s="53" t="s">
        <v>853</v>
      </c>
      <c r="G27" s="19" t="s">
        <v>240</v>
      </c>
      <c r="H27" s="40" t="s">
        <v>239</v>
      </c>
      <c r="I27" s="40" t="str">
        <f t="array" ref="I27">IF(G27="","",IFERROR(INDEX('Người sử dụng'!$H$5:$H$140,MATCH(G27,'Người sử dụng'!$C$5:$C$140,0)),"Chưa có trong DS"))</f>
        <v>Đang làm</v>
      </c>
      <c r="J27" s="19" t="s">
        <v>741</v>
      </c>
      <c r="K27" s="24"/>
      <c r="L27" s="23"/>
      <c r="M27" s="19" t="s">
        <v>732</v>
      </c>
      <c r="N27" s="24"/>
      <c r="O27" s="19" t="s">
        <v>143</v>
      </c>
      <c r="P27" s="54">
        <v>46208.0</v>
      </c>
      <c r="Q27" s="42" t="s">
        <v>747</v>
      </c>
      <c r="R27" s="46"/>
      <c r="S27" s="51"/>
      <c r="T27" s="46"/>
      <c r="U27" s="46"/>
      <c r="V27" s="46"/>
      <c r="W27" s="46"/>
      <c r="X27" s="46"/>
      <c r="Y27" s="46"/>
      <c r="Z27" s="46"/>
      <c r="AA27" s="46"/>
      <c r="AB27" s="46"/>
      <c r="AC27" s="46"/>
      <c r="AD27" s="46"/>
      <c r="AE27" s="46"/>
    </row>
    <row r="28" ht="15.75" customHeight="1">
      <c r="A28" s="108">
        <v>23.0</v>
      </c>
      <c r="B28" s="40" t="str">
        <f t="shared" si="2"/>
        <v>PR-023</v>
      </c>
      <c r="C28" s="19" t="s">
        <v>84</v>
      </c>
      <c r="D28" s="41" t="s">
        <v>862</v>
      </c>
      <c r="E28" s="42" t="s">
        <v>863</v>
      </c>
      <c r="F28" s="53" t="s">
        <v>865</v>
      </c>
      <c r="G28" s="19" t="s">
        <v>240</v>
      </c>
      <c r="H28" s="40" t="s">
        <v>239</v>
      </c>
      <c r="I28" s="40" t="str">
        <f t="array" ref="I28">IF(G28="","",IFERROR(INDEX('Người sử dụng'!$H$5:$H$140,MATCH(G28,'Người sử dụng'!$C$5:$C$140,0)),"Chưa có trong DS"))</f>
        <v>Đang làm</v>
      </c>
      <c r="J28" s="19" t="s">
        <v>741</v>
      </c>
      <c r="K28" s="24"/>
      <c r="L28" s="23"/>
      <c r="M28" s="19" t="s">
        <v>732</v>
      </c>
      <c r="N28" s="24"/>
      <c r="O28" s="19" t="s">
        <v>143</v>
      </c>
      <c r="P28" s="54">
        <v>46210.0</v>
      </c>
      <c r="Q28" s="42" t="s">
        <v>747</v>
      </c>
      <c r="R28" s="46"/>
      <c r="S28" s="51"/>
      <c r="T28" s="46"/>
      <c r="U28" s="46"/>
      <c r="V28" s="46"/>
      <c r="W28" s="46"/>
      <c r="X28" s="46"/>
      <c r="Y28" s="46"/>
      <c r="Z28" s="46"/>
      <c r="AA28" s="46"/>
      <c r="AB28" s="46"/>
      <c r="AC28" s="46"/>
      <c r="AD28" s="46"/>
      <c r="AE28" s="46"/>
    </row>
    <row r="29" ht="15.75" customHeight="1">
      <c r="A29" s="108">
        <v>24.0</v>
      </c>
      <c r="B29" s="40" t="str">
        <f t="shared" si="2"/>
        <v>PR-024</v>
      </c>
      <c r="C29" s="19" t="s">
        <v>84</v>
      </c>
      <c r="D29" s="41" t="s">
        <v>869</v>
      </c>
      <c r="E29" s="42" t="s">
        <v>870</v>
      </c>
      <c r="F29" s="45" t="s">
        <v>871</v>
      </c>
      <c r="G29" s="19" t="s">
        <v>227</v>
      </c>
      <c r="H29" s="40" t="s">
        <v>226</v>
      </c>
      <c r="I29" s="40" t="str">
        <f t="array" ref="I29">IF(G29="","",IFERROR(INDEX('Người sử dụng'!$H$5:$H$140,MATCH(G29,'Người sử dụng'!$C$5:$C$140,0)),"Chưa có trong DS"))</f>
        <v>Đang làm</v>
      </c>
      <c r="J29" s="19" t="s">
        <v>731</v>
      </c>
      <c r="K29" s="24"/>
      <c r="L29" s="23"/>
      <c r="M29" s="24"/>
      <c r="N29" s="24"/>
      <c r="O29" s="19" t="s">
        <v>143</v>
      </c>
      <c r="P29" s="26"/>
      <c r="Q29" s="42" t="s">
        <v>872</v>
      </c>
      <c r="R29" s="46"/>
      <c r="S29" s="51"/>
      <c r="T29" s="46"/>
      <c r="U29" s="46"/>
      <c r="V29" s="46"/>
      <c r="W29" s="46"/>
      <c r="X29" s="46"/>
      <c r="Y29" s="46"/>
      <c r="Z29" s="46"/>
      <c r="AA29" s="46"/>
      <c r="AB29" s="46"/>
      <c r="AC29" s="46"/>
      <c r="AD29" s="46"/>
      <c r="AE29" s="46"/>
    </row>
    <row r="30" ht="15.75" customHeight="1">
      <c r="A30" s="108">
        <v>25.0</v>
      </c>
      <c r="B30" s="108" t="s">
        <v>873</v>
      </c>
      <c r="C30" s="19" t="s">
        <v>84</v>
      </c>
      <c r="D30" s="41" t="s">
        <v>874</v>
      </c>
      <c r="E30" s="42" t="s">
        <v>875</v>
      </c>
      <c r="F30" s="45" t="s">
        <v>876</v>
      </c>
      <c r="G30" s="19" t="s">
        <v>227</v>
      </c>
      <c r="H30" s="40" t="s">
        <v>226</v>
      </c>
      <c r="I30" s="40" t="str">
        <f t="array" ref="I30">IF(G30="","",IFERROR(INDEX('Người sử dụng'!$H$5:$H$140,MATCH(G30,'Người sử dụng'!$C$5:$C$140,0)),"Chưa có trong DS"))</f>
        <v>Đang làm</v>
      </c>
      <c r="J30" s="19" t="s">
        <v>731</v>
      </c>
      <c r="K30" s="24"/>
      <c r="L30" s="23"/>
      <c r="M30" s="24"/>
      <c r="N30" s="24"/>
      <c r="O30" s="19" t="s">
        <v>143</v>
      </c>
      <c r="P30" s="26"/>
      <c r="Q30" s="42" t="s">
        <v>872</v>
      </c>
      <c r="R30" s="46"/>
      <c r="S30" s="51"/>
      <c r="T30" s="46"/>
      <c r="U30" s="46"/>
      <c r="V30" s="46"/>
      <c r="W30" s="46"/>
      <c r="X30" s="46"/>
      <c r="Y30" s="46"/>
      <c r="Z30" s="46"/>
      <c r="AA30" s="46"/>
      <c r="AB30" s="46"/>
      <c r="AC30" s="46"/>
      <c r="AD30" s="46"/>
      <c r="AE30" s="46"/>
    </row>
    <row r="31" ht="15.75" customHeight="1">
      <c r="A31" s="40">
        <f>IF(C31="","",ROW()-5)</f>
        <v>26</v>
      </c>
      <c r="B31" s="108" t="s">
        <v>877</v>
      </c>
      <c r="C31" s="19" t="s">
        <v>84</v>
      </c>
      <c r="D31" s="41" t="s">
        <v>878</v>
      </c>
      <c r="E31" s="42" t="s">
        <v>879</v>
      </c>
      <c r="F31" s="45" t="s">
        <v>880</v>
      </c>
      <c r="G31" s="19" t="s">
        <v>227</v>
      </c>
      <c r="H31" s="40" t="s">
        <v>226</v>
      </c>
      <c r="I31" s="40" t="str">
        <f t="array" ref="I31">IF(G31="","",IFERROR(INDEX('Người sử dụng'!$H$5:$H$140,MATCH(G31,'Người sử dụng'!$C$5:$C$140,0)),"Chưa có trong DS"))</f>
        <v>Đang làm</v>
      </c>
      <c r="J31" s="19" t="s">
        <v>731</v>
      </c>
      <c r="K31" s="24"/>
      <c r="L31" s="23"/>
      <c r="M31" s="24"/>
      <c r="N31" s="24"/>
      <c r="O31" s="19" t="s">
        <v>143</v>
      </c>
      <c r="P31" s="26"/>
      <c r="Q31" s="42" t="s">
        <v>872</v>
      </c>
      <c r="R31" s="46"/>
      <c r="S31" s="51"/>
      <c r="T31" s="46"/>
      <c r="U31" s="46"/>
      <c r="V31" s="46"/>
      <c r="W31" s="46"/>
      <c r="X31" s="46"/>
      <c r="Y31" s="46"/>
      <c r="Z31" s="46"/>
      <c r="AA31" s="46"/>
      <c r="AB31" s="46"/>
      <c r="AC31" s="46"/>
      <c r="AD31" s="46"/>
      <c r="AE31" s="46"/>
    </row>
    <row r="32" ht="15.75" customHeight="1">
      <c r="A32" s="108">
        <v>23.0</v>
      </c>
      <c r="B32" s="108" t="s">
        <v>881</v>
      </c>
      <c r="C32" s="19" t="s">
        <v>84</v>
      </c>
      <c r="D32" s="41" t="s">
        <v>882</v>
      </c>
      <c r="E32" s="42" t="s">
        <v>883</v>
      </c>
      <c r="F32" s="45" t="s">
        <v>884</v>
      </c>
      <c r="G32" s="19" t="s">
        <v>223</v>
      </c>
      <c r="H32" s="40" t="s">
        <v>222</v>
      </c>
      <c r="I32" s="40" t="str">
        <f t="array" ref="I32">IF(G32="","",IFERROR(INDEX('Người sử dụng'!$H$5:$H$140,MATCH(G32,'Người sử dụng'!$C$5:$C$140,0)),"Chưa có trong DS"))</f>
        <v>Đang làm</v>
      </c>
      <c r="J32" s="19" t="s">
        <v>731</v>
      </c>
      <c r="K32" s="24"/>
      <c r="L32" s="23"/>
      <c r="M32" s="24"/>
      <c r="N32" s="24"/>
      <c r="O32" s="19" t="s">
        <v>92</v>
      </c>
      <c r="P32" s="54">
        <v>45957.0</v>
      </c>
      <c r="Q32" s="42" t="s">
        <v>747</v>
      </c>
      <c r="R32" s="46"/>
      <c r="S32" s="51"/>
      <c r="T32" s="46"/>
      <c r="U32" s="46"/>
      <c r="V32" s="46"/>
      <c r="W32" s="46"/>
      <c r="X32" s="46"/>
      <c r="Y32" s="46"/>
      <c r="Z32" s="46"/>
      <c r="AA32" s="46"/>
      <c r="AB32" s="46"/>
      <c r="AC32" s="46"/>
      <c r="AD32" s="46"/>
      <c r="AE32" s="46"/>
    </row>
    <row r="33" ht="15.75" customHeight="1">
      <c r="A33" s="40">
        <f t="shared" ref="A33:A47" si="5">IF(C33="","",ROW()-5)</f>
        <v>28</v>
      </c>
      <c r="B33" s="40" t="str">
        <f t="shared" ref="B33:B47" si="6">IF(C33="","","PR-"&amp;TEXT(ROW()-5,"000"))</f>
        <v>PR-028</v>
      </c>
      <c r="C33" s="19" t="s">
        <v>84</v>
      </c>
      <c r="D33" s="41" t="s">
        <v>885</v>
      </c>
      <c r="E33" s="42" t="s">
        <v>886</v>
      </c>
      <c r="F33" s="45" t="s">
        <v>887</v>
      </c>
      <c r="G33" s="19" t="s">
        <v>223</v>
      </c>
      <c r="H33" s="40" t="s">
        <v>222</v>
      </c>
      <c r="I33" s="40" t="str">
        <f t="array" ref="I33">IF(G33="","",IFERROR(INDEX('Người sử dụng'!$H$5:$H$140,MATCH(G33,'Người sử dụng'!$C$5:$C$140,0)),"Chưa có trong DS"))</f>
        <v>Đang làm</v>
      </c>
      <c r="J33" s="19" t="s">
        <v>731</v>
      </c>
      <c r="K33" s="24"/>
      <c r="L33" s="23"/>
      <c r="M33" s="24"/>
      <c r="N33" s="24"/>
      <c r="O33" s="19" t="s">
        <v>92</v>
      </c>
      <c r="P33" s="54">
        <v>45953.0</v>
      </c>
      <c r="Q33" s="42" t="s">
        <v>747</v>
      </c>
      <c r="R33" s="46"/>
      <c r="S33" s="51"/>
      <c r="T33" s="46"/>
      <c r="U33" s="46"/>
      <c r="V33" s="46"/>
      <c r="W33" s="46"/>
      <c r="X33" s="46"/>
      <c r="Y33" s="46"/>
      <c r="Z33" s="46"/>
      <c r="AA33" s="46"/>
      <c r="AB33" s="46"/>
      <c r="AC33" s="46"/>
      <c r="AD33" s="46"/>
      <c r="AE33" s="46"/>
    </row>
    <row r="34" ht="15.75" customHeight="1">
      <c r="A34" s="40">
        <f t="shared" si="5"/>
        <v>29</v>
      </c>
      <c r="B34" s="40" t="str">
        <f t="shared" si="6"/>
        <v>PR-029</v>
      </c>
      <c r="C34" s="19" t="s">
        <v>84</v>
      </c>
      <c r="D34" s="41" t="s">
        <v>888</v>
      </c>
      <c r="E34" s="42" t="s">
        <v>889</v>
      </c>
      <c r="F34" s="45" t="s">
        <v>890</v>
      </c>
      <c r="G34" s="19" t="s">
        <v>223</v>
      </c>
      <c r="H34" s="40" t="s">
        <v>222</v>
      </c>
      <c r="I34" s="40" t="str">
        <f t="array" ref="I34">IF(G34="","",IFERROR(INDEX('Người sử dụng'!$H$5:$H$140,MATCH(G34,'Người sử dụng'!$C$5:$C$140,0)),"Chưa có trong DS"))</f>
        <v>Đang làm</v>
      </c>
      <c r="J34" s="19" t="s">
        <v>731</v>
      </c>
      <c r="K34" s="24"/>
      <c r="L34" s="23"/>
      <c r="M34" s="24"/>
      <c r="N34" s="24"/>
      <c r="O34" s="19" t="s">
        <v>92</v>
      </c>
      <c r="P34" s="54">
        <v>46206.0</v>
      </c>
      <c r="Q34" s="42" t="s">
        <v>891</v>
      </c>
      <c r="R34" s="46"/>
      <c r="S34" s="51"/>
      <c r="T34" s="46"/>
      <c r="U34" s="46"/>
      <c r="V34" s="46"/>
      <c r="W34" s="46"/>
      <c r="X34" s="46"/>
      <c r="Y34" s="46"/>
      <c r="Z34" s="46"/>
      <c r="AA34" s="46"/>
      <c r="AB34" s="46"/>
      <c r="AC34" s="46"/>
      <c r="AD34" s="46"/>
      <c r="AE34" s="46"/>
    </row>
    <row r="35" ht="15.75" customHeight="1">
      <c r="A35" s="40">
        <f t="shared" si="5"/>
        <v>30</v>
      </c>
      <c r="B35" s="40" t="str">
        <f t="shared" si="6"/>
        <v>PR-030</v>
      </c>
      <c r="C35" s="19" t="s">
        <v>316</v>
      </c>
      <c r="D35" s="41" t="s">
        <v>892</v>
      </c>
      <c r="E35" s="42" t="s">
        <v>893</v>
      </c>
      <c r="F35" s="45" t="s">
        <v>894</v>
      </c>
      <c r="G35" s="19" t="s">
        <v>223</v>
      </c>
      <c r="H35" s="40" t="s">
        <v>222</v>
      </c>
      <c r="I35" s="40" t="str">
        <f t="array" ref="I35">IF(G35="","",IFERROR(INDEX('Người sử dụng'!$H$5:$H$140,MATCH(G35,'Người sử dụng'!$C$5:$C$140,0)),"Chưa có trong DS"))</f>
        <v>Đang làm</v>
      </c>
      <c r="J35" s="19" t="s">
        <v>731</v>
      </c>
      <c r="K35" s="19" t="s">
        <v>895</v>
      </c>
      <c r="L35" s="41" t="s">
        <v>896</v>
      </c>
      <c r="M35" s="19" t="s">
        <v>91</v>
      </c>
      <c r="N35" s="24"/>
      <c r="O35" s="19" t="s">
        <v>92</v>
      </c>
      <c r="P35" s="54">
        <v>45814.0</v>
      </c>
      <c r="Q35" s="42" t="s">
        <v>891</v>
      </c>
      <c r="R35" s="46"/>
      <c r="S35" s="51"/>
      <c r="T35" s="46"/>
      <c r="U35" s="46"/>
      <c r="V35" s="46"/>
      <c r="W35" s="46"/>
      <c r="X35" s="46"/>
      <c r="Y35" s="46"/>
      <c r="Z35" s="46"/>
      <c r="AA35" s="46"/>
      <c r="AB35" s="46"/>
      <c r="AC35" s="46"/>
      <c r="AD35" s="46"/>
      <c r="AE35" s="46"/>
    </row>
    <row r="36" ht="15.75" customHeight="1">
      <c r="A36" s="40">
        <f t="shared" si="5"/>
        <v>31</v>
      </c>
      <c r="B36" s="40" t="str">
        <f t="shared" si="6"/>
        <v>PR-031</v>
      </c>
      <c r="C36" s="19" t="s">
        <v>316</v>
      </c>
      <c r="D36" s="41" t="s">
        <v>897</v>
      </c>
      <c r="E36" s="42" t="s">
        <v>898</v>
      </c>
      <c r="F36" s="45" t="s">
        <v>899</v>
      </c>
      <c r="G36" s="19" t="s">
        <v>223</v>
      </c>
      <c r="H36" s="40" t="s">
        <v>222</v>
      </c>
      <c r="I36" s="40" t="str">
        <f t="array" ref="I36">IF(G36="","",IFERROR(INDEX('Người sử dụng'!$H$5:$H$140,MATCH(G36,'Người sử dụng'!$C$5:$C$140,0)),"Chưa có trong DS"))</f>
        <v>Đang làm</v>
      </c>
      <c r="J36" s="19" t="s">
        <v>731</v>
      </c>
      <c r="K36" s="19" t="s">
        <v>900</v>
      </c>
      <c r="L36" s="41" t="s">
        <v>901</v>
      </c>
      <c r="M36" s="19" t="s">
        <v>91</v>
      </c>
      <c r="N36" s="24"/>
      <c r="O36" s="19" t="s">
        <v>92</v>
      </c>
      <c r="P36" s="54">
        <v>45770.0</v>
      </c>
      <c r="Q36" s="42" t="s">
        <v>891</v>
      </c>
      <c r="R36" s="46"/>
      <c r="S36" s="51"/>
      <c r="T36" s="46"/>
      <c r="U36" s="46"/>
      <c r="V36" s="46"/>
      <c r="W36" s="46"/>
      <c r="X36" s="46"/>
      <c r="Y36" s="46"/>
      <c r="Z36" s="46"/>
      <c r="AA36" s="46"/>
      <c r="AB36" s="46"/>
      <c r="AC36" s="46"/>
      <c r="AD36" s="46"/>
      <c r="AE36" s="46"/>
    </row>
    <row r="37" ht="15.75" customHeight="1">
      <c r="A37" s="40">
        <f t="shared" si="5"/>
        <v>32</v>
      </c>
      <c r="B37" s="40" t="str">
        <f t="shared" si="6"/>
        <v>PR-032</v>
      </c>
      <c r="C37" s="19" t="s">
        <v>316</v>
      </c>
      <c r="D37" s="41" t="s">
        <v>902</v>
      </c>
      <c r="E37" s="42" t="s">
        <v>903</v>
      </c>
      <c r="F37" s="45" t="s">
        <v>904</v>
      </c>
      <c r="G37" s="19" t="s">
        <v>223</v>
      </c>
      <c r="H37" s="40" t="s">
        <v>222</v>
      </c>
      <c r="I37" s="40" t="str">
        <f t="array" ref="I37">IF(G37="","",IFERROR(INDEX('Người sử dụng'!$H$5:$H$140,MATCH(G37,'Người sử dụng'!$C$5:$C$140,0)),"Chưa có trong DS"))</f>
        <v>Đang làm</v>
      </c>
      <c r="J37" s="19" t="s">
        <v>731</v>
      </c>
      <c r="K37" s="19" t="s">
        <v>905</v>
      </c>
      <c r="L37" s="41" t="s">
        <v>906</v>
      </c>
      <c r="M37" s="19" t="s">
        <v>91</v>
      </c>
      <c r="N37" s="24"/>
      <c r="O37" s="19" t="s">
        <v>92</v>
      </c>
      <c r="P37" s="54">
        <v>46157.0</v>
      </c>
      <c r="Q37" s="42" t="s">
        <v>891</v>
      </c>
      <c r="R37" s="46"/>
      <c r="S37" s="51"/>
      <c r="T37" s="46"/>
      <c r="U37" s="46"/>
      <c r="V37" s="46"/>
      <c r="W37" s="46"/>
      <c r="X37" s="46"/>
      <c r="Y37" s="46"/>
      <c r="Z37" s="46"/>
      <c r="AA37" s="46"/>
      <c r="AB37" s="46"/>
      <c r="AC37" s="46"/>
      <c r="AD37" s="46"/>
      <c r="AE37" s="46"/>
    </row>
    <row r="38" ht="15.75" customHeight="1">
      <c r="A38" s="40">
        <f t="shared" si="5"/>
        <v>33</v>
      </c>
      <c r="B38" s="40" t="str">
        <f t="shared" si="6"/>
        <v>PR-033</v>
      </c>
      <c r="C38" s="19" t="s">
        <v>316</v>
      </c>
      <c r="D38" s="41" t="s">
        <v>908</v>
      </c>
      <c r="E38" s="42" t="s">
        <v>909</v>
      </c>
      <c r="F38" s="45" t="s">
        <v>910</v>
      </c>
      <c r="G38" s="19" t="s">
        <v>223</v>
      </c>
      <c r="H38" s="40" t="s">
        <v>222</v>
      </c>
      <c r="I38" s="40" t="str">
        <f t="array" ref="I38">IF(G38="","",IFERROR(INDEX('Người sử dụng'!$H$5:$H$140,MATCH(G38,'Người sử dụng'!$C$5:$C$140,0)),"Chưa có trong DS"))</f>
        <v>Đang làm</v>
      </c>
      <c r="J38" s="19" t="s">
        <v>731</v>
      </c>
      <c r="K38" s="19" t="s">
        <v>911</v>
      </c>
      <c r="L38" s="41" t="s">
        <v>912</v>
      </c>
      <c r="M38" s="19" t="s">
        <v>91</v>
      </c>
      <c r="N38" s="24"/>
      <c r="O38" s="19" t="s">
        <v>92</v>
      </c>
      <c r="P38" s="54">
        <v>45930.0</v>
      </c>
      <c r="Q38" s="42" t="s">
        <v>891</v>
      </c>
      <c r="R38" s="46"/>
      <c r="S38" s="51"/>
      <c r="T38" s="46"/>
      <c r="U38" s="46"/>
      <c r="V38" s="46"/>
      <c r="W38" s="46"/>
      <c r="X38" s="46"/>
      <c r="Y38" s="46"/>
      <c r="Z38" s="46"/>
      <c r="AA38" s="46"/>
      <c r="AB38" s="46"/>
      <c r="AC38" s="46"/>
      <c r="AD38" s="46"/>
      <c r="AE38" s="46"/>
    </row>
    <row r="39" ht="15.75" customHeight="1">
      <c r="A39" s="40">
        <f t="shared" si="5"/>
        <v>34</v>
      </c>
      <c r="B39" s="40" t="str">
        <f t="shared" si="6"/>
        <v>PR-034</v>
      </c>
      <c r="C39" s="19" t="s">
        <v>316</v>
      </c>
      <c r="D39" s="41" t="s">
        <v>914</v>
      </c>
      <c r="E39" s="42" t="s">
        <v>915</v>
      </c>
      <c r="F39" s="45" t="s">
        <v>916</v>
      </c>
      <c r="G39" s="19" t="s">
        <v>223</v>
      </c>
      <c r="H39" s="40" t="s">
        <v>222</v>
      </c>
      <c r="I39" s="40" t="str">
        <f t="array" ref="I39">IF(G39="","",IFERROR(INDEX('Người sử dụng'!$H$5:$H$140,MATCH(G39,'Người sử dụng'!$C$5:$C$140,0)),"Chưa có trong DS"))</f>
        <v>Đang làm</v>
      </c>
      <c r="J39" s="19" t="s">
        <v>731</v>
      </c>
      <c r="K39" s="19" t="s">
        <v>918</v>
      </c>
      <c r="L39" s="41" t="s">
        <v>919</v>
      </c>
      <c r="M39" s="19" t="s">
        <v>91</v>
      </c>
      <c r="N39" s="24"/>
      <c r="O39" s="19" t="s">
        <v>92</v>
      </c>
      <c r="P39" s="54">
        <v>45945.0</v>
      </c>
      <c r="Q39" s="42" t="s">
        <v>891</v>
      </c>
      <c r="R39" s="46"/>
      <c r="S39" s="51"/>
      <c r="T39" s="46"/>
      <c r="U39" s="46"/>
      <c r="V39" s="46"/>
      <c r="W39" s="46"/>
      <c r="X39" s="46"/>
      <c r="Y39" s="46"/>
      <c r="Z39" s="46"/>
      <c r="AA39" s="46"/>
      <c r="AB39" s="46"/>
      <c r="AC39" s="46"/>
      <c r="AD39" s="46"/>
      <c r="AE39" s="46"/>
    </row>
    <row r="40" ht="15.75" customHeight="1">
      <c r="A40" s="40">
        <f t="shared" si="5"/>
        <v>35</v>
      </c>
      <c r="B40" s="40" t="str">
        <f t="shared" si="6"/>
        <v>PR-035</v>
      </c>
      <c r="C40" s="19" t="s">
        <v>316</v>
      </c>
      <c r="D40" s="41" t="s">
        <v>921</v>
      </c>
      <c r="E40" s="42" t="s">
        <v>922</v>
      </c>
      <c r="F40" s="45" t="s">
        <v>923</v>
      </c>
      <c r="G40" s="19" t="s">
        <v>223</v>
      </c>
      <c r="H40" s="40" t="s">
        <v>222</v>
      </c>
      <c r="I40" s="40" t="str">
        <f t="array" ref="I40">IF(G40="","",IFERROR(INDEX('Người sử dụng'!$H$5:$H$140,MATCH(G40,'Người sử dụng'!$C$5:$C$140,0)),"Chưa có trong DS"))</f>
        <v>Đang làm</v>
      </c>
      <c r="J40" s="19" t="s">
        <v>731</v>
      </c>
      <c r="K40" s="19" t="s">
        <v>925</v>
      </c>
      <c r="L40" s="41" t="s">
        <v>926</v>
      </c>
      <c r="M40" s="19" t="s">
        <v>91</v>
      </c>
      <c r="N40" s="24"/>
      <c r="O40" s="19" t="s">
        <v>92</v>
      </c>
      <c r="P40" s="54">
        <v>46001.0</v>
      </c>
      <c r="Q40" s="42" t="s">
        <v>891</v>
      </c>
      <c r="R40" s="46"/>
      <c r="S40" s="51"/>
      <c r="T40" s="46"/>
      <c r="U40" s="46"/>
      <c r="V40" s="46"/>
      <c r="W40" s="46"/>
      <c r="X40" s="46"/>
      <c r="Y40" s="46"/>
      <c r="Z40" s="46"/>
      <c r="AA40" s="46"/>
      <c r="AB40" s="46"/>
      <c r="AC40" s="46"/>
      <c r="AD40" s="46"/>
      <c r="AE40" s="46"/>
    </row>
    <row r="41" ht="15.75" customHeight="1">
      <c r="A41" s="40">
        <f t="shared" si="5"/>
        <v>36</v>
      </c>
      <c r="B41" s="40" t="str">
        <f t="shared" si="6"/>
        <v>PR-036</v>
      </c>
      <c r="C41" s="19" t="s">
        <v>316</v>
      </c>
      <c r="D41" s="41" t="s">
        <v>927</v>
      </c>
      <c r="E41" s="42" t="s">
        <v>928</v>
      </c>
      <c r="F41" s="45" t="s">
        <v>929</v>
      </c>
      <c r="G41" s="19" t="s">
        <v>223</v>
      </c>
      <c r="H41" s="40" t="s">
        <v>222</v>
      </c>
      <c r="I41" s="40" t="str">
        <f t="array" ref="I41">IF(G41="","",IFERROR(INDEX('Người sử dụng'!$H$5:$H$140,MATCH(G41,'Người sử dụng'!$C$5:$C$140,0)),"Chưa có trong DS"))</f>
        <v>Đang làm</v>
      </c>
      <c r="J41" s="19" t="s">
        <v>731</v>
      </c>
      <c r="K41" s="19" t="s">
        <v>931</v>
      </c>
      <c r="L41" s="41" t="s">
        <v>906</v>
      </c>
      <c r="M41" s="19" t="s">
        <v>91</v>
      </c>
      <c r="N41" s="24"/>
      <c r="O41" s="19" t="s">
        <v>92</v>
      </c>
      <c r="P41" s="54">
        <v>46177.0</v>
      </c>
      <c r="Q41" s="42" t="s">
        <v>891</v>
      </c>
      <c r="R41" s="46"/>
      <c r="S41" s="51"/>
      <c r="T41" s="46"/>
      <c r="U41" s="46"/>
      <c r="V41" s="46"/>
      <c r="W41" s="46"/>
      <c r="X41" s="46"/>
      <c r="Y41" s="46"/>
      <c r="Z41" s="46"/>
      <c r="AA41" s="46"/>
      <c r="AB41" s="46"/>
      <c r="AC41" s="46"/>
      <c r="AD41" s="46"/>
      <c r="AE41" s="46"/>
    </row>
    <row r="42" ht="15.75" customHeight="1">
      <c r="A42" s="40">
        <f t="shared" si="5"/>
        <v>37</v>
      </c>
      <c r="B42" s="40" t="str">
        <f t="shared" si="6"/>
        <v>PR-037</v>
      </c>
      <c r="C42" s="19" t="s">
        <v>933</v>
      </c>
      <c r="D42" s="41" t="s">
        <v>934</v>
      </c>
      <c r="E42" s="42" t="s">
        <v>935</v>
      </c>
      <c r="F42" s="45" t="s">
        <v>936</v>
      </c>
      <c r="G42" s="19" t="s">
        <v>223</v>
      </c>
      <c r="H42" s="40" t="s">
        <v>222</v>
      </c>
      <c r="I42" s="40" t="str">
        <f t="array" ref="I42">IF(G42="","",IFERROR(INDEX('Người sử dụng'!$H$5:$H$140,MATCH(G42,'Người sử dụng'!$C$5:$C$140,0)),"Chưa có trong DS"))</f>
        <v>Đang làm</v>
      </c>
      <c r="J42" s="19" t="s">
        <v>731</v>
      </c>
      <c r="K42" s="24"/>
      <c r="L42" s="23"/>
      <c r="M42" s="19" t="s">
        <v>732</v>
      </c>
      <c r="N42" s="24"/>
      <c r="O42" s="19" t="s">
        <v>143</v>
      </c>
      <c r="P42" s="54">
        <v>45369.0</v>
      </c>
      <c r="Q42" s="42" t="s">
        <v>891</v>
      </c>
      <c r="R42" s="46"/>
      <c r="S42" s="51"/>
      <c r="T42" s="46"/>
      <c r="U42" s="46"/>
      <c r="V42" s="46"/>
      <c r="W42" s="46"/>
      <c r="X42" s="46"/>
      <c r="Y42" s="46"/>
      <c r="Z42" s="46"/>
      <c r="AA42" s="46"/>
      <c r="AB42" s="46"/>
      <c r="AC42" s="46"/>
      <c r="AD42" s="46"/>
      <c r="AE42" s="46"/>
    </row>
    <row r="43" ht="15.75" customHeight="1">
      <c r="A43" s="40">
        <f t="shared" si="5"/>
        <v>38</v>
      </c>
      <c r="B43" s="40" t="str">
        <f t="shared" si="6"/>
        <v>PR-038</v>
      </c>
      <c r="C43" s="19" t="s">
        <v>933</v>
      </c>
      <c r="D43" s="41" t="s">
        <v>939</v>
      </c>
      <c r="E43" s="42" t="s">
        <v>940</v>
      </c>
      <c r="F43" s="45" t="s">
        <v>941</v>
      </c>
      <c r="G43" s="19" t="s">
        <v>223</v>
      </c>
      <c r="H43" s="40" t="s">
        <v>222</v>
      </c>
      <c r="I43" s="40" t="str">
        <f t="array" ref="I43">IF(G43="","",IFERROR(INDEX('Người sử dụng'!$H$5:$H$140,MATCH(G43,'Người sử dụng'!$C$5:$C$140,0)),"Chưa có trong DS"))</f>
        <v>Đang làm</v>
      </c>
      <c r="J43" s="19" t="s">
        <v>731</v>
      </c>
      <c r="K43" s="24"/>
      <c r="L43" s="23"/>
      <c r="M43" s="19" t="s">
        <v>732</v>
      </c>
      <c r="N43" s="24"/>
      <c r="O43" s="19" t="s">
        <v>143</v>
      </c>
      <c r="P43" s="54">
        <v>45946.0</v>
      </c>
      <c r="Q43" s="42" t="s">
        <v>891</v>
      </c>
      <c r="R43" s="46"/>
      <c r="S43" s="51"/>
      <c r="T43" s="46"/>
      <c r="U43" s="46"/>
      <c r="V43" s="46"/>
      <c r="W43" s="46"/>
      <c r="X43" s="46"/>
      <c r="Y43" s="46"/>
      <c r="Z43" s="46"/>
      <c r="AA43" s="46"/>
      <c r="AB43" s="46"/>
      <c r="AC43" s="46"/>
      <c r="AD43" s="46"/>
      <c r="AE43" s="46"/>
    </row>
    <row r="44" ht="15.75" customHeight="1">
      <c r="A44" s="40">
        <f t="shared" si="5"/>
        <v>39</v>
      </c>
      <c r="B44" s="40" t="str">
        <f t="shared" si="6"/>
        <v>PR-039</v>
      </c>
      <c r="C44" s="19" t="s">
        <v>933</v>
      </c>
      <c r="D44" s="41" t="s">
        <v>948</v>
      </c>
      <c r="E44" s="42" t="s">
        <v>928</v>
      </c>
      <c r="F44" s="45" t="s">
        <v>951</v>
      </c>
      <c r="G44" s="19" t="s">
        <v>223</v>
      </c>
      <c r="H44" s="40" t="s">
        <v>222</v>
      </c>
      <c r="I44" s="40" t="str">
        <f t="array" ref="I44">IF(G44="","",IFERROR(INDEX('Người sử dụng'!$H$5:$H$140,MATCH(G44,'Người sử dụng'!$C$5:$C$140,0)),"Chưa có trong DS"))</f>
        <v>Đang làm</v>
      </c>
      <c r="J44" s="19" t="s">
        <v>731</v>
      </c>
      <c r="K44" s="24"/>
      <c r="L44" s="23"/>
      <c r="M44" s="19" t="s">
        <v>91</v>
      </c>
      <c r="N44" s="24"/>
      <c r="O44" s="19" t="s">
        <v>143</v>
      </c>
      <c r="P44" s="54">
        <v>46189.0</v>
      </c>
      <c r="Q44" s="42" t="s">
        <v>891</v>
      </c>
      <c r="R44" s="46"/>
      <c r="S44" s="51"/>
      <c r="T44" s="46"/>
      <c r="U44" s="46"/>
      <c r="V44" s="46"/>
      <c r="W44" s="46"/>
      <c r="X44" s="46"/>
      <c r="Y44" s="46"/>
      <c r="Z44" s="46"/>
      <c r="AA44" s="46"/>
      <c r="AB44" s="46"/>
      <c r="AC44" s="46"/>
      <c r="AD44" s="46"/>
      <c r="AE44" s="46"/>
    </row>
    <row r="45" ht="15.75" customHeight="1">
      <c r="A45" s="40">
        <f t="shared" si="5"/>
        <v>40</v>
      </c>
      <c r="B45" s="40" t="str">
        <f t="shared" si="6"/>
        <v>PR-040</v>
      </c>
      <c r="C45" s="19" t="s">
        <v>316</v>
      </c>
      <c r="D45" s="41" t="s">
        <v>958</v>
      </c>
      <c r="E45" s="42" t="s">
        <v>959</v>
      </c>
      <c r="F45" s="53" t="s">
        <v>960</v>
      </c>
      <c r="G45" s="19" t="s">
        <v>217</v>
      </c>
      <c r="H45" s="40" t="s">
        <v>216</v>
      </c>
      <c r="I45" s="40" t="str">
        <f t="array" ref="I45">IF(G45="","",IFERROR(INDEX('Người sử dụng'!$H$5:$H$140,MATCH(G45,'Người sử dụng'!$C$5:$C$140,0)),"Chưa có trong DS"))</f>
        <v>Đang làm</v>
      </c>
      <c r="J45" s="19" t="s">
        <v>731</v>
      </c>
      <c r="K45" s="19" t="s">
        <v>963</v>
      </c>
      <c r="L45" s="41" t="s">
        <v>964</v>
      </c>
      <c r="M45" s="19" t="s">
        <v>732</v>
      </c>
      <c r="N45" s="24"/>
      <c r="O45" s="19" t="s">
        <v>143</v>
      </c>
      <c r="P45" s="54">
        <v>46223.0</v>
      </c>
      <c r="Q45" s="42" t="s">
        <v>891</v>
      </c>
      <c r="R45" s="46"/>
      <c r="S45" s="51"/>
      <c r="T45" s="46"/>
      <c r="U45" s="46"/>
      <c r="V45" s="46"/>
      <c r="W45" s="46"/>
      <c r="X45" s="46"/>
      <c r="Y45" s="46"/>
      <c r="Z45" s="46"/>
      <c r="AA45" s="46"/>
      <c r="AB45" s="46"/>
      <c r="AC45" s="46"/>
      <c r="AD45" s="46"/>
      <c r="AE45" s="46"/>
    </row>
    <row r="46" ht="15.75" customHeight="1">
      <c r="A46" s="40">
        <f t="shared" si="5"/>
        <v>41</v>
      </c>
      <c r="B46" s="40" t="str">
        <f t="shared" si="6"/>
        <v>PR-041</v>
      </c>
      <c r="C46" s="19" t="s">
        <v>933</v>
      </c>
      <c r="D46" s="131" t="s">
        <v>967</v>
      </c>
      <c r="E46" s="42" t="s">
        <v>968</v>
      </c>
      <c r="F46" s="45" t="s">
        <v>969</v>
      </c>
      <c r="G46" s="19" t="s">
        <v>217</v>
      </c>
      <c r="H46" s="40" t="s">
        <v>216</v>
      </c>
      <c r="I46" s="40" t="str">
        <f t="array" ref="I46">IF(G46="","",IFERROR(INDEX('Người sử dụng'!$H$5:$H$140,MATCH(G46,'Người sử dụng'!$C$5:$C$140,0)),"Chưa có trong DS"))</f>
        <v>Đang làm</v>
      </c>
      <c r="J46" s="19" t="s">
        <v>731</v>
      </c>
      <c r="K46" s="19" t="s">
        <v>963</v>
      </c>
      <c r="L46" s="41" t="s">
        <v>964</v>
      </c>
      <c r="M46" s="19" t="s">
        <v>732</v>
      </c>
      <c r="N46" s="24"/>
      <c r="O46" s="19" t="s">
        <v>143</v>
      </c>
      <c r="P46" s="54">
        <v>46281.0</v>
      </c>
      <c r="Q46" s="42" t="s">
        <v>891</v>
      </c>
      <c r="R46" s="46"/>
      <c r="S46" s="51"/>
      <c r="T46" s="46"/>
      <c r="U46" s="46"/>
      <c r="V46" s="46"/>
      <c r="W46" s="46"/>
      <c r="X46" s="46"/>
      <c r="Y46" s="46"/>
      <c r="Z46" s="46"/>
      <c r="AA46" s="46"/>
      <c r="AB46" s="46"/>
      <c r="AC46" s="46"/>
      <c r="AD46" s="46"/>
      <c r="AE46" s="46"/>
    </row>
    <row r="47" ht="15.75" customHeight="1">
      <c r="A47" s="40">
        <f t="shared" si="5"/>
        <v>42</v>
      </c>
      <c r="B47" s="40" t="str">
        <f t="shared" si="6"/>
        <v>PR-042</v>
      </c>
      <c r="C47" s="19" t="s">
        <v>455</v>
      </c>
      <c r="D47" s="23"/>
      <c r="E47" s="42" t="s">
        <v>976</v>
      </c>
      <c r="F47" s="51"/>
      <c r="G47" s="24"/>
      <c r="H47" s="40"/>
      <c r="I47" s="40" t="str">
        <f t="array" ref="I47">IF(G47="","",IFERROR(INDEX('Người sử dụng'!$H$5:$H$140,MATCH(G47,'Người sử dụng'!$C$5:$C$140,0)),"Chưa có trong DS"))</f>
        <v/>
      </c>
      <c r="J47" s="19" t="s">
        <v>741</v>
      </c>
      <c r="K47" s="19" t="s">
        <v>979</v>
      </c>
      <c r="L47" s="60" t="s">
        <v>268</v>
      </c>
      <c r="M47" s="19" t="s">
        <v>91</v>
      </c>
      <c r="N47" s="24"/>
      <c r="O47" s="19" t="s">
        <v>167</v>
      </c>
      <c r="P47" s="26"/>
      <c r="Q47" s="51"/>
      <c r="R47" s="46"/>
      <c r="S47" s="51"/>
      <c r="T47" s="46"/>
      <c r="U47" s="46"/>
      <c r="V47" s="46"/>
      <c r="W47" s="46"/>
      <c r="X47" s="46"/>
      <c r="Y47" s="46"/>
      <c r="Z47" s="46"/>
      <c r="AA47" s="46"/>
      <c r="AB47" s="46"/>
      <c r="AC47" s="46"/>
      <c r="AD47" s="46"/>
      <c r="AE47" s="46"/>
    </row>
    <row r="48" ht="15.75" customHeight="1">
      <c r="A48" s="108">
        <v>43.0</v>
      </c>
      <c r="B48" s="108" t="s">
        <v>982</v>
      </c>
      <c r="C48" s="19" t="s">
        <v>101</v>
      </c>
      <c r="D48" s="41" t="s">
        <v>983</v>
      </c>
      <c r="E48" s="42" t="s">
        <v>879</v>
      </c>
      <c r="F48" s="45" t="s">
        <v>984</v>
      </c>
      <c r="G48" s="19" t="s">
        <v>276</v>
      </c>
      <c r="H48" s="40" t="s">
        <v>275</v>
      </c>
      <c r="I48" s="40" t="str">
        <f t="array" ref="I48">IF(G48="","",IFERROR(INDEX('Người sử dụng'!$H$5:$H$140,MATCH(G48,'Người sử dụng'!$C$5:$C$140,0)),"Chưa có trong DS"))</f>
        <v>Đang làm</v>
      </c>
      <c r="J48" s="19" t="s">
        <v>731</v>
      </c>
      <c r="K48" s="24"/>
      <c r="L48" s="41" t="s">
        <v>989</v>
      </c>
      <c r="M48" s="24"/>
      <c r="N48" s="24"/>
      <c r="O48" s="19" t="s">
        <v>143</v>
      </c>
      <c r="P48" s="54">
        <v>46219.0</v>
      </c>
      <c r="Q48" s="42" t="s">
        <v>990</v>
      </c>
      <c r="R48" s="46"/>
      <c r="S48" s="51"/>
      <c r="T48" s="46"/>
      <c r="U48" s="46"/>
      <c r="V48" s="46"/>
      <c r="W48" s="46"/>
      <c r="X48" s="46"/>
      <c r="Y48" s="46"/>
      <c r="Z48" s="46"/>
      <c r="AA48" s="46"/>
      <c r="AB48" s="46"/>
      <c r="AC48" s="46"/>
      <c r="AD48" s="46"/>
      <c r="AE48" s="46"/>
    </row>
    <row r="49" ht="15.75" customHeight="1">
      <c r="A49" s="108">
        <v>44.0</v>
      </c>
      <c r="B49" s="108" t="s">
        <v>993</v>
      </c>
      <c r="C49" s="19" t="s">
        <v>84</v>
      </c>
      <c r="D49" s="41" t="s">
        <v>994</v>
      </c>
      <c r="E49" s="42" t="s">
        <v>995</v>
      </c>
      <c r="F49" s="45" t="s">
        <v>996</v>
      </c>
      <c r="G49" s="19" t="s">
        <v>276</v>
      </c>
      <c r="H49" s="40" t="s">
        <v>275</v>
      </c>
      <c r="I49" s="40" t="str">
        <f t="array" ref="I49">IF(G49="","",IFERROR(INDEX('Người sử dụng'!$H$5:$H$140,MATCH(G49,'Người sử dụng'!$C$5:$C$140,0)),"Chưa có trong DS"))</f>
        <v>Đang làm</v>
      </c>
      <c r="J49" s="19" t="s">
        <v>731</v>
      </c>
      <c r="K49" s="24"/>
      <c r="L49" s="23"/>
      <c r="M49" s="24"/>
      <c r="N49" s="24"/>
      <c r="O49" s="19" t="s">
        <v>143</v>
      </c>
      <c r="P49" s="54">
        <v>111997.0</v>
      </c>
      <c r="Q49" s="42" t="s">
        <v>990</v>
      </c>
      <c r="R49" s="46"/>
      <c r="S49" s="51"/>
      <c r="T49" s="46"/>
      <c r="U49" s="46"/>
      <c r="V49" s="46"/>
      <c r="W49" s="46"/>
      <c r="X49" s="46"/>
      <c r="Y49" s="46"/>
      <c r="Z49" s="46"/>
      <c r="AA49" s="46"/>
      <c r="AB49" s="46"/>
      <c r="AC49" s="46"/>
      <c r="AD49" s="46"/>
      <c r="AE49" s="46"/>
    </row>
    <row r="50" ht="15.75" customHeight="1">
      <c r="A50" s="40" t="str">
        <f t="shared" ref="A50:A205" si="7">IF(C50="","",ROW()-5)</f>
        <v/>
      </c>
      <c r="B50" s="40" t="str">
        <f t="shared" ref="B50:B205" si="8">IF(C50="","","PR-"&amp;TEXT(ROW()-5,"000"))</f>
        <v/>
      </c>
      <c r="C50" s="24"/>
      <c r="D50" s="23"/>
      <c r="E50" s="51"/>
      <c r="F50" s="51"/>
      <c r="G50" s="24"/>
      <c r="H50" s="40"/>
      <c r="I50" s="40" t="str">
        <f t="array" ref="I50">IF(G50="","",IFERROR(INDEX('Người sử dụng'!$H$5:$H$140,MATCH(G50,'Người sử dụng'!$C$5:$C$140,0)),"Chưa có trong DS"))</f>
        <v/>
      </c>
      <c r="J50" s="24"/>
      <c r="K50" s="24"/>
      <c r="L50" s="23"/>
      <c r="M50" s="24"/>
      <c r="N50" s="24"/>
      <c r="O50" s="24"/>
      <c r="P50" s="26"/>
      <c r="Q50" s="51"/>
      <c r="R50" s="46"/>
      <c r="S50" s="51"/>
      <c r="T50" s="46"/>
      <c r="U50" s="46"/>
      <c r="V50" s="46"/>
      <c r="W50" s="46"/>
      <c r="X50" s="46"/>
      <c r="Y50" s="46"/>
      <c r="Z50" s="46"/>
      <c r="AA50" s="46"/>
      <c r="AB50" s="46"/>
      <c r="AC50" s="46"/>
      <c r="AD50" s="46"/>
      <c r="AE50" s="46"/>
    </row>
    <row r="51" ht="15.75" customHeight="1">
      <c r="A51" s="40" t="str">
        <f t="shared" si="7"/>
        <v/>
      </c>
      <c r="B51" s="40" t="str">
        <f t="shared" si="8"/>
        <v/>
      </c>
      <c r="C51" s="24"/>
      <c r="D51" s="23"/>
      <c r="E51" s="51"/>
      <c r="F51" s="51"/>
      <c r="G51" s="24"/>
      <c r="H51" s="40"/>
      <c r="I51" s="40" t="str">
        <f t="array" ref="I51">IF(G51="","",IFERROR(INDEX('Người sử dụng'!$H$5:$H$140,MATCH(G51,'Người sử dụng'!$C$5:$C$140,0)),"Chưa có trong DS"))</f>
        <v/>
      </c>
      <c r="J51" s="24"/>
      <c r="K51" s="24"/>
      <c r="L51" s="23"/>
      <c r="M51" s="24"/>
      <c r="N51" s="24"/>
      <c r="O51" s="24"/>
      <c r="P51" s="26"/>
      <c r="Q51" s="51"/>
      <c r="R51" s="46"/>
      <c r="S51" s="51"/>
      <c r="T51" s="46"/>
      <c r="U51" s="46"/>
      <c r="V51" s="46"/>
      <c r="W51" s="46"/>
      <c r="X51" s="46"/>
      <c r="Y51" s="46"/>
      <c r="Z51" s="46"/>
      <c r="AA51" s="46"/>
      <c r="AB51" s="46"/>
      <c r="AC51" s="46"/>
      <c r="AD51" s="46"/>
      <c r="AE51" s="46"/>
    </row>
    <row r="52" ht="15.75" customHeight="1">
      <c r="A52" s="40" t="str">
        <f t="shared" si="7"/>
        <v/>
      </c>
      <c r="B52" s="40" t="str">
        <f t="shared" si="8"/>
        <v/>
      </c>
      <c r="C52" s="24"/>
      <c r="D52" s="23"/>
      <c r="E52" s="51"/>
      <c r="F52" s="51"/>
      <c r="G52" s="24"/>
      <c r="H52" s="40"/>
      <c r="I52" s="40" t="str">
        <f t="array" ref="I52">IF(G52="","",IFERROR(INDEX('Người sử dụng'!$H$5:$H$140,MATCH(G52,'Người sử dụng'!$C$5:$C$140,0)),"Chưa có trong DS"))</f>
        <v/>
      </c>
      <c r="J52" s="24"/>
      <c r="K52" s="24"/>
      <c r="L52" s="23"/>
      <c r="M52" s="24"/>
      <c r="N52" s="24"/>
      <c r="O52" s="24"/>
      <c r="P52" s="26"/>
      <c r="Q52" s="51"/>
      <c r="R52" s="46"/>
      <c r="S52" s="51"/>
      <c r="T52" s="46"/>
      <c r="U52" s="46"/>
      <c r="V52" s="46"/>
      <c r="W52" s="46"/>
      <c r="X52" s="46"/>
      <c r="Y52" s="46"/>
      <c r="Z52" s="46"/>
      <c r="AA52" s="46"/>
      <c r="AB52" s="46"/>
      <c r="AC52" s="46"/>
      <c r="AD52" s="46"/>
      <c r="AE52" s="46"/>
    </row>
    <row r="53" ht="15.75" customHeight="1">
      <c r="A53" s="40" t="str">
        <f t="shared" si="7"/>
        <v/>
      </c>
      <c r="B53" s="40" t="str">
        <f t="shared" si="8"/>
        <v/>
      </c>
      <c r="C53" s="24"/>
      <c r="D53" s="23"/>
      <c r="E53" s="51"/>
      <c r="F53" s="51"/>
      <c r="G53" s="24"/>
      <c r="H53" s="40"/>
      <c r="I53" s="40" t="str">
        <f t="array" ref="I53">IF(G53="","",IFERROR(INDEX('Người sử dụng'!$H$5:$H$140,MATCH(G53,'Người sử dụng'!$C$5:$C$140,0)),"Chưa có trong DS"))</f>
        <v/>
      </c>
      <c r="J53" s="24"/>
      <c r="K53" s="24"/>
      <c r="L53" s="23"/>
      <c r="M53" s="24"/>
      <c r="N53" s="24"/>
      <c r="O53" s="24"/>
      <c r="P53" s="26"/>
      <c r="Q53" s="51"/>
      <c r="R53" s="46"/>
      <c r="S53" s="51"/>
      <c r="T53" s="46"/>
      <c r="U53" s="46"/>
      <c r="V53" s="46"/>
      <c r="W53" s="46"/>
      <c r="X53" s="46"/>
      <c r="Y53" s="46"/>
      <c r="Z53" s="46"/>
      <c r="AA53" s="46"/>
      <c r="AB53" s="46"/>
      <c r="AC53" s="46"/>
      <c r="AD53" s="46"/>
      <c r="AE53" s="46"/>
    </row>
    <row r="54" ht="15.75" customHeight="1">
      <c r="A54" s="40" t="str">
        <f t="shared" si="7"/>
        <v/>
      </c>
      <c r="B54" s="40" t="str">
        <f t="shared" si="8"/>
        <v/>
      </c>
      <c r="C54" s="24"/>
      <c r="D54" s="23"/>
      <c r="E54" s="51"/>
      <c r="F54" s="51"/>
      <c r="G54" s="24"/>
      <c r="H54" s="40"/>
      <c r="I54" s="40" t="str">
        <f t="array" ref="I54">IF(G54="","",IFERROR(INDEX('Người sử dụng'!$H$5:$H$140,MATCH(G54,'Người sử dụng'!$C$5:$C$140,0)),"Chưa có trong DS"))</f>
        <v/>
      </c>
      <c r="J54" s="24"/>
      <c r="K54" s="24"/>
      <c r="L54" s="23"/>
      <c r="M54" s="24"/>
      <c r="N54" s="24"/>
      <c r="O54" s="24"/>
      <c r="P54" s="26"/>
      <c r="Q54" s="51"/>
      <c r="R54" s="46"/>
      <c r="S54" s="51"/>
      <c r="T54" s="46"/>
      <c r="U54" s="46"/>
      <c r="V54" s="46"/>
      <c r="W54" s="46"/>
      <c r="X54" s="46"/>
      <c r="Y54" s="46"/>
      <c r="Z54" s="46"/>
      <c r="AA54" s="46"/>
      <c r="AB54" s="46"/>
      <c r="AC54" s="46"/>
      <c r="AD54" s="46"/>
      <c r="AE54" s="46"/>
    </row>
    <row r="55" ht="15.75" customHeight="1">
      <c r="A55" s="40" t="str">
        <f t="shared" si="7"/>
        <v/>
      </c>
      <c r="B55" s="40" t="str">
        <f t="shared" si="8"/>
        <v/>
      </c>
      <c r="C55" s="24"/>
      <c r="D55" s="23"/>
      <c r="E55" s="51"/>
      <c r="F55" s="51"/>
      <c r="G55" s="24"/>
      <c r="H55" s="40"/>
      <c r="I55" s="40" t="str">
        <f t="array" ref="I55">IF(G55="","",IFERROR(INDEX('Người sử dụng'!$H$5:$H$140,MATCH(G55,'Người sử dụng'!$C$5:$C$140,0)),"Chưa có trong DS"))</f>
        <v/>
      </c>
      <c r="J55" s="24"/>
      <c r="K55" s="24"/>
      <c r="L55" s="23"/>
      <c r="M55" s="24"/>
      <c r="N55" s="24"/>
      <c r="O55" s="24"/>
      <c r="P55" s="26"/>
      <c r="Q55" s="51"/>
      <c r="R55" s="46"/>
      <c r="S55" s="51"/>
      <c r="T55" s="46"/>
      <c r="U55" s="46"/>
      <c r="V55" s="46"/>
      <c r="W55" s="46"/>
      <c r="X55" s="46"/>
      <c r="Y55" s="46"/>
      <c r="Z55" s="46"/>
      <c r="AA55" s="46"/>
      <c r="AB55" s="46"/>
      <c r="AC55" s="46"/>
      <c r="AD55" s="46"/>
      <c r="AE55" s="46"/>
    </row>
    <row r="56" ht="15.75" customHeight="1">
      <c r="A56" s="40" t="str">
        <f t="shared" si="7"/>
        <v/>
      </c>
      <c r="B56" s="40" t="str">
        <f t="shared" si="8"/>
        <v/>
      </c>
      <c r="C56" s="24"/>
      <c r="D56" s="23"/>
      <c r="E56" s="51"/>
      <c r="F56" s="51"/>
      <c r="G56" s="24"/>
      <c r="H56" s="40"/>
      <c r="I56" s="40" t="str">
        <f t="array" ref="I56">IF(G56="","",IFERROR(INDEX('Người sử dụng'!$H$5:$H$140,MATCH(G56,'Người sử dụng'!$C$5:$C$140,0)),"Chưa có trong DS"))</f>
        <v/>
      </c>
      <c r="J56" s="24"/>
      <c r="K56" s="24"/>
      <c r="L56" s="23"/>
      <c r="M56" s="24"/>
      <c r="N56" s="24"/>
      <c r="O56" s="24"/>
      <c r="P56" s="26"/>
      <c r="Q56" s="51"/>
      <c r="R56" s="46"/>
      <c r="S56" s="51"/>
      <c r="T56" s="46"/>
      <c r="U56" s="46"/>
      <c r="V56" s="46"/>
      <c r="W56" s="46"/>
      <c r="X56" s="46"/>
      <c r="Y56" s="46"/>
      <c r="Z56" s="46"/>
      <c r="AA56" s="46"/>
      <c r="AB56" s="46"/>
      <c r="AC56" s="46"/>
      <c r="AD56" s="46"/>
      <c r="AE56" s="46"/>
    </row>
    <row r="57" ht="15.75" customHeight="1">
      <c r="A57" s="40" t="str">
        <f t="shared" si="7"/>
        <v/>
      </c>
      <c r="B57" s="40" t="str">
        <f t="shared" si="8"/>
        <v/>
      </c>
      <c r="C57" s="24"/>
      <c r="D57" s="23"/>
      <c r="E57" s="51"/>
      <c r="F57" s="51"/>
      <c r="G57" s="24"/>
      <c r="H57" s="40"/>
      <c r="I57" s="40" t="str">
        <f t="array" ref="I57">IF(G57="","",IFERROR(INDEX('Người sử dụng'!$H$5:$H$140,MATCH(G57,'Người sử dụng'!$C$5:$C$140,0)),"Chưa có trong DS"))</f>
        <v/>
      </c>
      <c r="J57" s="24"/>
      <c r="K57" s="24"/>
      <c r="L57" s="23"/>
      <c r="M57" s="24"/>
      <c r="N57" s="24"/>
      <c r="O57" s="24"/>
      <c r="P57" s="26"/>
      <c r="Q57" s="51"/>
      <c r="R57" s="46"/>
      <c r="S57" s="51"/>
      <c r="T57" s="46"/>
      <c r="U57" s="46"/>
      <c r="V57" s="46"/>
      <c r="W57" s="46"/>
      <c r="X57" s="46"/>
      <c r="Y57" s="46"/>
      <c r="Z57" s="46"/>
      <c r="AA57" s="46"/>
      <c r="AB57" s="46"/>
      <c r="AC57" s="46"/>
      <c r="AD57" s="46"/>
      <c r="AE57" s="46"/>
    </row>
    <row r="58" ht="15.75" customHeight="1">
      <c r="A58" s="40" t="str">
        <f t="shared" si="7"/>
        <v/>
      </c>
      <c r="B58" s="40" t="str">
        <f t="shared" si="8"/>
        <v/>
      </c>
      <c r="C58" s="24"/>
      <c r="D58" s="23"/>
      <c r="E58" s="51"/>
      <c r="F58" s="51"/>
      <c r="G58" s="24"/>
      <c r="H58" s="40"/>
      <c r="I58" s="40" t="str">
        <f t="array" ref="I58">IF(G58="","",IFERROR(INDEX('Người sử dụng'!$H$5:$H$140,MATCH(G58,'Người sử dụng'!$C$5:$C$140,0)),"Chưa có trong DS"))</f>
        <v/>
      </c>
      <c r="J58" s="24"/>
      <c r="K58" s="24"/>
      <c r="L58" s="23"/>
      <c r="M58" s="24"/>
      <c r="N58" s="24"/>
      <c r="O58" s="24"/>
      <c r="P58" s="26"/>
      <c r="Q58" s="51"/>
      <c r="R58" s="46"/>
      <c r="S58" s="51"/>
      <c r="T58" s="46"/>
      <c r="U58" s="46"/>
      <c r="V58" s="46"/>
      <c r="W58" s="46"/>
      <c r="X58" s="46"/>
      <c r="Y58" s="46"/>
      <c r="Z58" s="46"/>
      <c r="AA58" s="46"/>
      <c r="AB58" s="46"/>
      <c r="AC58" s="46"/>
      <c r="AD58" s="46"/>
      <c r="AE58" s="46"/>
    </row>
    <row r="59" ht="15.75" customHeight="1">
      <c r="A59" s="40" t="str">
        <f t="shared" si="7"/>
        <v/>
      </c>
      <c r="B59" s="40" t="str">
        <f t="shared" si="8"/>
        <v/>
      </c>
      <c r="C59" s="24"/>
      <c r="D59" s="23"/>
      <c r="E59" s="51"/>
      <c r="F59" s="51"/>
      <c r="G59" s="24"/>
      <c r="H59" s="40"/>
      <c r="I59" s="40" t="str">
        <f t="array" ref="I59">IF(G59="","",IFERROR(INDEX('Người sử dụng'!$H$5:$H$140,MATCH(G59,'Người sử dụng'!$C$5:$C$140,0)),"Chưa có trong DS"))</f>
        <v/>
      </c>
      <c r="J59" s="24"/>
      <c r="K59" s="24"/>
      <c r="L59" s="23"/>
      <c r="M59" s="24"/>
      <c r="N59" s="24"/>
      <c r="O59" s="24"/>
      <c r="P59" s="26"/>
      <c r="Q59" s="51"/>
      <c r="R59" s="46"/>
      <c r="S59" s="51"/>
      <c r="T59" s="46"/>
      <c r="U59" s="46"/>
      <c r="V59" s="46"/>
      <c r="W59" s="46"/>
      <c r="X59" s="46"/>
      <c r="Y59" s="46"/>
      <c r="Z59" s="46"/>
      <c r="AA59" s="46"/>
      <c r="AB59" s="46"/>
      <c r="AC59" s="46"/>
      <c r="AD59" s="46"/>
      <c r="AE59" s="46"/>
    </row>
    <row r="60" ht="15.75" customHeight="1">
      <c r="A60" s="40" t="str">
        <f t="shared" si="7"/>
        <v/>
      </c>
      <c r="B60" s="40" t="str">
        <f t="shared" si="8"/>
        <v/>
      </c>
      <c r="C60" s="24"/>
      <c r="D60" s="23"/>
      <c r="E60" s="51"/>
      <c r="F60" s="51"/>
      <c r="G60" s="24"/>
      <c r="H60" s="40"/>
      <c r="I60" s="40" t="str">
        <f t="array" ref="I60">IF(G60="","",IFERROR(INDEX('Người sử dụng'!$H$5:$H$140,MATCH(G60,'Người sử dụng'!$C$5:$C$140,0)),"Chưa có trong DS"))</f>
        <v/>
      </c>
      <c r="J60" s="24"/>
      <c r="K60" s="24"/>
      <c r="L60" s="23"/>
      <c r="M60" s="24"/>
      <c r="N60" s="24"/>
      <c r="O60" s="24"/>
      <c r="P60" s="26"/>
      <c r="Q60" s="51"/>
      <c r="R60" s="46"/>
      <c r="S60" s="51"/>
      <c r="T60" s="46"/>
      <c r="U60" s="46"/>
      <c r="V60" s="46"/>
      <c r="W60" s="46"/>
      <c r="X60" s="46"/>
      <c r="Y60" s="46"/>
      <c r="Z60" s="46"/>
      <c r="AA60" s="46"/>
      <c r="AB60" s="46"/>
      <c r="AC60" s="46"/>
      <c r="AD60" s="46"/>
      <c r="AE60" s="46"/>
    </row>
    <row r="61" ht="15.75" customHeight="1">
      <c r="A61" s="40" t="str">
        <f t="shared" si="7"/>
        <v/>
      </c>
      <c r="B61" s="40" t="str">
        <f t="shared" si="8"/>
        <v/>
      </c>
      <c r="C61" s="24"/>
      <c r="D61" s="23"/>
      <c r="E61" s="51"/>
      <c r="F61" s="51"/>
      <c r="G61" s="24"/>
      <c r="H61" s="40"/>
      <c r="I61" s="40" t="str">
        <f t="array" ref="I61">IF(G61="","",IFERROR(INDEX('Người sử dụng'!$H$5:$H$140,MATCH(G61,'Người sử dụng'!$C$5:$C$140,0)),"Chưa có trong DS"))</f>
        <v/>
      </c>
      <c r="J61" s="24"/>
      <c r="K61" s="24"/>
      <c r="L61" s="23"/>
      <c r="M61" s="24"/>
      <c r="N61" s="24"/>
      <c r="O61" s="24"/>
      <c r="P61" s="26"/>
      <c r="Q61" s="51"/>
      <c r="R61" s="46"/>
      <c r="S61" s="51"/>
      <c r="T61" s="46"/>
      <c r="U61" s="46"/>
      <c r="V61" s="46"/>
      <c r="W61" s="46"/>
      <c r="X61" s="46"/>
      <c r="Y61" s="46"/>
      <c r="Z61" s="46"/>
      <c r="AA61" s="46"/>
      <c r="AB61" s="46"/>
      <c r="AC61" s="46"/>
      <c r="AD61" s="46"/>
      <c r="AE61" s="46"/>
    </row>
    <row r="62" ht="15.75" customHeight="1">
      <c r="A62" s="40" t="str">
        <f t="shared" si="7"/>
        <v/>
      </c>
      <c r="B62" s="40" t="str">
        <f t="shared" si="8"/>
        <v/>
      </c>
      <c r="C62" s="24"/>
      <c r="D62" s="23"/>
      <c r="E62" s="51"/>
      <c r="F62" s="51"/>
      <c r="G62" s="24"/>
      <c r="H62" s="40"/>
      <c r="I62" s="40" t="str">
        <f t="array" ref="I62">IF(G62="","",IFERROR(INDEX('Người sử dụng'!$H$5:$H$140,MATCH(G62,'Người sử dụng'!$C$5:$C$140,0)),"Chưa có trong DS"))</f>
        <v/>
      </c>
      <c r="J62" s="24"/>
      <c r="K62" s="24"/>
      <c r="L62" s="23"/>
      <c r="M62" s="24"/>
      <c r="N62" s="24"/>
      <c r="O62" s="24"/>
      <c r="P62" s="26"/>
      <c r="Q62" s="51"/>
      <c r="R62" s="46"/>
      <c r="S62" s="51"/>
      <c r="T62" s="46"/>
      <c r="U62" s="46"/>
      <c r="V62" s="46"/>
      <c r="W62" s="46"/>
      <c r="X62" s="46"/>
      <c r="Y62" s="46"/>
      <c r="Z62" s="46"/>
      <c r="AA62" s="46"/>
      <c r="AB62" s="46"/>
      <c r="AC62" s="46"/>
      <c r="AD62" s="46"/>
      <c r="AE62" s="46"/>
    </row>
    <row r="63" ht="15.75" customHeight="1">
      <c r="A63" s="40" t="str">
        <f t="shared" si="7"/>
        <v/>
      </c>
      <c r="B63" s="40" t="str">
        <f t="shared" si="8"/>
        <v/>
      </c>
      <c r="C63" s="24"/>
      <c r="D63" s="23"/>
      <c r="E63" s="51"/>
      <c r="F63" s="51"/>
      <c r="G63" s="24"/>
      <c r="H63" s="40"/>
      <c r="I63" s="40" t="str">
        <f t="array" ref="I63">IF(G63="","",IFERROR(INDEX('Người sử dụng'!$H$5:$H$140,MATCH(G63,'Người sử dụng'!$C$5:$C$140,0)),"Chưa có trong DS"))</f>
        <v/>
      </c>
      <c r="J63" s="24"/>
      <c r="K63" s="24"/>
      <c r="L63" s="23"/>
      <c r="M63" s="24"/>
      <c r="N63" s="24"/>
      <c r="O63" s="24"/>
      <c r="P63" s="26"/>
      <c r="Q63" s="51"/>
      <c r="R63" s="46"/>
      <c r="S63" s="51"/>
      <c r="T63" s="46"/>
      <c r="U63" s="46"/>
      <c r="V63" s="46"/>
      <c r="W63" s="46"/>
      <c r="X63" s="46"/>
      <c r="Y63" s="46"/>
      <c r="Z63" s="46"/>
      <c r="AA63" s="46"/>
      <c r="AB63" s="46"/>
      <c r="AC63" s="46"/>
      <c r="AD63" s="46"/>
      <c r="AE63" s="46"/>
    </row>
    <row r="64" ht="15.75" customHeight="1">
      <c r="A64" s="40" t="str">
        <f t="shared" si="7"/>
        <v/>
      </c>
      <c r="B64" s="40" t="str">
        <f t="shared" si="8"/>
        <v/>
      </c>
      <c r="C64" s="24"/>
      <c r="D64" s="23"/>
      <c r="E64" s="51"/>
      <c r="F64" s="51"/>
      <c r="G64" s="24"/>
      <c r="H64" s="40"/>
      <c r="I64" s="40" t="str">
        <f t="array" ref="I64">IF(G64="","",IFERROR(INDEX('Người sử dụng'!$H$5:$H$140,MATCH(G64,'Người sử dụng'!$C$5:$C$140,0)),"Chưa có trong DS"))</f>
        <v/>
      </c>
      <c r="J64" s="24"/>
      <c r="K64" s="24"/>
      <c r="L64" s="23"/>
      <c r="M64" s="24"/>
      <c r="N64" s="24"/>
      <c r="O64" s="24"/>
      <c r="P64" s="26"/>
      <c r="Q64" s="51"/>
      <c r="R64" s="46"/>
      <c r="S64" s="51"/>
      <c r="T64" s="46"/>
      <c r="U64" s="46"/>
      <c r="V64" s="46"/>
      <c r="W64" s="46"/>
      <c r="X64" s="46"/>
      <c r="Y64" s="46"/>
      <c r="Z64" s="46"/>
      <c r="AA64" s="46"/>
      <c r="AB64" s="46"/>
      <c r="AC64" s="46"/>
      <c r="AD64" s="46"/>
      <c r="AE64" s="46"/>
    </row>
    <row r="65" ht="15.75" customHeight="1">
      <c r="A65" s="40" t="str">
        <f t="shared" si="7"/>
        <v/>
      </c>
      <c r="B65" s="40" t="str">
        <f t="shared" si="8"/>
        <v/>
      </c>
      <c r="C65" s="24"/>
      <c r="D65" s="23"/>
      <c r="E65" s="51"/>
      <c r="F65" s="51"/>
      <c r="G65" s="24"/>
      <c r="H65" s="40"/>
      <c r="I65" s="40" t="str">
        <f t="array" ref="I65">IF(G65="","",IFERROR(INDEX('Người sử dụng'!$H$5:$H$140,MATCH(G65,'Người sử dụng'!$C$5:$C$140,0)),"Chưa có trong DS"))</f>
        <v/>
      </c>
      <c r="J65" s="24"/>
      <c r="K65" s="24"/>
      <c r="L65" s="23"/>
      <c r="M65" s="24"/>
      <c r="N65" s="24"/>
      <c r="O65" s="24"/>
      <c r="P65" s="26"/>
      <c r="Q65" s="51"/>
      <c r="R65" s="46"/>
      <c r="S65" s="51"/>
      <c r="T65" s="46"/>
      <c r="U65" s="46"/>
      <c r="V65" s="46"/>
      <c r="W65" s="46"/>
      <c r="X65" s="46"/>
      <c r="Y65" s="46"/>
      <c r="Z65" s="46"/>
      <c r="AA65" s="46"/>
      <c r="AB65" s="46"/>
      <c r="AC65" s="46"/>
      <c r="AD65" s="46"/>
      <c r="AE65" s="46"/>
    </row>
    <row r="66" ht="15.75" customHeight="1">
      <c r="A66" s="40" t="str">
        <f t="shared" si="7"/>
        <v/>
      </c>
      <c r="B66" s="40" t="str">
        <f t="shared" si="8"/>
        <v/>
      </c>
      <c r="C66" s="24"/>
      <c r="D66" s="23"/>
      <c r="E66" s="51"/>
      <c r="F66" s="51"/>
      <c r="G66" s="24"/>
      <c r="H66" s="40"/>
      <c r="I66" s="40" t="str">
        <f t="array" ref="I66">IF(G66="","",IFERROR(INDEX('Người sử dụng'!$H$5:$H$140,MATCH(G66,'Người sử dụng'!$C$5:$C$140,0)),"Chưa có trong DS"))</f>
        <v/>
      </c>
      <c r="J66" s="24"/>
      <c r="K66" s="24"/>
      <c r="L66" s="23"/>
      <c r="M66" s="24"/>
      <c r="N66" s="24"/>
      <c r="O66" s="24"/>
      <c r="P66" s="26"/>
      <c r="Q66" s="51"/>
      <c r="R66" s="46"/>
      <c r="S66" s="51"/>
      <c r="T66" s="46"/>
      <c r="U66" s="46"/>
      <c r="V66" s="46"/>
      <c r="W66" s="46"/>
      <c r="X66" s="46"/>
      <c r="Y66" s="46"/>
      <c r="Z66" s="46"/>
      <c r="AA66" s="46"/>
      <c r="AB66" s="46"/>
      <c r="AC66" s="46"/>
      <c r="AD66" s="46"/>
      <c r="AE66" s="46"/>
    </row>
    <row r="67" ht="15.75" customHeight="1">
      <c r="A67" s="40" t="str">
        <f t="shared" si="7"/>
        <v/>
      </c>
      <c r="B67" s="40" t="str">
        <f t="shared" si="8"/>
        <v/>
      </c>
      <c r="C67" s="24"/>
      <c r="D67" s="23"/>
      <c r="E67" s="51"/>
      <c r="F67" s="51"/>
      <c r="G67" s="24"/>
      <c r="H67" s="40"/>
      <c r="I67" s="40" t="str">
        <f t="array" ref="I67">IF(G67="","",IFERROR(INDEX('Người sử dụng'!$H$5:$H$140,MATCH(G67,'Người sử dụng'!$C$5:$C$140,0)),"Chưa có trong DS"))</f>
        <v/>
      </c>
      <c r="J67" s="24"/>
      <c r="K67" s="24"/>
      <c r="L67" s="23"/>
      <c r="M67" s="24"/>
      <c r="N67" s="24"/>
      <c r="O67" s="24"/>
      <c r="P67" s="26"/>
      <c r="Q67" s="51"/>
      <c r="R67" s="46"/>
      <c r="S67" s="51"/>
      <c r="T67" s="46"/>
      <c r="U67" s="46"/>
      <c r="V67" s="46"/>
      <c r="W67" s="46"/>
      <c r="X67" s="46"/>
      <c r="Y67" s="46"/>
      <c r="Z67" s="46"/>
      <c r="AA67" s="46"/>
      <c r="AB67" s="46"/>
      <c r="AC67" s="46"/>
      <c r="AD67" s="46"/>
      <c r="AE67" s="46"/>
    </row>
    <row r="68" ht="15.75" customHeight="1">
      <c r="A68" s="40" t="str">
        <f t="shared" si="7"/>
        <v/>
      </c>
      <c r="B68" s="40" t="str">
        <f t="shared" si="8"/>
        <v/>
      </c>
      <c r="C68" s="24"/>
      <c r="D68" s="23"/>
      <c r="E68" s="51"/>
      <c r="F68" s="51"/>
      <c r="G68" s="24"/>
      <c r="H68" s="40"/>
      <c r="I68" s="40" t="str">
        <f t="array" ref="I68">IF(G68="","",IFERROR(INDEX('Người sử dụng'!$H$5:$H$140,MATCH(G68,'Người sử dụng'!$C$5:$C$140,0)),"Chưa có trong DS"))</f>
        <v/>
      </c>
      <c r="J68" s="24"/>
      <c r="K68" s="24"/>
      <c r="L68" s="23"/>
      <c r="M68" s="24"/>
      <c r="N68" s="24"/>
      <c r="O68" s="24"/>
      <c r="P68" s="26"/>
      <c r="Q68" s="51"/>
      <c r="R68" s="46"/>
      <c r="S68" s="51"/>
      <c r="T68" s="46"/>
      <c r="U68" s="46"/>
      <c r="V68" s="46"/>
      <c r="W68" s="46"/>
      <c r="X68" s="46"/>
      <c r="Y68" s="46"/>
      <c r="Z68" s="46"/>
      <c r="AA68" s="46"/>
      <c r="AB68" s="46"/>
      <c r="AC68" s="46"/>
      <c r="AD68" s="46"/>
      <c r="AE68" s="46"/>
    </row>
    <row r="69" ht="15.75" customHeight="1">
      <c r="A69" s="40" t="str">
        <f t="shared" si="7"/>
        <v/>
      </c>
      <c r="B69" s="40" t="str">
        <f t="shared" si="8"/>
        <v/>
      </c>
      <c r="C69" s="24"/>
      <c r="D69" s="23"/>
      <c r="E69" s="51"/>
      <c r="F69" s="51"/>
      <c r="G69" s="24"/>
      <c r="H69" s="40"/>
      <c r="I69" s="40" t="str">
        <f t="array" ref="I69">IF(G69="","",IFERROR(INDEX('Người sử dụng'!$H$5:$H$140,MATCH(G69,'Người sử dụng'!$C$5:$C$140,0)),"Chưa có trong DS"))</f>
        <v/>
      </c>
      <c r="J69" s="24"/>
      <c r="K69" s="24"/>
      <c r="L69" s="23"/>
      <c r="M69" s="24"/>
      <c r="N69" s="24"/>
      <c r="O69" s="24"/>
      <c r="P69" s="26"/>
      <c r="Q69" s="51"/>
      <c r="R69" s="46"/>
      <c r="S69" s="51"/>
      <c r="T69" s="46"/>
      <c r="U69" s="46"/>
      <c r="V69" s="46"/>
      <c r="W69" s="46"/>
      <c r="X69" s="46"/>
      <c r="Y69" s="46"/>
      <c r="Z69" s="46"/>
      <c r="AA69" s="46"/>
      <c r="AB69" s="46"/>
      <c r="AC69" s="46"/>
      <c r="AD69" s="46"/>
      <c r="AE69" s="46"/>
    </row>
    <row r="70" ht="15.75" customHeight="1">
      <c r="A70" s="40" t="str">
        <f t="shared" si="7"/>
        <v/>
      </c>
      <c r="B70" s="40" t="str">
        <f t="shared" si="8"/>
        <v/>
      </c>
      <c r="C70" s="24"/>
      <c r="D70" s="23"/>
      <c r="E70" s="51"/>
      <c r="F70" s="51"/>
      <c r="G70" s="24"/>
      <c r="H70" s="40"/>
      <c r="I70" s="40" t="str">
        <f t="array" ref="I70">IF(G70="","",IFERROR(INDEX('Người sử dụng'!$H$5:$H$140,MATCH(G70,'Người sử dụng'!$C$5:$C$140,0)),"Chưa có trong DS"))</f>
        <v/>
      </c>
      <c r="J70" s="24"/>
      <c r="K70" s="24"/>
      <c r="L70" s="23"/>
      <c r="M70" s="24"/>
      <c r="N70" s="24"/>
      <c r="O70" s="24"/>
      <c r="P70" s="26"/>
      <c r="Q70" s="51"/>
      <c r="R70" s="46"/>
      <c r="S70" s="51"/>
      <c r="T70" s="46"/>
      <c r="U70" s="46"/>
      <c r="V70" s="46"/>
      <c r="W70" s="46"/>
      <c r="X70" s="46"/>
      <c r="Y70" s="46"/>
      <c r="Z70" s="46"/>
      <c r="AA70" s="46"/>
      <c r="AB70" s="46"/>
      <c r="AC70" s="46"/>
      <c r="AD70" s="46"/>
      <c r="AE70" s="46"/>
    </row>
    <row r="71" ht="15.75" customHeight="1">
      <c r="A71" s="40" t="str">
        <f t="shared" si="7"/>
        <v/>
      </c>
      <c r="B71" s="40" t="str">
        <f t="shared" si="8"/>
        <v/>
      </c>
      <c r="C71" s="24"/>
      <c r="D71" s="23"/>
      <c r="E71" s="51"/>
      <c r="F71" s="51"/>
      <c r="G71" s="24"/>
      <c r="H71" s="40"/>
      <c r="I71" s="40" t="str">
        <f t="array" ref="I71">IF(G71="","",IFERROR(INDEX('Người sử dụng'!$H$5:$H$140,MATCH(G71,'Người sử dụng'!$C$5:$C$140,0)),"Chưa có trong DS"))</f>
        <v/>
      </c>
      <c r="J71" s="24"/>
      <c r="K71" s="24"/>
      <c r="L71" s="23"/>
      <c r="M71" s="24"/>
      <c r="N71" s="24"/>
      <c r="O71" s="24"/>
      <c r="P71" s="26"/>
      <c r="Q71" s="51"/>
      <c r="R71" s="46"/>
      <c r="S71" s="51"/>
      <c r="T71" s="46"/>
      <c r="U71" s="46"/>
      <c r="V71" s="46"/>
      <c r="W71" s="46"/>
      <c r="X71" s="46"/>
      <c r="Y71" s="46"/>
      <c r="Z71" s="46"/>
      <c r="AA71" s="46"/>
      <c r="AB71" s="46"/>
      <c r="AC71" s="46"/>
      <c r="AD71" s="46"/>
      <c r="AE71" s="46"/>
    </row>
    <row r="72" ht="15.75" customHeight="1">
      <c r="A72" s="40" t="str">
        <f t="shared" si="7"/>
        <v/>
      </c>
      <c r="B72" s="40" t="str">
        <f t="shared" si="8"/>
        <v/>
      </c>
      <c r="C72" s="24"/>
      <c r="D72" s="23"/>
      <c r="E72" s="51"/>
      <c r="F72" s="51"/>
      <c r="G72" s="24"/>
      <c r="H72" s="40"/>
      <c r="I72" s="40" t="str">
        <f t="array" ref="I72">IF(G72="","",IFERROR(INDEX('Người sử dụng'!$H$5:$H$140,MATCH(G72,'Người sử dụng'!$C$5:$C$140,0)),"Chưa có trong DS"))</f>
        <v/>
      </c>
      <c r="J72" s="24"/>
      <c r="K72" s="24"/>
      <c r="L72" s="23"/>
      <c r="M72" s="24"/>
      <c r="N72" s="24"/>
      <c r="O72" s="24"/>
      <c r="P72" s="26"/>
      <c r="Q72" s="51"/>
      <c r="R72" s="46"/>
      <c r="S72" s="51"/>
      <c r="T72" s="46"/>
      <c r="U72" s="46"/>
      <c r="V72" s="46"/>
      <c r="W72" s="46"/>
      <c r="X72" s="46"/>
      <c r="Y72" s="46"/>
      <c r="Z72" s="46"/>
      <c r="AA72" s="46"/>
      <c r="AB72" s="46"/>
      <c r="AC72" s="46"/>
      <c r="AD72" s="46"/>
      <c r="AE72" s="46"/>
    </row>
    <row r="73" ht="15.75" customHeight="1">
      <c r="A73" s="40" t="str">
        <f t="shared" si="7"/>
        <v/>
      </c>
      <c r="B73" s="40" t="str">
        <f t="shared" si="8"/>
        <v/>
      </c>
      <c r="C73" s="24"/>
      <c r="D73" s="23"/>
      <c r="E73" s="51"/>
      <c r="F73" s="51"/>
      <c r="G73" s="24"/>
      <c r="H73" s="40"/>
      <c r="I73" s="40" t="str">
        <f t="array" ref="I73">IF(G73="","",IFERROR(INDEX('Người sử dụng'!$H$5:$H$140,MATCH(G73,'Người sử dụng'!$C$5:$C$140,0)),"Chưa có trong DS"))</f>
        <v/>
      </c>
      <c r="J73" s="24"/>
      <c r="K73" s="24"/>
      <c r="L73" s="23"/>
      <c r="M73" s="24"/>
      <c r="N73" s="24"/>
      <c r="O73" s="24"/>
      <c r="P73" s="26"/>
      <c r="Q73" s="51"/>
      <c r="R73" s="46"/>
      <c r="S73" s="51"/>
      <c r="T73" s="46"/>
      <c r="U73" s="46"/>
      <c r="V73" s="46"/>
      <c r="W73" s="46"/>
      <c r="X73" s="46"/>
      <c r="Y73" s="46"/>
      <c r="Z73" s="46"/>
      <c r="AA73" s="46"/>
      <c r="AB73" s="46"/>
      <c r="AC73" s="46"/>
      <c r="AD73" s="46"/>
      <c r="AE73" s="46"/>
    </row>
    <row r="74" ht="15.75" customHeight="1">
      <c r="A74" s="40" t="str">
        <f t="shared" si="7"/>
        <v/>
      </c>
      <c r="B74" s="40" t="str">
        <f t="shared" si="8"/>
        <v/>
      </c>
      <c r="C74" s="24"/>
      <c r="D74" s="23"/>
      <c r="E74" s="51"/>
      <c r="F74" s="51"/>
      <c r="G74" s="24"/>
      <c r="H74" s="40"/>
      <c r="I74" s="40" t="str">
        <f t="array" ref="I74">IF(G74="","",IFERROR(INDEX('Người sử dụng'!$H$5:$H$140,MATCH(G74,'Người sử dụng'!$C$5:$C$140,0)),"Chưa có trong DS"))</f>
        <v/>
      </c>
      <c r="J74" s="24"/>
      <c r="K74" s="24"/>
      <c r="L74" s="23"/>
      <c r="M74" s="24"/>
      <c r="N74" s="24"/>
      <c r="O74" s="24"/>
      <c r="P74" s="26"/>
      <c r="Q74" s="51"/>
      <c r="R74" s="46"/>
      <c r="S74" s="51"/>
      <c r="T74" s="46"/>
      <c r="U74" s="46"/>
      <c r="V74" s="46"/>
      <c r="W74" s="46"/>
      <c r="X74" s="46"/>
      <c r="Y74" s="46"/>
      <c r="Z74" s="46"/>
      <c r="AA74" s="46"/>
      <c r="AB74" s="46"/>
      <c r="AC74" s="46"/>
      <c r="AD74" s="46"/>
      <c r="AE74" s="46"/>
    </row>
    <row r="75" ht="15.75" customHeight="1">
      <c r="A75" s="40" t="str">
        <f t="shared" si="7"/>
        <v/>
      </c>
      <c r="B75" s="40" t="str">
        <f t="shared" si="8"/>
        <v/>
      </c>
      <c r="C75" s="24"/>
      <c r="D75" s="23"/>
      <c r="E75" s="51"/>
      <c r="F75" s="51"/>
      <c r="G75" s="24"/>
      <c r="H75" s="40"/>
      <c r="I75" s="40" t="str">
        <f t="array" ref="I75">IF(G75="","",IFERROR(INDEX('Người sử dụng'!$H$5:$H$140,MATCH(G75,'Người sử dụng'!$C$5:$C$140,0)),"Chưa có trong DS"))</f>
        <v/>
      </c>
      <c r="J75" s="24"/>
      <c r="K75" s="24"/>
      <c r="L75" s="23"/>
      <c r="M75" s="24"/>
      <c r="N75" s="24"/>
      <c r="O75" s="24"/>
      <c r="P75" s="26"/>
      <c r="Q75" s="51"/>
      <c r="R75" s="46"/>
      <c r="S75" s="51"/>
      <c r="T75" s="46"/>
      <c r="U75" s="46"/>
      <c r="V75" s="46"/>
      <c r="W75" s="46"/>
      <c r="X75" s="46"/>
      <c r="Y75" s="46"/>
      <c r="Z75" s="46"/>
      <c r="AA75" s="46"/>
      <c r="AB75" s="46"/>
      <c r="AC75" s="46"/>
      <c r="AD75" s="46"/>
      <c r="AE75" s="46"/>
    </row>
    <row r="76" ht="15.75" customHeight="1">
      <c r="A76" s="40" t="str">
        <f t="shared" si="7"/>
        <v/>
      </c>
      <c r="B76" s="40" t="str">
        <f t="shared" si="8"/>
        <v/>
      </c>
      <c r="C76" s="24"/>
      <c r="D76" s="23"/>
      <c r="E76" s="51"/>
      <c r="F76" s="51"/>
      <c r="G76" s="24"/>
      <c r="H76" s="40"/>
      <c r="I76" s="40" t="str">
        <f t="array" ref="I76">IF(G76="","",IFERROR(INDEX('Người sử dụng'!$H$5:$H$140,MATCH(G76,'Người sử dụng'!$C$5:$C$140,0)),"Chưa có trong DS"))</f>
        <v/>
      </c>
      <c r="J76" s="24"/>
      <c r="K76" s="24"/>
      <c r="L76" s="23"/>
      <c r="M76" s="24"/>
      <c r="N76" s="24"/>
      <c r="O76" s="24"/>
      <c r="P76" s="26"/>
      <c r="Q76" s="51"/>
      <c r="R76" s="46"/>
      <c r="S76" s="51"/>
      <c r="T76" s="46"/>
      <c r="U76" s="46"/>
      <c r="V76" s="46"/>
      <c r="W76" s="46"/>
      <c r="X76" s="46"/>
      <c r="Y76" s="46"/>
      <c r="Z76" s="46"/>
      <c r="AA76" s="46"/>
      <c r="AB76" s="46"/>
      <c r="AC76" s="46"/>
      <c r="AD76" s="46"/>
      <c r="AE76" s="46"/>
    </row>
    <row r="77" ht="15.75" customHeight="1">
      <c r="A77" s="40" t="str">
        <f t="shared" si="7"/>
        <v/>
      </c>
      <c r="B77" s="40" t="str">
        <f t="shared" si="8"/>
        <v/>
      </c>
      <c r="C77" s="24"/>
      <c r="D77" s="23"/>
      <c r="E77" s="51"/>
      <c r="F77" s="51"/>
      <c r="G77" s="24"/>
      <c r="H77" s="40"/>
      <c r="I77" s="40" t="str">
        <f t="array" ref="I77">IF(G77="","",IFERROR(INDEX('Người sử dụng'!$H$5:$H$140,MATCH(G77,'Người sử dụng'!$C$5:$C$140,0)),"Chưa có trong DS"))</f>
        <v/>
      </c>
      <c r="J77" s="24"/>
      <c r="K77" s="24"/>
      <c r="L77" s="23"/>
      <c r="M77" s="24"/>
      <c r="N77" s="24"/>
      <c r="O77" s="24"/>
      <c r="P77" s="26"/>
      <c r="Q77" s="51"/>
      <c r="R77" s="46"/>
      <c r="S77" s="51"/>
      <c r="T77" s="46"/>
      <c r="U77" s="46"/>
      <c r="V77" s="46"/>
      <c r="W77" s="46"/>
      <c r="X77" s="46"/>
      <c r="Y77" s="46"/>
      <c r="Z77" s="46"/>
      <c r="AA77" s="46"/>
      <c r="AB77" s="46"/>
      <c r="AC77" s="46"/>
      <c r="AD77" s="46"/>
      <c r="AE77" s="46"/>
    </row>
    <row r="78" ht="15.75" customHeight="1">
      <c r="A78" s="40" t="str">
        <f t="shared" si="7"/>
        <v/>
      </c>
      <c r="B78" s="40" t="str">
        <f t="shared" si="8"/>
        <v/>
      </c>
      <c r="C78" s="24"/>
      <c r="D78" s="23"/>
      <c r="E78" s="51"/>
      <c r="F78" s="51"/>
      <c r="G78" s="24"/>
      <c r="H78" s="40"/>
      <c r="I78" s="40" t="str">
        <f t="array" ref="I78">IF(G78="","",IFERROR(INDEX('Người sử dụng'!$H$5:$H$140,MATCH(G78,'Người sử dụng'!$C$5:$C$140,0)),"Chưa có trong DS"))</f>
        <v/>
      </c>
      <c r="J78" s="24"/>
      <c r="K78" s="24"/>
      <c r="L78" s="23"/>
      <c r="M78" s="24"/>
      <c r="N78" s="24"/>
      <c r="O78" s="24"/>
      <c r="P78" s="26"/>
      <c r="Q78" s="51"/>
      <c r="R78" s="46"/>
      <c r="S78" s="51"/>
      <c r="T78" s="46"/>
      <c r="U78" s="46"/>
      <c r="V78" s="46"/>
      <c r="W78" s="46"/>
      <c r="X78" s="46"/>
      <c r="Y78" s="46"/>
      <c r="Z78" s="46"/>
      <c r="AA78" s="46"/>
      <c r="AB78" s="46"/>
      <c r="AC78" s="46"/>
      <c r="AD78" s="46"/>
      <c r="AE78" s="46"/>
    </row>
    <row r="79" ht="15.75" customHeight="1">
      <c r="A79" s="40" t="str">
        <f t="shared" si="7"/>
        <v/>
      </c>
      <c r="B79" s="40" t="str">
        <f t="shared" si="8"/>
        <v/>
      </c>
      <c r="C79" s="24"/>
      <c r="D79" s="23"/>
      <c r="E79" s="51"/>
      <c r="F79" s="51"/>
      <c r="G79" s="24"/>
      <c r="H79" s="40"/>
      <c r="I79" s="40" t="str">
        <f t="array" ref="I79">IF(G79="","",IFERROR(INDEX('Người sử dụng'!$H$5:$H$140,MATCH(G79,'Người sử dụng'!$C$5:$C$140,0)),"Chưa có trong DS"))</f>
        <v/>
      </c>
      <c r="J79" s="24"/>
      <c r="K79" s="24"/>
      <c r="L79" s="23"/>
      <c r="M79" s="24"/>
      <c r="N79" s="24"/>
      <c r="O79" s="24"/>
      <c r="P79" s="26"/>
      <c r="Q79" s="51"/>
      <c r="R79" s="46"/>
      <c r="S79" s="51"/>
      <c r="T79" s="46"/>
      <c r="U79" s="46"/>
      <c r="V79" s="46"/>
      <c r="W79" s="46"/>
      <c r="X79" s="46"/>
      <c r="Y79" s="46"/>
      <c r="Z79" s="46"/>
      <c r="AA79" s="46"/>
      <c r="AB79" s="46"/>
      <c r="AC79" s="46"/>
      <c r="AD79" s="46"/>
      <c r="AE79" s="46"/>
    </row>
    <row r="80" ht="15.75" customHeight="1">
      <c r="A80" s="40" t="str">
        <f t="shared" si="7"/>
        <v/>
      </c>
      <c r="B80" s="40" t="str">
        <f t="shared" si="8"/>
        <v/>
      </c>
      <c r="C80" s="24"/>
      <c r="D80" s="23"/>
      <c r="E80" s="51"/>
      <c r="F80" s="51"/>
      <c r="G80" s="24"/>
      <c r="H80" s="40"/>
      <c r="I80" s="40" t="str">
        <f t="array" ref="I80">IF(G80="","",IFERROR(INDEX('Người sử dụng'!$H$5:$H$140,MATCH(G80,'Người sử dụng'!$C$5:$C$140,0)),"Chưa có trong DS"))</f>
        <v/>
      </c>
      <c r="J80" s="24"/>
      <c r="K80" s="24"/>
      <c r="L80" s="23"/>
      <c r="M80" s="24"/>
      <c r="N80" s="24"/>
      <c r="O80" s="24"/>
      <c r="P80" s="26"/>
      <c r="Q80" s="51"/>
      <c r="R80" s="46"/>
      <c r="S80" s="51"/>
      <c r="T80" s="46"/>
      <c r="U80" s="46"/>
      <c r="V80" s="46"/>
      <c r="W80" s="46"/>
      <c r="X80" s="46"/>
      <c r="Y80" s="46"/>
      <c r="Z80" s="46"/>
      <c r="AA80" s="46"/>
      <c r="AB80" s="46"/>
      <c r="AC80" s="46"/>
      <c r="AD80" s="46"/>
      <c r="AE80" s="46"/>
    </row>
    <row r="81" ht="15.75" customHeight="1">
      <c r="A81" s="40" t="str">
        <f t="shared" si="7"/>
        <v/>
      </c>
      <c r="B81" s="40" t="str">
        <f t="shared" si="8"/>
        <v/>
      </c>
      <c r="C81" s="24"/>
      <c r="D81" s="23"/>
      <c r="E81" s="51"/>
      <c r="F81" s="51"/>
      <c r="G81" s="24"/>
      <c r="H81" s="40"/>
      <c r="I81" s="40" t="str">
        <f t="array" ref="I81">IF(G81="","",IFERROR(INDEX('Người sử dụng'!$H$5:$H$140,MATCH(G81,'Người sử dụng'!$C$5:$C$140,0)),"Chưa có trong DS"))</f>
        <v/>
      </c>
      <c r="J81" s="24"/>
      <c r="K81" s="24"/>
      <c r="L81" s="23"/>
      <c r="M81" s="24"/>
      <c r="N81" s="24"/>
      <c r="O81" s="24"/>
      <c r="P81" s="26"/>
      <c r="Q81" s="51"/>
      <c r="R81" s="46"/>
      <c r="S81" s="51"/>
      <c r="T81" s="46"/>
      <c r="U81" s="46"/>
      <c r="V81" s="46"/>
      <c r="W81" s="46"/>
      <c r="X81" s="46"/>
      <c r="Y81" s="46"/>
      <c r="Z81" s="46"/>
      <c r="AA81" s="46"/>
      <c r="AB81" s="46"/>
      <c r="AC81" s="46"/>
      <c r="AD81" s="46"/>
      <c r="AE81" s="46"/>
    </row>
    <row r="82" ht="15.75" customHeight="1">
      <c r="A82" s="40" t="str">
        <f t="shared" si="7"/>
        <v/>
      </c>
      <c r="B82" s="40" t="str">
        <f t="shared" si="8"/>
        <v/>
      </c>
      <c r="C82" s="24"/>
      <c r="D82" s="23"/>
      <c r="E82" s="51"/>
      <c r="F82" s="51"/>
      <c r="G82" s="24"/>
      <c r="H82" s="40"/>
      <c r="I82" s="40" t="str">
        <f t="array" ref="I82">IF(G82="","",IFERROR(INDEX('Người sử dụng'!$H$5:$H$140,MATCH(G82,'Người sử dụng'!$C$5:$C$140,0)),"Chưa có trong DS"))</f>
        <v/>
      </c>
      <c r="J82" s="24"/>
      <c r="K82" s="24"/>
      <c r="L82" s="23"/>
      <c r="M82" s="24"/>
      <c r="N82" s="24"/>
      <c r="O82" s="24"/>
      <c r="P82" s="26"/>
      <c r="Q82" s="51"/>
      <c r="R82" s="46"/>
      <c r="S82" s="51"/>
      <c r="T82" s="46"/>
      <c r="U82" s="46"/>
      <c r="V82" s="46"/>
      <c r="W82" s="46"/>
      <c r="X82" s="46"/>
      <c r="Y82" s="46"/>
      <c r="Z82" s="46"/>
      <c r="AA82" s="46"/>
      <c r="AB82" s="46"/>
      <c r="AC82" s="46"/>
      <c r="AD82" s="46"/>
      <c r="AE82" s="46"/>
    </row>
    <row r="83" ht="15.75" customHeight="1">
      <c r="A83" s="40" t="str">
        <f t="shared" si="7"/>
        <v/>
      </c>
      <c r="B83" s="40" t="str">
        <f t="shared" si="8"/>
        <v/>
      </c>
      <c r="C83" s="24"/>
      <c r="D83" s="23"/>
      <c r="E83" s="51"/>
      <c r="F83" s="51"/>
      <c r="G83" s="24"/>
      <c r="H83" s="40"/>
      <c r="I83" s="40" t="str">
        <f t="array" ref="I83">IF(G83="","",IFERROR(INDEX('Người sử dụng'!$H$5:$H$140,MATCH(G83,'Người sử dụng'!$C$5:$C$140,0)),"Chưa có trong DS"))</f>
        <v/>
      </c>
      <c r="J83" s="24"/>
      <c r="K83" s="24"/>
      <c r="L83" s="23"/>
      <c r="M83" s="24"/>
      <c r="N83" s="24"/>
      <c r="O83" s="24"/>
      <c r="P83" s="26"/>
      <c r="Q83" s="51"/>
      <c r="R83" s="46"/>
      <c r="S83" s="51"/>
      <c r="T83" s="46"/>
      <c r="U83" s="46"/>
      <c r="V83" s="46"/>
      <c r="W83" s="46"/>
      <c r="X83" s="46"/>
      <c r="Y83" s="46"/>
      <c r="Z83" s="46"/>
      <c r="AA83" s="46"/>
      <c r="AB83" s="46"/>
      <c r="AC83" s="46"/>
      <c r="AD83" s="46"/>
      <c r="AE83" s="46"/>
    </row>
    <row r="84" ht="15.75" customHeight="1">
      <c r="A84" s="40" t="str">
        <f t="shared" si="7"/>
        <v/>
      </c>
      <c r="B84" s="40" t="str">
        <f t="shared" si="8"/>
        <v/>
      </c>
      <c r="C84" s="24"/>
      <c r="D84" s="23"/>
      <c r="E84" s="51"/>
      <c r="F84" s="51"/>
      <c r="G84" s="24"/>
      <c r="H84" s="40"/>
      <c r="I84" s="40" t="str">
        <f t="array" ref="I84">IF(G84="","",IFERROR(INDEX('Người sử dụng'!$H$5:$H$140,MATCH(G84,'Người sử dụng'!$C$5:$C$140,0)),"Chưa có trong DS"))</f>
        <v/>
      </c>
      <c r="J84" s="24"/>
      <c r="K84" s="24"/>
      <c r="L84" s="23"/>
      <c r="M84" s="24"/>
      <c r="N84" s="24"/>
      <c r="O84" s="24"/>
      <c r="P84" s="26"/>
      <c r="Q84" s="51"/>
      <c r="R84" s="46"/>
      <c r="S84" s="51"/>
      <c r="T84" s="46"/>
      <c r="U84" s="46"/>
      <c r="V84" s="46"/>
      <c r="W84" s="46"/>
      <c r="X84" s="46"/>
      <c r="Y84" s="46"/>
      <c r="Z84" s="46"/>
      <c r="AA84" s="46"/>
      <c r="AB84" s="46"/>
      <c r="AC84" s="46"/>
      <c r="AD84" s="46"/>
      <c r="AE84" s="46"/>
    </row>
    <row r="85" ht="15.75" customHeight="1">
      <c r="A85" s="40" t="str">
        <f t="shared" si="7"/>
        <v/>
      </c>
      <c r="B85" s="40" t="str">
        <f t="shared" si="8"/>
        <v/>
      </c>
      <c r="C85" s="24"/>
      <c r="D85" s="23"/>
      <c r="E85" s="51"/>
      <c r="F85" s="51"/>
      <c r="G85" s="24"/>
      <c r="H85" s="40"/>
      <c r="I85" s="40" t="str">
        <f t="array" ref="I85">IF(G85="","",IFERROR(INDEX('Người sử dụng'!$H$5:$H$140,MATCH(G85,'Người sử dụng'!$C$5:$C$140,0)),"Chưa có trong DS"))</f>
        <v/>
      </c>
      <c r="J85" s="24"/>
      <c r="K85" s="24"/>
      <c r="L85" s="23"/>
      <c r="M85" s="24"/>
      <c r="N85" s="24"/>
      <c r="O85" s="24"/>
      <c r="P85" s="26"/>
      <c r="Q85" s="51"/>
      <c r="R85" s="46"/>
      <c r="S85" s="51"/>
      <c r="T85" s="46"/>
      <c r="U85" s="46"/>
      <c r="V85" s="46"/>
      <c r="W85" s="46"/>
      <c r="X85" s="46"/>
      <c r="Y85" s="46"/>
      <c r="Z85" s="46"/>
      <c r="AA85" s="46"/>
      <c r="AB85" s="46"/>
      <c r="AC85" s="46"/>
      <c r="AD85" s="46"/>
      <c r="AE85" s="46"/>
    </row>
    <row r="86" ht="15.75" customHeight="1">
      <c r="A86" s="40" t="str">
        <f t="shared" si="7"/>
        <v/>
      </c>
      <c r="B86" s="40" t="str">
        <f t="shared" si="8"/>
        <v/>
      </c>
      <c r="C86" s="24"/>
      <c r="D86" s="23"/>
      <c r="E86" s="51"/>
      <c r="F86" s="51"/>
      <c r="G86" s="24"/>
      <c r="H86" s="40"/>
      <c r="I86" s="40" t="str">
        <f t="array" ref="I86">IF(G86="","",IFERROR(INDEX('Người sử dụng'!$H$5:$H$140,MATCH(G86,'Người sử dụng'!$C$5:$C$140,0)),"Chưa có trong DS"))</f>
        <v/>
      </c>
      <c r="J86" s="24"/>
      <c r="K86" s="24"/>
      <c r="L86" s="23"/>
      <c r="M86" s="24"/>
      <c r="N86" s="24"/>
      <c r="O86" s="24"/>
      <c r="P86" s="26"/>
      <c r="Q86" s="51"/>
      <c r="R86" s="46"/>
      <c r="S86" s="51"/>
      <c r="T86" s="46"/>
      <c r="U86" s="46"/>
      <c r="V86" s="46"/>
      <c r="W86" s="46"/>
      <c r="X86" s="46"/>
      <c r="Y86" s="46"/>
      <c r="Z86" s="46"/>
      <c r="AA86" s="46"/>
      <c r="AB86" s="46"/>
      <c r="AC86" s="46"/>
      <c r="AD86" s="46"/>
      <c r="AE86" s="46"/>
    </row>
    <row r="87" ht="15.75" customHeight="1">
      <c r="A87" s="40" t="str">
        <f t="shared" si="7"/>
        <v/>
      </c>
      <c r="B87" s="40" t="str">
        <f t="shared" si="8"/>
        <v/>
      </c>
      <c r="C87" s="24"/>
      <c r="D87" s="23"/>
      <c r="E87" s="51"/>
      <c r="F87" s="51"/>
      <c r="G87" s="24"/>
      <c r="H87" s="40"/>
      <c r="I87" s="40" t="str">
        <f t="array" ref="I87">IF(G87="","",IFERROR(INDEX('Người sử dụng'!$H$5:$H$140,MATCH(G87,'Người sử dụng'!$C$5:$C$140,0)),"Chưa có trong DS"))</f>
        <v/>
      </c>
      <c r="J87" s="24"/>
      <c r="K87" s="24"/>
      <c r="L87" s="23"/>
      <c r="M87" s="24"/>
      <c r="N87" s="24"/>
      <c r="O87" s="24"/>
      <c r="P87" s="26"/>
      <c r="Q87" s="51"/>
      <c r="R87" s="46"/>
      <c r="S87" s="51"/>
      <c r="T87" s="46"/>
      <c r="U87" s="46"/>
      <c r="V87" s="46"/>
      <c r="W87" s="46"/>
      <c r="X87" s="46"/>
      <c r="Y87" s="46"/>
      <c r="Z87" s="46"/>
      <c r="AA87" s="46"/>
      <c r="AB87" s="46"/>
      <c r="AC87" s="46"/>
      <c r="AD87" s="46"/>
      <c r="AE87" s="46"/>
    </row>
    <row r="88" ht="15.75" customHeight="1">
      <c r="A88" s="40" t="str">
        <f t="shared" si="7"/>
        <v/>
      </c>
      <c r="B88" s="40" t="str">
        <f t="shared" si="8"/>
        <v/>
      </c>
      <c r="C88" s="24"/>
      <c r="D88" s="23"/>
      <c r="E88" s="51"/>
      <c r="F88" s="51"/>
      <c r="G88" s="24"/>
      <c r="H88" s="40"/>
      <c r="I88" s="40" t="str">
        <f t="array" ref="I88">IF(G88="","",IFERROR(INDEX('Người sử dụng'!$H$5:$H$140,MATCH(G88,'Người sử dụng'!$C$5:$C$140,0)),"Chưa có trong DS"))</f>
        <v/>
      </c>
      <c r="J88" s="24"/>
      <c r="K88" s="24"/>
      <c r="L88" s="23"/>
      <c r="M88" s="24"/>
      <c r="N88" s="24"/>
      <c r="O88" s="24"/>
      <c r="P88" s="26"/>
      <c r="Q88" s="51"/>
      <c r="R88" s="46"/>
      <c r="S88" s="51"/>
      <c r="T88" s="46"/>
      <c r="U88" s="46"/>
      <c r="V88" s="46"/>
      <c r="W88" s="46"/>
      <c r="X88" s="46"/>
      <c r="Y88" s="46"/>
      <c r="Z88" s="46"/>
      <c r="AA88" s="46"/>
      <c r="AB88" s="46"/>
      <c r="AC88" s="46"/>
      <c r="AD88" s="46"/>
      <c r="AE88" s="46"/>
    </row>
    <row r="89" ht="15.75" customHeight="1">
      <c r="A89" s="40" t="str">
        <f t="shared" si="7"/>
        <v/>
      </c>
      <c r="B89" s="40" t="str">
        <f t="shared" si="8"/>
        <v/>
      </c>
      <c r="C89" s="24"/>
      <c r="D89" s="23"/>
      <c r="E89" s="51"/>
      <c r="F89" s="51"/>
      <c r="G89" s="24"/>
      <c r="H89" s="40"/>
      <c r="I89" s="40" t="str">
        <f t="array" ref="I89">IF(G89="","",IFERROR(INDEX('Người sử dụng'!$H$5:$H$140,MATCH(G89,'Người sử dụng'!$C$5:$C$140,0)),"Chưa có trong DS"))</f>
        <v/>
      </c>
      <c r="J89" s="24"/>
      <c r="K89" s="24"/>
      <c r="L89" s="23"/>
      <c r="M89" s="24"/>
      <c r="N89" s="24"/>
      <c r="O89" s="24"/>
      <c r="P89" s="26"/>
      <c r="Q89" s="51"/>
      <c r="R89" s="46"/>
      <c r="S89" s="51"/>
      <c r="T89" s="46"/>
      <c r="U89" s="46"/>
      <c r="V89" s="46"/>
      <c r="W89" s="46"/>
      <c r="X89" s="46"/>
      <c r="Y89" s="46"/>
      <c r="Z89" s="46"/>
      <c r="AA89" s="46"/>
      <c r="AB89" s="46"/>
      <c r="AC89" s="46"/>
      <c r="AD89" s="46"/>
      <c r="AE89" s="46"/>
    </row>
    <row r="90" ht="15.75" customHeight="1">
      <c r="A90" s="40" t="str">
        <f t="shared" si="7"/>
        <v/>
      </c>
      <c r="B90" s="40" t="str">
        <f t="shared" si="8"/>
        <v/>
      </c>
      <c r="C90" s="24"/>
      <c r="D90" s="23"/>
      <c r="E90" s="51"/>
      <c r="F90" s="51"/>
      <c r="G90" s="24"/>
      <c r="H90" s="40"/>
      <c r="I90" s="40" t="str">
        <f t="array" ref="I90">IF(G90="","",IFERROR(INDEX('Người sử dụng'!$H$5:$H$140,MATCH(G90,'Người sử dụng'!$C$5:$C$140,0)),"Chưa có trong DS"))</f>
        <v/>
      </c>
      <c r="J90" s="24"/>
      <c r="K90" s="24"/>
      <c r="L90" s="23"/>
      <c r="M90" s="24"/>
      <c r="N90" s="24"/>
      <c r="O90" s="24"/>
      <c r="P90" s="26"/>
      <c r="Q90" s="51"/>
      <c r="R90" s="46"/>
      <c r="S90" s="51"/>
      <c r="T90" s="46"/>
      <c r="U90" s="46"/>
      <c r="V90" s="46"/>
      <c r="W90" s="46"/>
      <c r="X90" s="46"/>
      <c r="Y90" s="46"/>
      <c r="Z90" s="46"/>
      <c r="AA90" s="46"/>
      <c r="AB90" s="46"/>
      <c r="AC90" s="46"/>
      <c r="AD90" s="46"/>
      <c r="AE90" s="46"/>
    </row>
    <row r="91" ht="15.75" customHeight="1">
      <c r="A91" s="40" t="str">
        <f t="shared" si="7"/>
        <v/>
      </c>
      <c r="B91" s="40" t="str">
        <f t="shared" si="8"/>
        <v/>
      </c>
      <c r="C91" s="24"/>
      <c r="D91" s="23"/>
      <c r="E91" s="51"/>
      <c r="F91" s="51"/>
      <c r="G91" s="24"/>
      <c r="H91" s="40"/>
      <c r="I91" s="40" t="str">
        <f t="array" ref="I91">IF(G91="","",IFERROR(INDEX('Người sử dụng'!$H$5:$H$140,MATCH(G91,'Người sử dụng'!$C$5:$C$140,0)),"Chưa có trong DS"))</f>
        <v/>
      </c>
      <c r="J91" s="24"/>
      <c r="K91" s="24"/>
      <c r="L91" s="23"/>
      <c r="M91" s="24"/>
      <c r="N91" s="24"/>
      <c r="O91" s="24"/>
      <c r="P91" s="26"/>
      <c r="Q91" s="51"/>
      <c r="R91" s="46"/>
      <c r="S91" s="51"/>
      <c r="T91" s="46"/>
      <c r="U91" s="46"/>
      <c r="V91" s="46"/>
      <c r="W91" s="46"/>
      <c r="X91" s="46"/>
      <c r="Y91" s="46"/>
      <c r="Z91" s="46"/>
      <c r="AA91" s="46"/>
      <c r="AB91" s="46"/>
      <c r="AC91" s="46"/>
      <c r="AD91" s="46"/>
      <c r="AE91" s="46"/>
    </row>
    <row r="92" ht="15.75" customHeight="1">
      <c r="A92" s="40" t="str">
        <f t="shared" si="7"/>
        <v/>
      </c>
      <c r="B92" s="40" t="str">
        <f t="shared" si="8"/>
        <v/>
      </c>
      <c r="C92" s="24"/>
      <c r="D92" s="23"/>
      <c r="E92" s="51"/>
      <c r="F92" s="51"/>
      <c r="G92" s="24"/>
      <c r="H92" s="40"/>
      <c r="I92" s="40" t="str">
        <f t="array" ref="I92">IF(G92="","",IFERROR(INDEX('Người sử dụng'!$H$5:$H$140,MATCH(G92,'Người sử dụng'!$C$5:$C$140,0)),"Chưa có trong DS"))</f>
        <v/>
      </c>
      <c r="J92" s="24"/>
      <c r="K92" s="24"/>
      <c r="L92" s="23"/>
      <c r="M92" s="24"/>
      <c r="N92" s="24"/>
      <c r="O92" s="24"/>
      <c r="P92" s="26"/>
      <c r="Q92" s="51"/>
      <c r="R92" s="46"/>
      <c r="S92" s="51"/>
      <c r="T92" s="46"/>
      <c r="U92" s="46"/>
      <c r="V92" s="46"/>
      <c r="W92" s="46"/>
      <c r="X92" s="46"/>
      <c r="Y92" s="46"/>
      <c r="Z92" s="46"/>
      <c r="AA92" s="46"/>
      <c r="AB92" s="46"/>
      <c r="AC92" s="46"/>
      <c r="AD92" s="46"/>
      <c r="AE92" s="46"/>
    </row>
    <row r="93" ht="15.75" customHeight="1">
      <c r="A93" s="40" t="str">
        <f t="shared" si="7"/>
        <v/>
      </c>
      <c r="B93" s="40" t="str">
        <f t="shared" si="8"/>
        <v/>
      </c>
      <c r="C93" s="24"/>
      <c r="D93" s="23"/>
      <c r="E93" s="51"/>
      <c r="F93" s="51"/>
      <c r="G93" s="24"/>
      <c r="H93" s="40"/>
      <c r="I93" s="40" t="str">
        <f t="array" ref="I93">IF(G93="","",IFERROR(INDEX('Người sử dụng'!$H$5:$H$140,MATCH(G93,'Người sử dụng'!$C$5:$C$140,0)),"Chưa có trong DS"))</f>
        <v/>
      </c>
      <c r="J93" s="24"/>
      <c r="K93" s="24"/>
      <c r="L93" s="23"/>
      <c r="M93" s="24"/>
      <c r="N93" s="24"/>
      <c r="O93" s="24"/>
      <c r="P93" s="26"/>
      <c r="Q93" s="51"/>
      <c r="R93" s="46"/>
      <c r="S93" s="51"/>
      <c r="T93" s="46"/>
      <c r="U93" s="46"/>
      <c r="V93" s="46"/>
      <c r="W93" s="46"/>
      <c r="X93" s="46"/>
      <c r="Y93" s="46"/>
      <c r="Z93" s="46"/>
      <c r="AA93" s="46"/>
      <c r="AB93" s="46"/>
      <c r="AC93" s="46"/>
      <c r="AD93" s="46"/>
      <c r="AE93" s="46"/>
    </row>
    <row r="94" ht="15.75" customHeight="1">
      <c r="A94" s="40" t="str">
        <f t="shared" si="7"/>
        <v/>
      </c>
      <c r="B94" s="40" t="str">
        <f t="shared" si="8"/>
        <v/>
      </c>
      <c r="C94" s="24"/>
      <c r="D94" s="23"/>
      <c r="E94" s="51"/>
      <c r="F94" s="51"/>
      <c r="G94" s="24"/>
      <c r="H94" s="40"/>
      <c r="I94" s="40" t="str">
        <f t="array" ref="I94">IF(G94="","",IFERROR(INDEX('Người sử dụng'!$H$5:$H$140,MATCH(G94,'Người sử dụng'!$C$5:$C$140,0)),"Chưa có trong DS"))</f>
        <v/>
      </c>
      <c r="J94" s="24"/>
      <c r="K94" s="24"/>
      <c r="L94" s="23"/>
      <c r="M94" s="24"/>
      <c r="N94" s="24"/>
      <c r="O94" s="24"/>
      <c r="P94" s="26"/>
      <c r="Q94" s="51"/>
      <c r="R94" s="46"/>
      <c r="S94" s="51"/>
      <c r="T94" s="46"/>
      <c r="U94" s="46"/>
      <c r="V94" s="46"/>
      <c r="W94" s="46"/>
      <c r="X94" s="46"/>
      <c r="Y94" s="46"/>
      <c r="Z94" s="46"/>
      <c r="AA94" s="46"/>
      <c r="AB94" s="46"/>
      <c r="AC94" s="46"/>
      <c r="AD94" s="46"/>
      <c r="AE94" s="46"/>
    </row>
    <row r="95" ht="15.75" customHeight="1">
      <c r="A95" s="40" t="str">
        <f t="shared" si="7"/>
        <v/>
      </c>
      <c r="B95" s="40" t="str">
        <f t="shared" si="8"/>
        <v/>
      </c>
      <c r="C95" s="24"/>
      <c r="D95" s="23"/>
      <c r="E95" s="51"/>
      <c r="F95" s="51"/>
      <c r="G95" s="24"/>
      <c r="H95" s="40"/>
      <c r="I95" s="40" t="str">
        <f t="array" ref="I95">IF(G95="","",IFERROR(INDEX('Người sử dụng'!$H$5:$H$140,MATCH(G95,'Người sử dụng'!$C$5:$C$140,0)),"Chưa có trong DS"))</f>
        <v/>
      </c>
      <c r="J95" s="24"/>
      <c r="K95" s="24"/>
      <c r="L95" s="23"/>
      <c r="M95" s="24"/>
      <c r="N95" s="24"/>
      <c r="O95" s="24"/>
      <c r="P95" s="26"/>
      <c r="Q95" s="51"/>
      <c r="R95" s="46"/>
      <c r="S95" s="51"/>
      <c r="T95" s="46"/>
      <c r="U95" s="46"/>
      <c r="V95" s="46"/>
      <c r="W95" s="46"/>
      <c r="X95" s="46"/>
      <c r="Y95" s="46"/>
      <c r="Z95" s="46"/>
      <c r="AA95" s="46"/>
      <c r="AB95" s="46"/>
      <c r="AC95" s="46"/>
      <c r="AD95" s="46"/>
      <c r="AE95" s="46"/>
    </row>
    <row r="96" ht="15.75" customHeight="1">
      <c r="A96" s="40" t="str">
        <f t="shared" si="7"/>
        <v/>
      </c>
      <c r="B96" s="40" t="str">
        <f t="shared" si="8"/>
        <v/>
      </c>
      <c r="C96" s="24"/>
      <c r="D96" s="23"/>
      <c r="E96" s="51"/>
      <c r="F96" s="51"/>
      <c r="G96" s="24"/>
      <c r="H96" s="40"/>
      <c r="I96" s="40" t="str">
        <f t="array" ref="I96">IF(G96="","",IFERROR(INDEX('Người sử dụng'!$H$5:$H$140,MATCH(G96,'Người sử dụng'!$C$5:$C$140,0)),"Chưa có trong DS"))</f>
        <v/>
      </c>
      <c r="J96" s="24"/>
      <c r="K96" s="24"/>
      <c r="L96" s="23"/>
      <c r="M96" s="24"/>
      <c r="N96" s="24"/>
      <c r="O96" s="24"/>
      <c r="P96" s="26"/>
      <c r="Q96" s="51"/>
      <c r="R96" s="46"/>
      <c r="S96" s="51"/>
      <c r="T96" s="46"/>
      <c r="U96" s="46"/>
      <c r="V96" s="46"/>
      <c r="W96" s="46"/>
      <c r="X96" s="46"/>
      <c r="Y96" s="46"/>
      <c r="Z96" s="46"/>
      <c r="AA96" s="46"/>
      <c r="AB96" s="46"/>
      <c r="AC96" s="46"/>
      <c r="AD96" s="46"/>
      <c r="AE96" s="46"/>
    </row>
    <row r="97" ht="15.75" customHeight="1">
      <c r="A97" s="40" t="str">
        <f t="shared" si="7"/>
        <v/>
      </c>
      <c r="B97" s="40" t="str">
        <f t="shared" si="8"/>
        <v/>
      </c>
      <c r="C97" s="24"/>
      <c r="D97" s="23"/>
      <c r="E97" s="51"/>
      <c r="F97" s="51"/>
      <c r="G97" s="24"/>
      <c r="H97" s="40"/>
      <c r="I97" s="40" t="str">
        <f t="array" ref="I97">IF(G97="","",IFERROR(INDEX('Người sử dụng'!$H$5:$H$140,MATCH(G97,'Người sử dụng'!$C$5:$C$140,0)),"Chưa có trong DS"))</f>
        <v/>
      </c>
      <c r="J97" s="24"/>
      <c r="K97" s="24"/>
      <c r="L97" s="23"/>
      <c r="M97" s="24"/>
      <c r="N97" s="24"/>
      <c r="O97" s="24"/>
      <c r="P97" s="26"/>
      <c r="Q97" s="51"/>
      <c r="R97" s="46"/>
      <c r="S97" s="51"/>
      <c r="T97" s="46"/>
      <c r="U97" s="46"/>
      <c r="V97" s="46"/>
      <c r="W97" s="46"/>
      <c r="X97" s="46"/>
      <c r="Y97" s="46"/>
      <c r="Z97" s="46"/>
      <c r="AA97" s="46"/>
      <c r="AB97" s="46"/>
      <c r="AC97" s="46"/>
      <c r="AD97" s="46"/>
      <c r="AE97" s="46"/>
    </row>
    <row r="98" ht="15.75" customHeight="1">
      <c r="A98" s="40" t="str">
        <f t="shared" si="7"/>
        <v/>
      </c>
      <c r="B98" s="40" t="str">
        <f t="shared" si="8"/>
        <v/>
      </c>
      <c r="C98" s="24"/>
      <c r="D98" s="23"/>
      <c r="E98" s="51"/>
      <c r="F98" s="51"/>
      <c r="G98" s="24"/>
      <c r="H98" s="40"/>
      <c r="I98" s="40" t="str">
        <f t="array" ref="I98">IF(G98="","",IFERROR(INDEX('Người sử dụng'!$H$5:$H$140,MATCH(G98,'Người sử dụng'!$C$5:$C$140,0)),"Chưa có trong DS"))</f>
        <v/>
      </c>
      <c r="J98" s="24"/>
      <c r="K98" s="24"/>
      <c r="L98" s="23"/>
      <c r="M98" s="24"/>
      <c r="N98" s="24"/>
      <c r="O98" s="24"/>
      <c r="P98" s="26"/>
      <c r="Q98" s="51"/>
      <c r="R98" s="46"/>
      <c r="S98" s="51"/>
      <c r="T98" s="46"/>
      <c r="U98" s="46"/>
      <c r="V98" s="46"/>
      <c r="W98" s="46"/>
      <c r="X98" s="46"/>
      <c r="Y98" s="46"/>
      <c r="Z98" s="46"/>
      <c r="AA98" s="46"/>
      <c r="AB98" s="46"/>
      <c r="AC98" s="46"/>
      <c r="AD98" s="46"/>
      <c r="AE98" s="46"/>
    </row>
    <row r="99" ht="15.75" customHeight="1">
      <c r="A99" s="40" t="str">
        <f t="shared" si="7"/>
        <v/>
      </c>
      <c r="B99" s="40" t="str">
        <f t="shared" si="8"/>
        <v/>
      </c>
      <c r="C99" s="24"/>
      <c r="D99" s="23"/>
      <c r="E99" s="51"/>
      <c r="F99" s="51"/>
      <c r="G99" s="24"/>
      <c r="H99" s="40"/>
      <c r="I99" s="40" t="str">
        <f t="array" ref="I99">IF(G99="","",IFERROR(INDEX('Người sử dụng'!$H$5:$H$140,MATCH(G99,'Người sử dụng'!$C$5:$C$140,0)),"Chưa có trong DS"))</f>
        <v/>
      </c>
      <c r="J99" s="24"/>
      <c r="K99" s="24"/>
      <c r="L99" s="23"/>
      <c r="M99" s="24"/>
      <c r="N99" s="24"/>
      <c r="O99" s="24"/>
      <c r="P99" s="26"/>
      <c r="Q99" s="51"/>
      <c r="R99" s="46"/>
      <c r="S99" s="51"/>
      <c r="T99" s="46"/>
      <c r="U99" s="46"/>
      <c r="V99" s="46"/>
      <c r="W99" s="46"/>
      <c r="X99" s="46"/>
      <c r="Y99" s="46"/>
      <c r="Z99" s="46"/>
      <c r="AA99" s="46"/>
      <c r="AB99" s="46"/>
      <c r="AC99" s="46"/>
      <c r="AD99" s="46"/>
      <c r="AE99" s="46"/>
    </row>
    <row r="100" ht="15.75" customHeight="1">
      <c r="A100" s="40" t="str">
        <f t="shared" si="7"/>
        <v/>
      </c>
      <c r="B100" s="40" t="str">
        <f t="shared" si="8"/>
        <v/>
      </c>
      <c r="C100" s="24"/>
      <c r="D100" s="23"/>
      <c r="E100" s="51"/>
      <c r="F100" s="51"/>
      <c r="G100" s="24"/>
      <c r="H100" s="40"/>
      <c r="I100" s="40" t="str">
        <f t="array" ref="I100">IF(G100="","",IFERROR(INDEX('Người sử dụng'!$H$5:$H$140,MATCH(G100,'Người sử dụng'!$C$5:$C$140,0)),"Chưa có trong DS"))</f>
        <v/>
      </c>
      <c r="J100" s="24"/>
      <c r="K100" s="24"/>
      <c r="L100" s="23"/>
      <c r="M100" s="24"/>
      <c r="N100" s="24"/>
      <c r="O100" s="24"/>
      <c r="P100" s="26"/>
      <c r="Q100" s="51"/>
      <c r="R100" s="46"/>
      <c r="S100" s="51"/>
      <c r="T100" s="46"/>
      <c r="U100" s="46"/>
      <c r="V100" s="46"/>
      <c r="W100" s="46"/>
      <c r="X100" s="46"/>
      <c r="Y100" s="46"/>
      <c r="Z100" s="46"/>
      <c r="AA100" s="46"/>
      <c r="AB100" s="46"/>
      <c r="AC100" s="46"/>
      <c r="AD100" s="46"/>
      <c r="AE100" s="46"/>
    </row>
    <row r="101" ht="15.75" customHeight="1">
      <c r="A101" s="40" t="str">
        <f t="shared" si="7"/>
        <v/>
      </c>
      <c r="B101" s="40" t="str">
        <f t="shared" si="8"/>
        <v/>
      </c>
      <c r="C101" s="24"/>
      <c r="D101" s="23"/>
      <c r="E101" s="51"/>
      <c r="F101" s="51"/>
      <c r="G101" s="24"/>
      <c r="H101" s="40"/>
      <c r="I101" s="40" t="str">
        <f t="array" ref="I101">IF(G101="","",IFERROR(INDEX('Người sử dụng'!$H$5:$H$140,MATCH(G101,'Người sử dụng'!$C$5:$C$140,0)),"Chưa có trong DS"))</f>
        <v/>
      </c>
      <c r="J101" s="24"/>
      <c r="K101" s="24"/>
      <c r="L101" s="23"/>
      <c r="M101" s="24"/>
      <c r="N101" s="24"/>
      <c r="O101" s="24"/>
      <c r="P101" s="26"/>
      <c r="Q101" s="51"/>
      <c r="R101" s="46"/>
      <c r="S101" s="51"/>
      <c r="T101" s="46"/>
      <c r="U101" s="46"/>
      <c r="V101" s="46"/>
      <c r="W101" s="46"/>
      <c r="X101" s="46"/>
      <c r="Y101" s="46"/>
      <c r="Z101" s="46"/>
      <c r="AA101" s="46"/>
      <c r="AB101" s="46"/>
      <c r="AC101" s="46"/>
      <c r="AD101" s="46"/>
      <c r="AE101" s="46"/>
    </row>
    <row r="102" ht="15.75" customHeight="1">
      <c r="A102" s="40" t="str">
        <f t="shared" si="7"/>
        <v/>
      </c>
      <c r="B102" s="40" t="str">
        <f t="shared" si="8"/>
        <v/>
      </c>
      <c r="C102" s="24"/>
      <c r="D102" s="23"/>
      <c r="E102" s="51"/>
      <c r="F102" s="51"/>
      <c r="G102" s="24"/>
      <c r="H102" s="40"/>
      <c r="I102" s="40" t="str">
        <f t="array" ref="I102">IF(G102="","",IFERROR(INDEX('Người sử dụng'!$H$5:$H$140,MATCH(G102,'Người sử dụng'!$C$5:$C$140,0)),"Chưa có trong DS"))</f>
        <v/>
      </c>
      <c r="J102" s="24"/>
      <c r="K102" s="24"/>
      <c r="L102" s="23"/>
      <c r="M102" s="24"/>
      <c r="N102" s="24"/>
      <c r="O102" s="24"/>
      <c r="P102" s="26"/>
      <c r="Q102" s="51"/>
      <c r="R102" s="46"/>
      <c r="S102" s="51"/>
      <c r="T102" s="46"/>
      <c r="U102" s="46"/>
      <c r="V102" s="46"/>
      <c r="W102" s="46"/>
      <c r="X102" s="46"/>
      <c r="Y102" s="46"/>
      <c r="Z102" s="46"/>
      <c r="AA102" s="46"/>
      <c r="AB102" s="46"/>
      <c r="AC102" s="46"/>
      <c r="AD102" s="46"/>
      <c r="AE102" s="46"/>
    </row>
    <row r="103" ht="15.75" customHeight="1">
      <c r="A103" s="40" t="str">
        <f t="shared" si="7"/>
        <v/>
      </c>
      <c r="B103" s="40" t="str">
        <f t="shared" si="8"/>
        <v/>
      </c>
      <c r="C103" s="24"/>
      <c r="D103" s="23"/>
      <c r="E103" s="51"/>
      <c r="F103" s="51"/>
      <c r="G103" s="24"/>
      <c r="H103" s="40"/>
      <c r="I103" s="40" t="str">
        <f t="array" ref="I103">IF(G103="","",IFERROR(INDEX('Người sử dụng'!$H$5:$H$140,MATCH(G103,'Người sử dụng'!$C$5:$C$140,0)),"Chưa có trong DS"))</f>
        <v/>
      </c>
      <c r="J103" s="24"/>
      <c r="K103" s="24"/>
      <c r="L103" s="23"/>
      <c r="M103" s="24"/>
      <c r="N103" s="24"/>
      <c r="O103" s="24"/>
      <c r="P103" s="26"/>
      <c r="Q103" s="51"/>
      <c r="R103" s="46"/>
      <c r="S103" s="51"/>
      <c r="T103" s="46"/>
      <c r="U103" s="46"/>
      <c r="V103" s="46"/>
      <c r="W103" s="46"/>
      <c r="X103" s="46"/>
      <c r="Y103" s="46"/>
      <c r="Z103" s="46"/>
      <c r="AA103" s="46"/>
      <c r="AB103" s="46"/>
      <c r="AC103" s="46"/>
      <c r="AD103" s="46"/>
      <c r="AE103" s="46"/>
    </row>
    <row r="104" ht="15.75" customHeight="1">
      <c r="A104" s="40" t="str">
        <f t="shared" si="7"/>
        <v/>
      </c>
      <c r="B104" s="40" t="str">
        <f t="shared" si="8"/>
        <v/>
      </c>
      <c r="C104" s="24"/>
      <c r="D104" s="23"/>
      <c r="E104" s="51"/>
      <c r="F104" s="51"/>
      <c r="G104" s="24"/>
      <c r="H104" s="40"/>
      <c r="I104" s="40" t="str">
        <f t="array" ref="I104">IF(G104="","",IFERROR(INDEX('Người sử dụng'!$H$5:$H$140,MATCH(G104,'Người sử dụng'!$C$5:$C$140,0)),"Chưa có trong DS"))</f>
        <v/>
      </c>
      <c r="J104" s="24"/>
      <c r="K104" s="24"/>
      <c r="L104" s="23"/>
      <c r="M104" s="24"/>
      <c r="N104" s="24"/>
      <c r="O104" s="24"/>
      <c r="P104" s="26"/>
      <c r="Q104" s="51"/>
      <c r="R104" s="46"/>
      <c r="S104" s="51"/>
      <c r="T104" s="46"/>
      <c r="U104" s="46"/>
      <c r="V104" s="46"/>
      <c r="W104" s="46"/>
      <c r="X104" s="46"/>
      <c r="Y104" s="46"/>
      <c r="Z104" s="46"/>
      <c r="AA104" s="46"/>
      <c r="AB104" s="46"/>
      <c r="AC104" s="46"/>
      <c r="AD104" s="46"/>
      <c r="AE104" s="46"/>
    </row>
    <row r="105" ht="15.75" customHeight="1">
      <c r="A105" s="40" t="str">
        <f t="shared" si="7"/>
        <v/>
      </c>
      <c r="B105" s="40" t="str">
        <f t="shared" si="8"/>
        <v/>
      </c>
      <c r="C105" s="24"/>
      <c r="D105" s="23"/>
      <c r="E105" s="51"/>
      <c r="F105" s="51"/>
      <c r="G105" s="24"/>
      <c r="H105" s="40"/>
      <c r="I105" s="40" t="str">
        <f t="array" ref="I105">IF(G105="","",IFERROR(INDEX('Người sử dụng'!$H$5:$H$140,MATCH(G105,'Người sử dụng'!$C$5:$C$140,0)),"Chưa có trong DS"))</f>
        <v/>
      </c>
      <c r="J105" s="24"/>
      <c r="K105" s="24"/>
      <c r="L105" s="23"/>
      <c r="M105" s="24"/>
      <c r="N105" s="24"/>
      <c r="O105" s="24"/>
      <c r="P105" s="26"/>
      <c r="Q105" s="51"/>
      <c r="R105" s="46"/>
      <c r="S105" s="51"/>
      <c r="T105" s="46"/>
      <c r="U105" s="46"/>
      <c r="V105" s="46"/>
      <c r="W105" s="46"/>
      <c r="X105" s="46"/>
      <c r="Y105" s="46"/>
      <c r="Z105" s="46"/>
      <c r="AA105" s="46"/>
      <c r="AB105" s="46"/>
      <c r="AC105" s="46"/>
      <c r="AD105" s="46"/>
      <c r="AE105" s="46"/>
    </row>
    <row r="106" ht="15.75" customHeight="1">
      <c r="A106" s="40" t="str">
        <f t="shared" si="7"/>
        <v/>
      </c>
      <c r="B106" s="40" t="str">
        <f t="shared" si="8"/>
        <v/>
      </c>
      <c r="C106" s="24"/>
      <c r="D106" s="23"/>
      <c r="E106" s="51"/>
      <c r="F106" s="51"/>
      <c r="G106" s="24"/>
      <c r="H106" s="40"/>
      <c r="I106" s="40" t="str">
        <f t="array" ref="I106">IF(G106="","",IFERROR(INDEX('Người sử dụng'!$H$5:$H$140,MATCH(G106,'Người sử dụng'!$C$5:$C$140,0)),"Chưa có trong DS"))</f>
        <v/>
      </c>
      <c r="J106" s="24"/>
      <c r="K106" s="24"/>
      <c r="L106" s="23"/>
      <c r="M106" s="24"/>
      <c r="N106" s="24"/>
      <c r="O106" s="24"/>
      <c r="P106" s="26"/>
      <c r="Q106" s="51"/>
      <c r="R106" s="46"/>
      <c r="S106" s="51"/>
      <c r="T106" s="46"/>
      <c r="U106" s="46"/>
      <c r="V106" s="46"/>
      <c r="W106" s="46"/>
      <c r="X106" s="46"/>
      <c r="Y106" s="46"/>
      <c r="Z106" s="46"/>
      <c r="AA106" s="46"/>
      <c r="AB106" s="46"/>
      <c r="AC106" s="46"/>
      <c r="AD106" s="46"/>
      <c r="AE106" s="46"/>
    </row>
    <row r="107" ht="15.75" customHeight="1">
      <c r="A107" s="40" t="str">
        <f t="shared" si="7"/>
        <v/>
      </c>
      <c r="B107" s="40" t="str">
        <f t="shared" si="8"/>
        <v/>
      </c>
      <c r="C107" s="24"/>
      <c r="D107" s="23"/>
      <c r="E107" s="51"/>
      <c r="F107" s="51"/>
      <c r="G107" s="24"/>
      <c r="H107" s="40"/>
      <c r="I107" s="40" t="str">
        <f t="array" ref="I107">IF(G107="","",IFERROR(INDEX('Người sử dụng'!$H$5:$H$140,MATCH(G107,'Người sử dụng'!$C$5:$C$140,0)),"Chưa có trong DS"))</f>
        <v/>
      </c>
      <c r="J107" s="24"/>
      <c r="K107" s="24"/>
      <c r="L107" s="23"/>
      <c r="M107" s="24"/>
      <c r="N107" s="24"/>
      <c r="O107" s="24"/>
      <c r="P107" s="26"/>
      <c r="Q107" s="51"/>
      <c r="R107" s="46"/>
      <c r="S107" s="51"/>
      <c r="T107" s="46"/>
      <c r="U107" s="46"/>
      <c r="V107" s="46"/>
      <c r="W107" s="46"/>
      <c r="X107" s="46"/>
      <c r="Y107" s="46"/>
      <c r="Z107" s="46"/>
      <c r="AA107" s="46"/>
      <c r="AB107" s="46"/>
      <c r="AC107" s="46"/>
      <c r="AD107" s="46"/>
      <c r="AE107" s="46"/>
    </row>
    <row r="108" ht="15.75" customHeight="1">
      <c r="A108" s="40" t="str">
        <f t="shared" si="7"/>
        <v/>
      </c>
      <c r="B108" s="40" t="str">
        <f t="shared" si="8"/>
        <v/>
      </c>
      <c r="C108" s="24"/>
      <c r="D108" s="23"/>
      <c r="E108" s="51"/>
      <c r="F108" s="51"/>
      <c r="G108" s="24"/>
      <c r="H108" s="40"/>
      <c r="I108" s="40" t="str">
        <f t="array" ref="I108">IF(G108="","",IFERROR(INDEX('Người sử dụng'!$H$5:$H$140,MATCH(G108,'Người sử dụng'!$C$5:$C$140,0)),"Chưa có trong DS"))</f>
        <v/>
      </c>
      <c r="J108" s="24"/>
      <c r="K108" s="24"/>
      <c r="L108" s="23"/>
      <c r="M108" s="24"/>
      <c r="N108" s="24"/>
      <c r="O108" s="24"/>
      <c r="P108" s="26"/>
      <c r="Q108" s="51"/>
      <c r="R108" s="46"/>
      <c r="S108" s="51"/>
      <c r="T108" s="46"/>
      <c r="U108" s="46"/>
      <c r="V108" s="46"/>
      <c r="W108" s="46"/>
      <c r="X108" s="46"/>
      <c r="Y108" s="46"/>
      <c r="Z108" s="46"/>
      <c r="AA108" s="46"/>
      <c r="AB108" s="46"/>
      <c r="AC108" s="46"/>
      <c r="AD108" s="46"/>
      <c r="AE108" s="46"/>
    </row>
    <row r="109" ht="15.75" customHeight="1">
      <c r="A109" s="40" t="str">
        <f t="shared" si="7"/>
        <v/>
      </c>
      <c r="B109" s="40" t="str">
        <f t="shared" si="8"/>
        <v/>
      </c>
      <c r="C109" s="24"/>
      <c r="D109" s="23"/>
      <c r="E109" s="51"/>
      <c r="F109" s="51"/>
      <c r="G109" s="24"/>
      <c r="H109" s="40"/>
      <c r="I109" s="40" t="str">
        <f t="array" ref="I109">IF(G109="","",IFERROR(INDEX('Người sử dụng'!$H$5:$H$140,MATCH(G109,'Người sử dụng'!$C$5:$C$140,0)),"Chưa có trong DS"))</f>
        <v/>
      </c>
      <c r="J109" s="24"/>
      <c r="K109" s="24"/>
      <c r="L109" s="23"/>
      <c r="M109" s="24"/>
      <c r="N109" s="24"/>
      <c r="O109" s="24"/>
      <c r="P109" s="26"/>
      <c r="Q109" s="51"/>
      <c r="R109" s="46"/>
      <c r="S109" s="51"/>
      <c r="T109" s="46"/>
      <c r="U109" s="46"/>
      <c r="V109" s="46"/>
      <c r="W109" s="46"/>
      <c r="X109" s="46"/>
      <c r="Y109" s="46"/>
      <c r="Z109" s="46"/>
      <c r="AA109" s="46"/>
      <c r="AB109" s="46"/>
      <c r="AC109" s="46"/>
      <c r="AD109" s="46"/>
      <c r="AE109" s="46"/>
    </row>
    <row r="110" ht="15.75" customHeight="1">
      <c r="A110" s="40" t="str">
        <f t="shared" si="7"/>
        <v/>
      </c>
      <c r="B110" s="40" t="str">
        <f t="shared" si="8"/>
        <v/>
      </c>
      <c r="C110" s="24"/>
      <c r="D110" s="23"/>
      <c r="E110" s="51"/>
      <c r="F110" s="51"/>
      <c r="G110" s="24"/>
      <c r="H110" s="40"/>
      <c r="I110" s="40" t="str">
        <f t="array" ref="I110">IF(G110="","",IFERROR(INDEX('Người sử dụng'!$H$5:$H$140,MATCH(G110,'Người sử dụng'!$C$5:$C$140,0)),"Chưa có trong DS"))</f>
        <v/>
      </c>
      <c r="J110" s="24"/>
      <c r="K110" s="24"/>
      <c r="L110" s="23"/>
      <c r="M110" s="24"/>
      <c r="N110" s="24"/>
      <c r="O110" s="24"/>
      <c r="P110" s="26"/>
      <c r="Q110" s="51"/>
      <c r="R110" s="46"/>
      <c r="S110" s="51"/>
      <c r="T110" s="46"/>
      <c r="U110" s="46"/>
      <c r="V110" s="46"/>
      <c r="W110" s="46"/>
      <c r="X110" s="46"/>
      <c r="Y110" s="46"/>
      <c r="Z110" s="46"/>
      <c r="AA110" s="46"/>
      <c r="AB110" s="46"/>
      <c r="AC110" s="46"/>
      <c r="AD110" s="46"/>
      <c r="AE110" s="46"/>
    </row>
    <row r="111" ht="15.75" customHeight="1">
      <c r="A111" s="40" t="str">
        <f t="shared" si="7"/>
        <v/>
      </c>
      <c r="B111" s="40" t="str">
        <f t="shared" si="8"/>
        <v/>
      </c>
      <c r="C111" s="24"/>
      <c r="D111" s="23"/>
      <c r="E111" s="51"/>
      <c r="F111" s="51"/>
      <c r="G111" s="24"/>
      <c r="H111" s="40"/>
      <c r="I111" s="40" t="str">
        <f t="array" ref="I111">IF(G111="","",IFERROR(INDEX('Người sử dụng'!$H$5:$H$140,MATCH(G111,'Người sử dụng'!$C$5:$C$140,0)),"Chưa có trong DS"))</f>
        <v/>
      </c>
      <c r="J111" s="24"/>
      <c r="K111" s="24"/>
      <c r="L111" s="23"/>
      <c r="M111" s="24"/>
      <c r="N111" s="24"/>
      <c r="O111" s="24"/>
      <c r="P111" s="26"/>
      <c r="Q111" s="51"/>
      <c r="R111" s="46"/>
      <c r="S111" s="51"/>
      <c r="T111" s="46"/>
      <c r="U111" s="46"/>
      <c r="V111" s="46"/>
      <c r="W111" s="46"/>
      <c r="X111" s="46"/>
      <c r="Y111" s="46"/>
      <c r="Z111" s="46"/>
      <c r="AA111" s="46"/>
      <c r="AB111" s="46"/>
      <c r="AC111" s="46"/>
      <c r="AD111" s="46"/>
      <c r="AE111" s="46"/>
    </row>
    <row r="112" ht="15.75" customHeight="1">
      <c r="A112" s="40" t="str">
        <f t="shared" si="7"/>
        <v/>
      </c>
      <c r="B112" s="40" t="str">
        <f t="shared" si="8"/>
        <v/>
      </c>
      <c r="C112" s="24"/>
      <c r="D112" s="23"/>
      <c r="E112" s="51"/>
      <c r="F112" s="51"/>
      <c r="G112" s="24"/>
      <c r="H112" s="40"/>
      <c r="I112" s="40" t="str">
        <f t="array" ref="I112">IF(G112="","",IFERROR(INDEX('Người sử dụng'!$H$5:$H$140,MATCH(G112,'Người sử dụng'!$C$5:$C$140,0)),"Chưa có trong DS"))</f>
        <v/>
      </c>
      <c r="J112" s="24"/>
      <c r="K112" s="24"/>
      <c r="L112" s="23"/>
      <c r="M112" s="24"/>
      <c r="N112" s="24"/>
      <c r="O112" s="24"/>
      <c r="P112" s="26"/>
      <c r="Q112" s="51"/>
      <c r="R112" s="46"/>
      <c r="S112" s="51"/>
      <c r="T112" s="46"/>
      <c r="U112" s="46"/>
      <c r="V112" s="46"/>
      <c r="W112" s="46"/>
      <c r="X112" s="46"/>
      <c r="Y112" s="46"/>
      <c r="Z112" s="46"/>
      <c r="AA112" s="46"/>
      <c r="AB112" s="46"/>
      <c r="AC112" s="46"/>
      <c r="AD112" s="46"/>
      <c r="AE112" s="46"/>
    </row>
    <row r="113" ht="15.75" customHeight="1">
      <c r="A113" s="40" t="str">
        <f t="shared" si="7"/>
        <v/>
      </c>
      <c r="B113" s="40" t="str">
        <f t="shared" si="8"/>
        <v/>
      </c>
      <c r="C113" s="24"/>
      <c r="D113" s="23"/>
      <c r="E113" s="51"/>
      <c r="F113" s="51"/>
      <c r="G113" s="24"/>
      <c r="H113" s="40"/>
      <c r="I113" s="40" t="str">
        <f t="array" ref="I113">IF(G113="","",IFERROR(INDEX('Người sử dụng'!$H$5:$H$140,MATCH(G113,'Người sử dụng'!$C$5:$C$140,0)),"Chưa có trong DS"))</f>
        <v/>
      </c>
      <c r="J113" s="24"/>
      <c r="K113" s="24"/>
      <c r="L113" s="23"/>
      <c r="M113" s="24"/>
      <c r="N113" s="24"/>
      <c r="O113" s="24"/>
      <c r="P113" s="26"/>
      <c r="Q113" s="51"/>
      <c r="R113" s="46"/>
      <c r="S113" s="51"/>
      <c r="T113" s="46"/>
      <c r="U113" s="46"/>
      <c r="V113" s="46"/>
      <c r="W113" s="46"/>
      <c r="X113" s="46"/>
      <c r="Y113" s="46"/>
      <c r="Z113" s="46"/>
      <c r="AA113" s="46"/>
      <c r="AB113" s="46"/>
      <c r="AC113" s="46"/>
      <c r="AD113" s="46"/>
      <c r="AE113" s="46"/>
    </row>
    <row r="114" ht="15.75" customHeight="1">
      <c r="A114" s="40" t="str">
        <f t="shared" si="7"/>
        <v/>
      </c>
      <c r="B114" s="40" t="str">
        <f t="shared" si="8"/>
        <v/>
      </c>
      <c r="C114" s="24"/>
      <c r="D114" s="23"/>
      <c r="E114" s="51"/>
      <c r="F114" s="51"/>
      <c r="G114" s="24"/>
      <c r="H114" s="40"/>
      <c r="I114" s="40" t="str">
        <f t="array" ref="I114">IF(G114="","",IFERROR(INDEX('Người sử dụng'!$H$5:$H$140,MATCH(G114,'Người sử dụng'!$C$5:$C$140,0)),"Chưa có trong DS"))</f>
        <v/>
      </c>
      <c r="J114" s="24"/>
      <c r="K114" s="24"/>
      <c r="L114" s="23"/>
      <c r="M114" s="24"/>
      <c r="N114" s="24"/>
      <c r="O114" s="24"/>
      <c r="P114" s="26"/>
      <c r="Q114" s="51"/>
      <c r="R114" s="46"/>
      <c r="S114" s="51"/>
      <c r="T114" s="46"/>
      <c r="U114" s="46"/>
      <c r="V114" s="46"/>
      <c r="W114" s="46"/>
      <c r="X114" s="46"/>
      <c r="Y114" s="46"/>
      <c r="Z114" s="46"/>
      <c r="AA114" s="46"/>
      <c r="AB114" s="46"/>
      <c r="AC114" s="46"/>
      <c r="AD114" s="46"/>
      <c r="AE114" s="46"/>
    </row>
    <row r="115" ht="15.75" customHeight="1">
      <c r="A115" s="40" t="str">
        <f t="shared" si="7"/>
        <v/>
      </c>
      <c r="B115" s="40" t="str">
        <f t="shared" si="8"/>
        <v/>
      </c>
      <c r="C115" s="24"/>
      <c r="D115" s="23"/>
      <c r="E115" s="51"/>
      <c r="F115" s="51"/>
      <c r="G115" s="24"/>
      <c r="H115" s="40"/>
      <c r="I115" s="40" t="str">
        <f t="array" ref="I115">IF(G115="","",IFERROR(INDEX('Người sử dụng'!$H$5:$H$140,MATCH(G115,'Người sử dụng'!$C$5:$C$140,0)),"Chưa có trong DS"))</f>
        <v/>
      </c>
      <c r="J115" s="24"/>
      <c r="K115" s="24"/>
      <c r="L115" s="23"/>
      <c r="M115" s="24"/>
      <c r="N115" s="24"/>
      <c r="O115" s="24"/>
      <c r="P115" s="26"/>
      <c r="Q115" s="51"/>
      <c r="R115" s="46"/>
      <c r="S115" s="51"/>
      <c r="T115" s="46"/>
      <c r="U115" s="46"/>
      <c r="V115" s="46"/>
      <c r="W115" s="46"/>
      <c r="X115" s="46"/>
      <c r="Y115" s="46"/>
      <c r="Z115" s="46"/>
      <c r="AA115" s="46"/>
      <c r="AB115" s="46"/>
      <c r="AC115" s="46"/>
      <c r="AD115" s="46"/>
      <c r="AE115" s="46"/>
    </row>
    <row r="116" ht="15.75" customHeight="1">
      <c r="A116" s="40" t="str">
        <f t="shared" si="7"/>
        <v/>
      </c>
      <c r="B116" s="40" t="str">
        <f t="shared" si="8"/>
        <v/>
      </c>
      <c r="C116" s="24"/>
      <c r="D116" s="23"/>
      <c r="E116" s="51"/>
      <c r="F116" s="51"/>
      <c r="G116" s="24"/>
      <c r="H116" s="40"/>
      <c r="I116" s="40" t="str">
        <f t="array" ref="I116">IF(G116="","",IFERROR(INDEX('Người sử dụng'!$H$5:$H$140,MATCH(G116,'Người sử dụng'!$C$5:$C$140,0)),"Chưa có trong DS"))</f>
        <v/>
      </c>
      <c r="J116" s="24"/>
      <c r="K116" s="24"/>
      <c r="L116" s="23"/>
      <c r="M116" s="24"/>
      <c r="N116" s="24"/>
      <c r="O116" s="24"/>
      <c r="P116" s="26"/>
      <c r="Q116" s="51"/>
      <c r="R116" s="46"/>
      <c r="S116" s="51"/>
      <c r="T116" s="46"/>
      <c r="U116" s="46"/>
      <c r="V116" s="46"/>
      <c r="W116" s="46"/>
      <c r="X116" s="46"/>
      <c r="Y116" s="46"/>
      <c r="Z116" s="46"/>
      <c r="AA116" s="46"/>
      <c r="AB116" s="46"/>
      <c r="AC116" s="46"/>
      <c r="AD116" s="46"/>
      <c r="AE116" s="46"/>
    </row>
    <row r="117" ht="15.75" customHeight="1">
      <c r="A117" s="40" t="str">
        <f t="shared" si="7"/>
        <v/>
      </c>
      <c r="B117" s="40" t="str">
        <f t="shared" si="8"/>
        <v/>
      </c>
      <c r="C117" s="24"/>
      <c r="D117" s="23"/>
      <c r="E117" s="51"/>
      <c r="F117" s="51"/>
      <c r="G117" s="24"/>
      <c r="H117" s="40"/>
      <c r="I117" s="40" t="str">
        <f t="array" ref="I117">IF(G117="","",IFERROR(INDEX('Người sử dụng'!$H$5:$H$140,MATCH(G117,'Người sử dụng'!$C$5:$C$140,0)),"Chưa có trong DS"))</f>
        <v/>
      </c>
      <c r="J117" s="24"/>
      <c r="K117" s="24"/>
      <c r="L117" s="23"/>
      <c r="M117" s="24"/>
      <c r="N117" s="24"/>
      <c r="O117" s="24"/>
      <c r="P117" s="26"/>
      <c r="Q117" s="51"/>
      <c r="R117" s="46"/>
      <c r="S117" s="51"/>
      <c r="T117" s="46"/>
      <c r="U117" s="46"/>
      <c r="V117" s="46"/>
      <c r="W117" s="46"/>
      <c r="X117" s="46"/>
      <c r="Y117" s="46"/>
      <c r="Z117" s="46"/>
      <c r="AA117" s="46"/>
      <c r="AB117" s="46"/>
      <c r="AC117" s="46"/>
      <c r="AD117" s="46"/>
      <c r="AE117" s="46"/>
    </row>
    <row r="118" ht="15.75" customHeight="1">
      <c r="A118" s="40" t="str">
        <f t="shared" si="7"/>
        <v/>
      </c>
      <c r="B118" s="40" t="str">
        <f t="shared" si="8"/>
        <v/>
      </c>
      <c r="C118" s="24"/>
      <c r="D118" s="23"/>
      <c r="E118" s="51"/>
      <c r="F118" s="51"/>
      <c r="G118" s="24"/>
      <c r="H118" s="40"/>
      <c r="I118" s="40" t="str">
        <f t="array" ref="I118">IF(G118="","",IFERROR(INDEX('Người sử dụng'!$H$5:$H$140,MATCH(G118,'Người sử dụng'!$C$5:$C$140,0)),"Chưa có trong DS"))</f>
        <v/>
      </c>
      <c r="J118" s="24"/>
      <c r="K118" s="24"/>
      <c r="L118" s="23"/>
      <c r="M118" s="24"/>
      <c r="N118" s="24"/>
      <c r="O118" s="24"/>
      <c r="P118" s="26"/>
      <c r="Q118" s="51"/>
      <c r="R118" s="46"/>
      <c r="S118" s="51"/>
      <c r="T118" s="46"/>
      <c r="U118" s="46"/>
      <c r="V118" s="46"/>
      <c r="W118" s="46"/>
      <c r="X118" s="46"/>
      <c r="Y118" s="46"/>
      <c r="Z118" s="46"/>
      <c r="AA118" s="46"/>
      <c r="AB118" s="46"/>
      <c r="AC118" s="46"/>
      <c r="AD118" s="46"/>
      <c r="AE118" s="46"/>
    </row>
    <row r="119" ht="15.75" customHeight="1">
      <c r="A119" s="40" t="str">
        <f t="shared" si="7"/>
        <v/>
      </c>
      <c r="B119" s="40" t="str">
        <f t="shared" si="8"/>
        <v/>
      </c>
      <c r="C119" s="24"/>
      <c r="D119" s="23"/>
      <c r="E119" s="51"/>
      <c r="F119" s="51"/>
      <c r="G119" s="24"/>
      <c r="H119" s="40"/>
      <c r="I119" s="40" t="str">
        <f t="array" ref="I119">IF(G119="","",IFERROR(INDEX('Người sử dụng'!$H$5:$H$140,MATCH(G119,'Người sử dụng'!$C$5:$C$140,0)),"Chưa có trong DS"))</f>
        <v/>
      </c>
      <c r="J119" s="24"/>
      <c r="K119" s="24"/>
      <c r="L119" s="23"/>
      <c r="M119" s="24"/>
      <c r="N119" s="24"/>
      <c r="O119" s="24"/>
      <c r="P119" s="26"/>
      <c r="Q119" s="51"/>
      <c r="R119" s="46"/>
      <c r="S119" s="51"/>
      <c r="T119" s="46"/>
      <c r="U119" s="46"/>
      <c r="V119" s="46"/>
      <c r="W119" s="46"/>
      <c r="X119" s="46"/>
      <c r="Y119" s="46"/>
      <c r="Z119" s="46"/>
      <c r="AA119" s="46"/>
      <c r="AB119" s="46"/>
      <c r="AC119" s="46"/>
      <c r="AD119" s="46"/>
      <c r="AE119" s="46"/>
    </row>
    <row r="120" ht="15.75" customHeight="1">
      <c r="A120" s="40" t="str">
        <f t="shared" si="7"/>
        <v/>
      </c>
      <c r="B120" s="40" t="str">
        <f t="shared" si="8"/>
        <v/>
      </c>
      <c r="C120" s="24"/>
      <c r="D120" s="23"/>
      <c r="E120" s="51"/>
      <c r="F120" s="51"/>
      <c r="G120" s="24"/>
      <c r="H120" s="40"/>
      <c r="I120" s="40" t="str">
        <f t="array" ref="I120">IF(G120="","",IFERROR(INDEX('Người sử dụng'!$H$5:$H$140,MATCH(G120,'Người sử dụng'!$C$5:$C$140,0)),"Chưa có trong DS"))</f>
        <v/>
      </c>
      <c r="J120" s="24"/>
      <c r="K120" s="24"/>
      <c r="L120" s="23"/>
      <c r="M120" s="24"/>
      <c r="N120" s="24"/>
      <c r="O120" s="24"/>
      <c r="P120" s="26"/>
      <c r="Q120" s="51"/>
      <c r="R120" s="46"/>
      <c r="S120" s="51"/>
      <c r="T120" s="46"/>
      <c r="U120" s="46"/>
      <c r="V120" s="46"/>
      <c r="W120" s="46"/>
      <c r="X120" s="46"/>
      <c r="Y120" s="46"/>
      <c r="Z120" s="46"/>
      <c r="AA120" s="46"/>
      <c r="AB120" s="46"/>
      <c r="AC120" s="46"/>
      <c r="AD120" s="46"/>
      <c r="AE120" s="46"/>
    </row>
    <row r="121" ht="15.75" customHeight="1">
      <c r="A121" s="40" t="str">
        <f t="shared" si="7"/>
        <v/>
      </c>
      <c r="B121" s="40" t="str">
        <f t="shared" si="8"/>
        <v/>
      </c>
      <c r="C121" s="24"/>
      <c r="D121" s="23"/>
      <c r="E121" s="51"/>
      <c r="F121" s="51"/>
      <c r="G121" s="24"/>
      <c r="H121" s="40"/>
      <c r="I121" s="40" t="str">
        <f t="array" ref="I121">IF(G121="","",IFERROR(INDEX('Người sử dụng'!$H$5:$H$140,MATCH(G121,'Người sử dụng'!$C$5:$C$140,0)),"Chưa có trong DS"))</f>
        <v/>
      </c>
      <c r="J121" s="24"/>
      <c r="K121" s="24"/>
      <c r="L121" s="23"/>
      <c r="M121" s="24"/>
      <c r="N121" s="24"/>
      <c r="O121" s="24"/>
      <c r="P121" s="26"/>
      <c r="Q121" s="51"/>
      <c r="R121" s="46"/>
      <c r="S121" s="51"/>
      <c r="T121" s="46"/>
      <c r="U121" s="46"/>
      <c r="V121" s="46"/>
      <c r="W121" s="46"/>
      <c r="X121" s="46"/>
      <c r="Y121" s="46"/>
      <c r="Z121" s="46"/>
      <c r="AA121" s="46"/>
      <c r="AB121" s="46"/>
      <c r="AC121" s="46"/>
      <c r="AD121" s="46"/>
      <c r="AE121" s="46"/>
    </row>
    <row r="122" ht="15.75" customHeight="1">
      <c r="A122" s="40" t="str">
        <f t="shared" si="7"/>
        <v/>
      </c>
      <c r="B122" s="40" t="str">
        <f t="shared" si="8"/>
        <v/>
      </c>
      <c r="C122" s="24"/>
      <c r="D122" s="23"/>
      <c r="E122" s="51"/>
      <c r="F122" s="51"/>
      <c r="G122" s="24"/>
      <c r="H122" s="40"/>
      <c r="I122" s="40" t="str">
        <f t="array" ref="I122">IF(G122="","",IFERROR(INDEX('Người sử dụng'!$H$5:$H$140,MATCH(G122,'Người sử dụng'!$C$5:$C$140,0)),"Chưa có trong DS"))</f>
        <v/>
      </c>
      <c r="J122" s="24"/>
      <c r="K122" s="24"/>
      <c r="L122" s="23"/>
      <c r="M122" s="24"/>
      <c r="N122" s="24"/>
      <c r="O122" s="24"/>
      <c r="P122" s="26"/>
      <c r="Q122" s="51"/>
      <c r="R122" s="46"/>
      <c r="S122" s="51"/>
      <c r="T122" s="46"/>
      <c r="U122" s="46"/>
      <c r="V122" s="46"/>
      <c r="W122" s="46"/>
      <c r="X122" s="46"/>
      <c r="Y122" s="46"/>
      <c r="Z122" s="46"/>
      <c r="AA122" s="46"/>
      <c r="AB122" s="46"/>
      <c r="AC122" s="46"/>
      <c r="AD122" s="46"/>
      <c r="AE122" s="46"/>
    </row>
    <row r="123" ht="15.75" customHeight="1">
      <c r="A123" s="40" t="str">
        <f t="shared" si="7"/>
        <v/>
      </c>
      <c r="B123" s="40" t="str">
        <f t="shared" si="8"/>
        <v/>
      </c>
      <c r="C123" s="24"/>
      <c r="D123" s="23"/>
      <c r="E123" s="51"/>
      <c r="F123" s="51"/>
      <c r="G123" s="24"/>
      <c r="H123" s="40"/>
      <c r="I123" s="40" t="str">
        <f t="array" ref="I123">IF(G123="","",IFERROR(INDEX('Người sử dụng'!$H$5:$H$140,MATCH(G123,'Người sử dụng'!$C$5:$C$140,0)),"Chưa có trong DS"))</f>
        <v/>
      </c>
      <c r="J123" s="24"/>
      <c r="K123" s="24"/>
      <c r="L123" s="23"/>
      <c r="M123" s="24"/>
      <c r="N123" s="24"/>
      <c r="O123" s="24"/>
      <c r="P123" s="26"/>
      <c r="Q123" s="51"/>
      <c r="R123" s="46"/>
      <c r="S123" s="51"/>
      <c r="T123" s="46"/>
      <c r="U123" s="46"/>
      <c r="V123" s="46"/>
      <c r="W123" s="46"/>
      <c r="X123" s="46"/>
      <c r="Y123" s="46"/>
      <c r="Z123" s="46"/>
      <c r="AA123" s="46"/>
      <c r="AB123" s="46"/>
      <c r="AC123" s="46"/>
      <c r="AD123" s="46"/>
      <c r="AE123" s="46"/>
    </row>
    <row r="124" ht="15.75" customHeight="1">
      <c r="A124" s="40" t="str">
        <f t="shared" si="7"/>
        <v/>
      </c>
      <c r="B124" s="40" t="str">
        <f t="shared" si="8"/>
        <v/>
      </c>
      <c r="C124" s="24"/>
      <c r="D124" s="23"/>
      <c r="E124" s="51"/>
      <c r="F124" s="51"/>
      <c r="G124" s="24"/>
      <c r="H124" s="40"/>
      <c r="I124" s="40" t="str">
        <f t="array" ref="I124">IF(G124="","",IFERROR(INDEX('Người sử dụng'!$H$5:$H$140,MATCH(G124,'Người sử dụng'!$C$5:$C$140,0)),"Chưa có trong DS"))</f>
        <v/>
      </c>
      <c r="J124" s="24"/>
      <c r="K124" s="24"/>
      <c r="L124" s="23"/>
      <c r="M124" s="24"/>
      <c r="N124" s="24"/>
      <c r="O124" s="24"/>
      <c r="P124" s="26"/>
      <c r="Q124" s="51"/>
      <c r="R124" s="46"/>
      <c r="S124" s="51"/>
      <c r="T124" s="46"/>
      <c r="U124" s="46"/>
      <c r="V124" s="46"/>
      <c r="W124" s="46"/>
      <c r="X124" s="46"/>
      <c r="Y124" s="46"/>
      <c r="Z124" s="46"/>
      <c r="AA124" s="46"/>
      <c r="AB124" s="46"/>
      <c r="AC124" s="46"/>
      <c r="AD124" s="46"/>
      <c r="AE124" s="46"/>
    </row>
    <row r="125" ht="15.75" customHeight="1">
      <c r="A125" s="40" t="str">
        <f t="shared" si="7"/>
        <v/>
      </c>
      <c r="B125" s="40" t="str">
        <f t="shared" si="8"/>
        <v/>
      </c>
      <c r="C125" s="24"/>
      <c r="D125" s="23"/>
      <c r="E125" s="51"/>
      <c r="F125" s="51"/>
      <c r="G125" s="24"/>
      <c r="H125" s="40"/>
      <c r="I125" s="40" t="str">
        <f t="array" ref="I125">IF(G125="","",IFERROR(INDEX('Người sử dụng'!$H$5:$H$140,MATCH(G125,'Người sử dụng'!$C$5:$C$140,0)),"Chưa có trong DS"))</f>
        <v/>
      </c>
      <c r="J125" s="24"/>
      <c r="K125" s="24"/>
      <c r="L125" s="23"/>
      <c r="M125" s="24"/>
      <c r="N125" s="24"/>
      <c r="O125" s="24"/>
      <c r="P125" s="26"/>
      <c r="Q125" s="51"/>
      <c r="R125" s="46"/>
      <c r="S125" s="51"/>
      <c r="T125" s="46"/>
      <c r="U125" s="46"/>
      <c r="V125" s="46"/>
      <c r="W125" s="46"/>
      <c r="X125" s="46"/>
      <c r="Y125" s="46"/>
      <c r="Z125" s="46"/>
      <c r="AA125" s="46"/>
      <c r="AB125" s="46"/>
      <c r="AC125" s="46"/>
      <c r="AD125" s="46"/>
      <c r="AE125" s="46"/>
    </row>
    <row r="126" ht="15.75" customHeight="1">
      <c r="A126" s="40" t="str">
        <f t="shared" si="7"/>
        <v/>
      </c>
      <c r="B126" s="40" t="str">
        <f t="shared" si="8"/>
        <v/>
      </c>
      <c r="C126" s="24"/>
      <c r="D126" s="23"/>
      <c r="E126" s="51"/>
      <c r="F126" s="51"/>
      <c r="G126" s="24"/>
      <c r="H126" s="40"/>
      <c r="I126" s="40" t="str">
        <f t="array" ref="I126">IF(G126="","",IFERROR(INDEX('Người sử dụng'!$H$5:$H$140,MATCH(G126,'Người sử dụng'!$C$5:$C$140,0)),"Chưa có trong DS"))</f>
        <v/>
      </c>
      <c r="J126" s="24"/>
      <c r="K126" s="24"/>
      <c r="L126" s="23"/>
      <c r="M126" s="24"/>
      <c r="N126" s="24"/>
      <c r="O126" s="24"/>
      <c r="P126" s="26"/>
      <c r="Q126" s="51"/>
      <c r="R126" s="46"/>
      <c r="S126" s="51"/>
      <c r="T126" s="46"/>
      <c r="U126" s="46"/>
      <c r="V126" s="46"/>
      <c r="W126" s="46"/>
      <c r="X126" s="46"/>
      <c r="Y126" s="46"/>
      <c r="Z126" s="46"/>
      <c r="AA126" s="46"/>
      <c r="AB126" s="46"/>
      <c r="AC126" s="46"/>
      <c r="AD126" s="46"/>
      <c r="AE126" s="46"/>
    </row>
    <row r="127" ht="15.75" customHeight="1">
      <c r="A127" s="40" t="str">
        <f t="shared" si="7"/>
        <v/>
      </c>
      <c r="B127" s="40" t="str">
        <f t="shared" si="8"/>
        <v/>
      </c>
      <c r="C127" s="24"/>
      <c r="D127" s="23"/>
      <c r="E127" s="51"/>
      <c r="F127" s="51"/>
      <c r="G127" s="24"/>
      <c r="H127" s="40"/>
      <c r="I127" s="40" t="str">
        <f t="array" ref="I127">IF(G127="","",IFERROR(INDEX('Người sử dụng'!$H$5:$H$140,MATCH(G127,'Người sử dụng'!$C$5:$C$140,0)),"Chưa có trong DS"))</f>
        <v/>
      </c>
      <c r="J127" s="24"/>
      <c r="K127" s="24"/>
      <c r="L127" s="23"/>
      <c r="M127" s="24"/>
      <c r="N127" s="24"/>
      <c r="O127" s="24"/>
      <c r="P127" s="26"/>
      <c r="Q127" s="51"/>
      <c r="R127" s="46"/>
      <c r="S127" s="51"/>
      <c r="T127" s="46"/>
      <c r="U127" s="46"/>
      <c r="V127" s="46"/>
      <c r="W127" s="46"/>
      <c r="X127" s="46"/>
      <c r="Y127" s="46"/>
      <c r="Z127" s="46"/>
      <c r="AA127" s="46"/>
      <c r="AB127" s="46"/>
      <c r="AC127" s="46"/>
      <c r="AD127" s="46"/>
      <c r="AE127" s="46"/>
    </row>
    <row r="128" ht="15.75" customHeight="1">
      <c r="A128" s="40" t="str">
        <f t="shared" si="7"/>
        <v/>
      </c>
      <c r="B128" s="40" t="str">
        <f t="shared" si="8"/>
        <v/>
      </c>
      <c r="C128" s="24"/>
      <c r="D128" s="23"/>
      <c r="E128" s="51"/>
      <c r="F128" s="51"/>
      <c r="G128" s="24"/>
      <c r="H128" s="40"/>
      <c r="I128" s="40" t="str">
        <f t="array" ref="I128">IF(G128="","",IFERROR(INDEX('Người sử dụng'!$H$5:$H$140,MATCH(G128,'Người sử dụng'!$C$5:$C$140,0)),"Chưa có trong DS"))</f>
        <v/>
      </c>
      <c r="J128" s="24"/>
      <c r="K128" s="24"/>
      <c r="L128" s="23"/>
      <c r="M128" s="24"/>
      <c r="N128" s="24"/>
      <c r="O128" s="24"/>
      <c r="P128" s="26"/>
      <c r="Q128" s="51"/>
      <c r="R128" s="46"/>
      <c r="S128" s="51"/>
      <c r="T128" s="46"/>
      <c r="U128" s="46"/>
      <c r="V128" s="46"/>
      <c r="W128" s="46"/>
      <c r="X128" s="46"/>
      <c r="Y128" s="46"/>
      <c r="Z128" s="46"/>
      <c r="AA128" s="46"/>
      <c r="AB128" s="46"/>
      <c r="AC128" s="46"/>
      <c r="AD128" s="46"/>
      <c r="AE128" s="46"/>
    </row>
    <row r="129" ht="15.75" customHeight="1">
      <c r="A129" s="40" t="str">
        <f t="shared" si="7"/>
        <v/>
      </c>
      <c r="B129" s="40" t="str">
        <f t="shared" si="8"/>
        <v/>
      </c>
      <c r="C129" s="24"/>
      <c r="D129" s="23"/>
      <c r="E129" s="51"/>
      <c r="F129" s="51"/>
      <c r="G129" s="24"/>
      <c r="H129" s="40"/>
      <c r="I129" s="40" t="str">
        <f t="array" ref="I129">IF(G129="","",IFERROR(INDEX('Người sử dụng'!$H$5:$H$140,MATCH(G129,'Người sử dụng'!$C$5:$C$140,0)),"Chưa có trong DS"))</f>
        <v/>
      </c>
      <c r="J129" s="24"/>
      <c r="K129" s="24"/>
      <c r="L129" s="23"/>
      <c r="M129" s="24"/>
      <c r="N129" s="24"/>
      <c r="O129" s="24"/>
      <c r="P129" s="26"/>
      <c r="Q129" s="51"/>
      <c r="R129" s="46"/>
      <c r="S129" s="51"/>
      <c r="T129" s="46"/>
      <c r="U129" s="46"/>
      <c r="V129" s="46"/>
      <c r="W129" s="46"/>
      <c r="X129" s="46"/>
      <c r="Y129" s="46"/>
      <c r="Z129" s="46"/>
      <c r="AA129" s="46"/>
      <c r="AB129" s="46"/>
      <c r="AC129" s="46"/>
      <c r="AD129" s="46"/>
      <c r="AE129" s="46"/>
    </row>
    <row r="130" ht="15.75" customHeight="1">
      <c r="A130" s="40" t="str">
        <f t="shared" si="7"/>
        <v/>
      </c>
      <c r="B130" s="40" t="str">
        <f t="shared" si="8"/>
        <v/>
      </c>
      <c r="C130" s="24"/>
      <c r="D130" s="23"/>
      <c r="E130" s="51"/>
      <c r="F130" s="51"/>
      <c r="G130" s="24"/>
      <c r="H130" s="40"/>
      <c r="I130" s="40" t="str">
        <f t="array" ref="I130">IF(G130="","",IFERROR(INDEX('Người sử dụng'!$H$5:$H$140,MATCH(G130,'Người sử dụng'!$C$5:$C$140,0)),"Chưa có trong DS"))</f>
        <v/>
      </c>
      <c r="J130" s="24"/>
      <c r="K130" s="24"/>
      <c r="L130" s="23"/>
      <c r="M130" s="24"/>
      <c r="N130" s="24"/>
      <c r="O130" s="24"/>
      <c r="P130" s="26"/>
      <c r="Q130" s="51"/>
      <c r="R130" s="46"/>
      <c r="S130" s="51"/>
      <c r="T130" s="46"/>
      <c r="U130" s="46"/>
      <c r="V130" s="46"/>
      <c r="W130" s="46"/>
      <c r="X130" s="46"/>
      <c r="Y130" s="46"/>
      <c r="Z130" s="46"/>
      <c r="AA130" s="46"/>
      <c r="AB130" s="46"/>
      <c r="AC130" s="46"/>
      <c r="AD130" s="46"/>
      <c r="AE130" s="46"/>
    </row>
    <row r="131" ht="15.75" customHeight="1">
      <c r="A131" s="40" t="str">
        <f t="shared" si="7"/>
        <v/>
      </c>
      <c r="B131" s="40" t="str">
        <f t="shared" si="8"/>
        <v/>
      </c>
      <c r="C131" s="24"/>
      <c r="D131" s="23"/>
      <c r="E131" s="51"/>
      <c r="F131" s="51"/>
      <c r="G131" s="24"/>
      <c r="H131" s="40"/>
      <c r="I131" s="40" t="str">
        <f t="array" ref="I131">IF(G131="","",IFERROR(INDEX('Người sử dụng'!$H$5:$H$140,MATCH(G131,'Người sử dụng'!$C$5:$C$140,0)),"Chưa có trong DS"))</f>
        <v/>
      </c>
      <c r="J131" s="24"/>
      <c r="K131" s="24"/>
      <c r="L131" s="23"/>
      <c r="M131" s="24"/>
      <c r="N131" s="24"/>
      <c r="O131" s="24"/>
      <c r="P131" s="26"/>
      <c r="Q131" s="51"/>
      <c r="R131" s="46"/>
      <c r="S131" s="51"/>
      <c r="T131" s="46"/>
      <c r="U131" s="46"/>
      <c r="V131" s="46"/>
      <c r="W131" s="46"/>
      <c r="X131" s="46"/>
      <c r="Y131" s="46"/>
      <c r="Z131" s="46"/>
      <c r="AA131" s="46"/>
      <c r="AB131" s="46"/>
      <c r="AC131" s="46"/>
      <c r="AD131" s="46"/>
      <c r="AE131" s="46"/>
    </row>
    <row r="132" ht="15.75" customHeight="1">
      <c r="A132" s="40" t="str">
        <f t="shared" si="7"/>
        <v/>
      </c>
      <c r="B132" s="40" t="str">
        <f t="shared" si="8"/>
        <v/>
      </c>
      <c r="C132" s="24"/>
      <c r="D132" s="23"/>
      <c r="E132" s="51"/>
      <c r="F132" s="51"/>
      <c r="G132" s="24"/>
      <c r="H132" s="40"/>
      <c r="I132" s="40" t="str">
        <f t="array" ref="I132">IF(G132="","",IFERROR(INDEX('Người sử dụng'!$H$5:$H$140,MATCH(G132,'Người sử dụng'!$C$5:$C$140,0)),"Chưa có trong DS"))</f>
        <v/>
      </c>
      <c r="J132" s="24"/>
      <c r="K132" s="24"/>
      <c r="L132" s="23"/>
      <c r="M132" s="24"/>
      <c r="N132" s="24"/>
      <c r="O132" s="24"/>
      <c r="P132" s="26"/>
      <c r="Q132" s="51"/>
      <c r="R132" s="46"/>
      <c r="S132" s="51"/>
      <c r="T132" s="46"/>
      <c r="U132" s="46"/>
      <c r="V132" s="46"/>
      <c r="W132" s="46"/>
      <c r="X132" s="46"/>
      <c r="Y132" s="46"/>
      <c r="Z132" s="46"/>
      <c r="AA132" s="46"/>
      <c r="AB132" s="46"/>
      <c r="AC132" s="46"/>
      <c r="AD132" s="46"/>
      <c r="AE132" s="46"/>
    </row>
    <row r="133" ht="15.75" customHeight="1">
      <c r="A133" s="40" t="str">
        <f t="shared" si="7"/>
        <v/>
      </c>
      <c r="B133" s="40" t="str">
        <f t="shared" si="8"/>
        <v/>
      </c>
      <c r="C133" s="24"/>
      <c r="D133" s="23"/>
      <c r="E133" s="51"/>
      <c r="F133" s="51"/>
      <c r="G133" s="24"/>
      <c r="H133" s="40"/>
      <c r="I133" s="40" t="str">
        <f t="array" ref="I133">IF(G133="","",IFERROR(INDEX('Người sử dụng'!$H$5:$H$140,MATCH(G133,'Người sử dụng'!$C$5:$C$140,0)),"Chưa có trong DS"))</f>
        <v/>
      </c>
      <c r="J133" s="24"/>
      <c r="K133" s="24"/>
      <c r="L133" s="23"/>
      <c r="M133" s="24"/>
      <c r="N133" s="24"/>
      <c r="O133" s="24"/>
      <c r="P133" s="26"/>
      <c r="Q133" s="51"/>
      <c r="R133" s="46"/>
      <c r="S133" s="51"/>
      <c r="T133" s="46"/>
      <c r="U133" s="46"/>
      <c r="V133" s="46"/>
      <c r="W133" s="46"/>
      <c r="X133" s="46"/>
      <c r="Y133" s="46"/>
      <c r="Z133" s="46"/>
      <c r="AA133" s="46"/>
      <c r="AB133" s="46"/>
      <c r="AC133" s="46"/>
      <c r="AD133" s="46"/>
      <c r="AE133" s="46"/>
    </row>
    <row r="134" ht="15.75" customHeight="1">
      <c r="A134" s="40" t="str">
        <f t="shared" si="7"/>
        <v/>
      </c>
      <c r="B134" s="40" t="str">
        <f t="shared" si="8"/>
        <v/>
      </c>
      <c r="C134" s="24"/>
      <c r="D134" s="23"/>
      <c r="E134" s="51"/>
      <c r="F134" s="51"/>
      <c r="G134" s="24"/>
      <c r="H134" s="40"/>
      <c r="I134" s="40" t="str">
        <f t="array" ref="I134">IF(G134="","",IFERROR(INDEX('Người sử dụng'!$H$5:$H$140,MATCH(G134,'Người sử dụng'!$C$5:$C$140,0)),"Chưa có trong DS"))</f>
        <v/>
      </c>
      <c r="J134" s="24"/>
      <c r="K134" s="24"/>
      <c r="L134" s="23"/>
      <c r="M134" s="24"/>
      <c r="N134" s="24"/>
      <c r="O134" s="24"/>
      <c r="P134" s="26"/>
      <c r="Q134" s="51"/>
      <c r="R134" s="46"/>
      <c r="S134" s="51"/>
      <c r="T134" s="46"/>
      <c r="U134" s="46"/>
      <c r="V134" s="46"/>
      <c r="W134" s="46"/>
      <c r="X134" s="46"/>
      <c r="Y134" s="46"/>
      <c r="Z134" s="46"/>
      <c r="AA134" s="46"/>
      <c r="AB134" s="46"/>
      <c r="AC134" s="46"/>
      <c r="AD134" s="46"/>
      <c r="AE134" s="46"/>
    </row>
    <row r="135" ht="15.75" customHeight="1">
      <c r="A135" s="40" t="str">
        <f t="shared" si="7"/>
        <v/>
      </c>
      <c r="B135" s="40" t="str">
        <f t="shared" si="8"/>
        <v/>
      </c>
      <c r="C135" s="24"/>
      <c r="D135" s="23"/>
      <c r="E135" s="51"/>
      <c r="F135" s="51"/>
      <c r="G135" s="24"/>
      <c r="H135" s="40"/>
      <c r="I135" s="40" t="str">
        <f t="array" ref="I135">IF(G135="","",IFERROR(INDEX('Người sử dụng'!$H$5:$H$140,MATCH(G135,'Người sử dụng'!$C$5:$C$140,0)),"Chưa có trong DS"))</f>
        <v/>
      </c>
      <c r="J135" s="24"/>
      <c r="K135" s="24"/>
      <c r="L135" s="23"/>
      <c r="M135" s="24"/>
      <c r="N135" s="24"/>
      <c r="O135" s="24"/>
      <c r="P135" s="26"/>
      <c r="Q135" s="51"/>
      <c r="R135" s="46"/>
      <c r="S135" s="51"/>
      <c r="T135" s="46"/>
      <c r="U135" s="46"/>
      <c r="V135" s="46"/>
      <c r="W135" s="46"/>
      <c r="X135" s="46"/>
      <c r="Y135" s="46"/>
      <c r="Z135" s="46"/>
      <c r="AA135" s="46"/>
      <c r="AB135" s="46"/>
      <c r="AC135" s="46"/>
      <c r="AD135" s="46"/>
      <c r="AE135" s="46"/>
    </row>
    <row r="136" ht="15.75" customHeight="1">
      <c r="A136" s="40" t="str">
        <f t="shared" si="7"/>
        <v/>
      </c>
      <c r="B136" s="40" t="str">
        <f t="shared" si="8"/>
        <v/>
      </c>
      <c r="C136" s="24"/>
      <c r="D136" s="23"/>
      <c r="E136" s="51"/>
      <c r="F136" s="51"/>
      <c r="G136" s="24"/>
      <c r="H136" s="40"/>
      <c r="I136" s="40" t="str">
        <f t="array" ref="I136">IF(G136="","",IFERROR(INDEX('Người sử dụng'!$H$5:$H$140,MATCH(G136,'Người sử dụng'!$C$5:$C$140,0)),"Chưa có trong DS"))</f>
        <v/>
      </c>
      <c r="J136" s="24"/>
      <c r="K136" s="24"/>
      <c r="L136" s="23"/>
      <c r="M136" s="24"/>
      <c r="N136" s="24"/>
      <c r="O136" s="24"/>
      <c r="P136" s="26"/>
      <c r="Q136" s="51"/>
      <c r="R136" s="46"/>
      <c r="S136" s="51"/>
      <c r="T136" s="46"/>
      <c r="U136" s="46"/>
      <c r="V136" s="46"/>
      <c r="W136" s="46"/>
      <c r="X136" s="46"/>
      <c r="Y136" s="46"/>
      <c r="Z136" s="46"/>
      <c r="AA136" s="46"/>
      <c r="AB136" s="46"/>
      <c r="AC136" s="46"/>
      <c r="AD136" s="46"/>
      <c r="AE136" s="46"/>
    </row>
    <row r="137" ht="15.75" customHeight="1">
      <c r="A137" s="40" t="str">
        <f t="shared" si="7"/>
        <v/>
      </c>
      <c r="B137" s="40" t="str">
        <f t="shared" si="8"/>
        <v/>
      </c>
      <c r="C137" s="24"/>
      <c r="D137" s="23"/>
      <c r="E137" s="51"/>
      <c r="F137" s="51"/>
      <c r="G137" s="24"/>
      <c r="H137" s="40"/>
      <c r="I137" s="40" t="str">
        <f t="array" ref="I137">IF(G137="","",IFERROR(INDEX('Người sử dụng'!$H$5:$H$140,MATCH(G137,'Người sử dụng'!$C$5:$C$140,0)),"Chưa có trong DS"))</f>
        <v/>
      </c>
      <c r="J137" s="24"/>
      <c r="K137" s="24"/>
      <c r="L137" s="23"/>
      <c r="M137" s="24"/>
      <c r="N137" s="24"/>
      <c r="O137" s="24"/>
      <c r="P137" s="26"/>
      <c r="Q137" s="51"/>
      <c r="R137" s="46"/>
      <c r="S137" s="51"/>
      <c r="T137" s="46"/>
      <c r="U137" s="46"/>
      <c r="V137" s="46"/>
      <c r="W137" s="46"/>
      <c r="X137" s="46"/>
      <c r="Y137" s="46"/>
      <c r="Z137" s="46"/>
      <c r="AA137" s="46"/>
      <c r="AB137" s="46"/>
      <c r="AC137" s="46"/>
      <c r="AD137" s="46"/>
      <c r="AE137" s="46"/>
    </row>
    <row r="138" ht="15.75" customHeight="1">
      <c r="A138" s="40" t="str">
        <f t="shared" si="7"/>
        <v/>
      </c>
      <c r="B138" s="40" t="str">
        <f t="shared" si="8"/>
        <v/>
      </c>
      <c r="C138" s="24"/>
      <c r="D138" s="23"/>
      <c r="E138" s="51"/>
      <c r="F138" s="51"/>
      <c r="G138" s="24"/>
      <c r="H138" s="40"/>
      <c r="I138" s="40" t="str">
        <f t="array" ref="I138">IF(G138="","",IFERROR(INDEX('Người sử dụng'!$H$5:$H$140,MATCH(G138,'Người sử dụng'!$C$5:$C$140,0)),"Chưa có trong DS"))</f>
        <v/>
      </c>
      <c r="J138" s="24"/>
      <c r="K138" s="24"/>
      <c r="L138" s="23"/>
      <c r="M138" s="24"/>
      <c r="N138" s="24"/>
      <c r="O138" s="24"/>
      <c r="P138" s="26"/>
      <c r="Q138" s="51"/>
      <c r="R138" s="46"/>
      <c r="S138" s="51"/>
      <c r="T138" s="46"/>
      <c r="U138" s="46"/>
      <c r="V138" s="46"/>
      <c r="W138" s="46"/>
      <c r="X138" s="46"/>
      <c r="Y138" s="46"/>
      <c r="Z138" s="46"/>
      <c r="AA138" s="46"/>
      <c r="AB138" s="46"/>
      <c r="AC138" s="46"/>
      <c r="AD138" s="46"/>
      <c r="AE138" s="46"/>
    </row>
    <row r="139" ht="15.75" customHeight="1">
      <c r="A139" s="40" t="str">
        <f t="shared" si="7"/>
        <v/>
      </c>
      <c r="B139" s="40" t="str">
        <f t="shared" si="8"/>
        <v/>
      </c>
      <c r="C139" s="24"/>
      <c r="D139" s="23"/>
      <c r="E139" s="51"/>
      <c r="F139" s="51"/>
      <c r="G139" s="24"/>
      <c r="H139" s="40"/>
      <c r="I139" s="40" t="str">
        <f t="array" ref="I139">IF(G139="","",IFERROR(INDEX('Người sử dụng'!$H$5:$H$140,MATCH(G139,'Người sử dụng'!$C$5:$C$140,0)),"Chưa có trong DS"))</f>
        <v/>
      </c>
      <c r="J139" s="24"/>
      <c r="K139" s="24"/>
      <c r="L139" s="23"/>
      <c r="M139" s="24"/>
      <c r="N139" s="24"/>
      <c r="O139" s="24"/>
      <c r="P139" s="26"/>
      <c r="Q139" s="51"/>
      <c r="R139" s="46"/>
      <c r="S139" s="51"/>
      <c r="T139" s="46"/>
      <c r="U139" s="46"/>
      <c r="V139" s="46"/>
      <c r="W139" s="46"/>
      <c r="X139" s="46"/>
      <c r="Y139" s="46"/>
      <c r="Z139" s="46"/>
      <c r="AA139" s="46"/>
      <c r="AB139" s="46"/>
      <c r="AC139" s="46"/>
      <c r="AD139" s="46"/>
      <c r="AE139" s="46"/>
    </row>
    <row r="140" ht="15.75" customHeight="1">
      <c r="A140" s="40" t="str">
        <f t="shared" si="7"/>
        <v/>
      </c>
      <c r="B140" s="40" t="str">
        <f t="shared" si="8"/>
        <v/>
      </c>
      <c r="C140" s="24"/>
      <c r="D140" s="23"/>
      <c r="E140" s="51"/>
      <c r="F140" s="51"/>
      <c r="G140" s="24"/>
      <c r="H140" s="40"/>
      <c r="I140" s="40" t="str">
        <f t="array" ref="I140">IF(G140="","",IFERROR(INDEX('Người sử dụng'!$H$5:$H$140,MATCH(G140,'Người sử dụng'!$C$5:$C$140,0)),"Chưa có trong DS"))</f>
        <v/>
      </c>
      <c r="J140" s="24"/>
      <c r="K140" s="24"/>
      <c r="L140" s="23"/>
      <c r="M140" s="24"/>
      <c r="N140" s="24"/>
      <c r="O140" s="24"/>
      <c r="P140" s="26"/>
      <c r="Q140" s="51"/>
      <c r="R140" s="46"/>
      <c r="S140" s="51"/>
      <c r="T140" s="46"/>
      <c r="U140" s="46"/>
      <c r="V140" s="46"/>
      <c r="W140" s="46"/>
      <c r="X140" s="46"/>
      <c r="Y140" s="46"/>
      <c r="Z140" s="46"/>
      <c r="AA140" s="46"/>
      <c r="AB140" s="46"/>
      <c r="AC140" s="46"/>
      <c r="AD140" s="46"/>
      <c r="AE140" s="46"/>
    </row>
    <row r="141" ht="15.75" customHeight="1">
      <c r="A141" s="40" t="str">
        <f t="shared" si="7"/>
        <v/>
      </c>
      <c r="B141" s="40" t="str">
        <f t="shared" si="8"/>
        <v/>
      </c>
      <c r="C141" s="24"/>
      <c r="D141" s="23"/>
      <c r="E141" s="51"/>
      <c r="F141" s="51"/>
      <c r="G141" s="24"/>
      <c r="H141" s="40"/>
      <c r="I141" s="40" t="str">
        <f t="array" ref="I141">IF(G141="","",IFERROR(INDEX('Người sử dụng'!$H$5:$H$140,MATCH(G141,'Người sử dụng'!$C$5:$C$140,0)),"Chưa có trong DS"))</f>
        <v/>
      </c>
      <c r="J141" s="24"/>
      <c r="K141" s="24"/>
      <c r="L141" s="23"/>
      <c r="M141" s="24"/>
      <c r="N141" s="24"/>
      <c r="O141" s="24"/>
      <c r="P141" s="26"/>
      <c r="Q141" s="51"/>
      <c r="R141" s="46"/>
      <c r="S141" s="51"/>
      <c r="T141" s="46"/>
      <c r="U141" s="46"/>
      <c r="V141" s="46"/>
      <c r="W141" s="46"/>
      <c r="X141" s="46"/>
      <c r="Y141" s="46"/>
      <c r="Z141" s="46"/>
      <c r="AA141" s="46"/>
      <c r="AB141" s="46"/>
      <c r="AC141" s="46"/>
      <c r="AD141" s="46"/>
      <c r="AE141" s="46"/>
    </row>
    <row r="142" ht="15.75" customHeight="1">
      <c r="A142" s="40" t="str">
        <f t="shared" si="7"/>
        <v/>
      </c>
      <c r="B142" s="40" t="str">
        <f t="shared" si="8"/>
        <v/>
      </c>
      <c r="C142" s="24"/>
      <c r="D142" s="23"/>
      <c r="E142" s="51"/>
      <c r="F142" s="51"/>
      <c r="G142" s="24"/>
      <c r="H142" s="40"/>
      <c r="I142" s="40" t="str">
        <f t="array" ref="I142">IF(G142="","",IFERROR(INDEX('Người sử dụng'!$H$5:$H$140,MATCH(G142,'Người sử dụng'!$C$5:$C$140,0)),"Chưa có trong DS"))</f>
        <v/>
      </c>
      <c r="J142" s="24"/>
      <c r="K142" s="24"/>
      <c r="L142" s="23"/>
      <c r="M142" s="24"/>
      <c r="N142" s="24"/>
      <c r="O142" s="24"/>
      <c r="P142" s="26"/>
      <c r="Q142" s="51"/>
      <c r="R142" s="46"/>
      <c r="S142" s="51"/>
      <c r="T142" s="46"/>
      <c r="U142" s="46"/>
      <c r="V142" s="46"/>
      <c r="W142" s="46"/>
      <c r="X142" s="46"/>
      <c r="Y142" s="46"/>
      <c r="Z142" s="46"/>
      <c r="AA142" s="46"/>
      <c r="AB142" s="46"/>
      <c r="AC142" s="46"/>
      <c r="AD142" s="46"/>
      <c r="AE142" s="46"/>
    </row>
    <row r="143" ht="15.75" customHeight="1">
      <c r="A143" s="40" t="str">
        <f t="shared" si="7"/>
        <v/>
      </c>
      <c r="B143" s="40" t="str">
        <f t="shared" si="8"/>
        <v/>
      </c>
      <c r="C143" s="24"/>
      <c r="D143" s="23"/>
      <c r="E143" s="51"/>
      <c r="F143" s="51"/>
      <c r="G143" s="24"/>
      <c r="H143" s="40"/>
      <c r="I143" s="40" t="str">
        <f t="array" ref="I143">IF(G143="","",IFERROR(INDEX('Người sử dụng'!$H$5:$H$140,MATCH(G143,'Người sử dụng'!$C$5:$C$140,0)),"Chưa có trong DS"))</f>
        <v/>
      </c>
      <c r="J143" s="24"/>
      <c r="K143" s="24"/>
      <c r="L143" s="23"/>
      <c r="M143" s="24"/>
      <c r="N143" s="24"/>
      <c r="O143" s="24"/>
      <c r="P143" s="26"/>
      <c r="Q143" s="51"/>
      <c r="R143" s="46"/>
      <c r="S143" s="51"/>
      <c r="T143" s="46"/>
      <c r="U143" s="46"/>
      <c r="V143" s="46"/>
      <c r="W143" s="46"/>
      <c r="X143" s="46"/>
      <c r="Y143" s="46"/>
      <c r="Z143" s="46"/>
      <c r="AA143" s="46"/>
      <c r="AB143" s="46"/>
      <c r="AC143" s="46"/>
      <c r="AD143" s="46"/>
      <c r="AE143" s="46"/>
    </row>
    <row r="144" ht="15.75" customHeight="1">
      <c r="A144" s="40" t="str">
        <f t="shared" si="7"/>
        <v/>
      </c>
      <c r="B144" s="40" t="str">
        <f t="shared" si="8"/>
        <v/>
      </c>
      <c r="C144" s="24"/>
      <c r="D144" s="23"/>
      <c r="E144" s="51"/>
      <c r="F144" s="51"/>
      <c r="G144" s="24"/>
      <c r="H144" s="40"/>
      <c r="I144" s="40" t="str">
        <f t="array" ref="I144">IF(G144="","",IFERROR(INDEX('Người sử dụng'!$H$5:$H$140,MATCH(G144,'Người sử dụng'!$C$5:$C$140,0)),"Chưa có trong DS"))</f>
        <v/>
      </c>
      <c r="J144" s="24"/>
      <c r="K144" s="24"/>
      <c r="L144" s="23"/>
      <c r="M144" s="24"/>
      <c r="N144" s="24"/>
      <c r="O144" s="24"/>
      <c r="P144" s="26"/>
      <c r="Q144" s="51"/>
      <c r="R144" s="46"/>
      <c r="S144" s="51"/>
      <c r="T144" s="46"/>
      <c r="U144" s="46"/>
      <c r="V144" s="46"/>
      <c r="W144" s="46"/>
      <c r="X144" s="46"/>
      <c r="Y144" s="46"/>
      <c r="Z144" s="46"/>
      <c r="AA144" s="46"/>
      <c r="AB144" s="46"/>
      <c r="AC144" s="46"/>
      <c r="AD144" s="46"/>
      <c r="AE144" s="46"/>
    </row>
    <row r="145" ht="15.75" customHeight="1">
      <c r="A145" s="40" t="str">
        <f t="shared" si="7"/>
        <v/>
      </c>
      <c r="B145" s="40" t="str">
        <f t="shared" si="8"/>
        <v/>
      </c>
      <c r="C145" s="24"/>
      <c r="D145" s="23"/>
      <c r="E145" s="51"/>
      <c r="F145" s="51"/>
      <c r="G145" s="24"/>
      <c r="H145" s="40"/>
      <c r="I145" s="40" t="str">
        <f t="array" ref="I145">IF(G145="","",IFERROR(INDEX('Người sử dụng'!$H$5:$H$140,MATCH(G145,'Người sử dụng'!$C$5:$C$140,0)),"Chưa có trong DS"))</f>
        <v/>
      </c>
      <c r="J145" s="24"/>
      <c r="K145" s="24"/>
      <c r="L145" s="23"/>
      <c r="M145" s="24"/>
      <c r="N145" s="24"/>
      <c r="O145" s="24"/>
      <c r="P145" s="26"/>
      <c r="Q145" s="51"/>
      <c r="R145" s="46"/>
      <c r="S145" s="51"/>
      <c r="T145" s="46"/>
      <c r="U145" s="46"/>
      <c r="V145" s="46"/>
      <c r="W145" s="46"/>
      <c r="X145" s="46"/>
      <c r="Y145" s="46"/>
      <c r="Z145" s="46"/>
      <c r="AA145" s="46"/>
      <c r="AB145" s="46"/>
      <c r="AC145" s="46"/>
      <c r="AD145" s="46"/>
      <c r="AE145" s="46"/>
    </row>
    <row r="146" ht="15.75" customHeight="1">
      <c r="A146" s="40" t="str">
        <f t="shared" si="7"/>
        <v/>
      </c>
      <c r="B146" s="40" t="str">
        <f t="shared" si="8"/>
        <v/>
      </c>
      <c r="C146" s="24"/>
      <c r="D146" s="23"/>
      <c r="E146" s="51"/>
      <c r="F146" s="51"/>
      <c r="G146" s="24"/>
      <c r="H146" s="40"/>
      <c r="I146" s="40" t="str">
        <f t="array" ref="I146">IF(G146="","",IFERROR(INDEX('Người sử dụng'!$H$5:$H$140,MATCH(G146,'Người sử dụng'!$C$5:$C$140,0)),"Chưa có trong DS"))</f>
        <v/>
      </c>
      <c r="J146" s="24"/>
      <c r="K146" s="24"/>
      <c r="L146" s="23"/>
      <c r="M146" s="24"/>
      <c r="N146" s="24"/>
      <c r="O146" s="24"/>
      <c r="P146" s="26"/>
      <c r="Q146" s="51"/>
      <c r="R146" s="46"/>
      <c r="S146" s="51"/>
      <c r="T146" s="46"/>
      <c r="U146" s="46"/>
      <c r="V146" s="46"/>
      <c r="W146" s="46"/>
      <c r="X146" s="46"/>
      <c r="Y146" s="46"/>
      <c r="Z146" s="46"/>
      <c r="AA146" s="46"/>
      <c r="AB146" s="46"/>
      <c r="AC146" s="46"/>
      <c r="AD146" s="46"/>
      <c r="AE146" s="46"/>
    </row>
    <row r="147" ht="15.75" customHeight="1">
      <c r="A147" s="40" t="str">
        <f t="shared" si="7"/>
        <v/>
      </c>
      <c r="B147" s="40" t="str">
        <f t="shared" si="8"/>
        <v/>
      </c>
      <c r="C147" s="24"/>
      <c r="D147" s="23"/>
      <c r="E147" s="51"/>
      <c r="F147" s="51"/>
      <c r="G147" s="24"/>
      <c r="H147" s="40"/>
      <c r="I147" s="40" t="str">
        <f t="array" ref="I147">IF(G147="","",IFERROR(INDEX('Người sử dụng'!$H$5:$H$140,MATCH(G147,'Người sử dụng'!$C$5:$C$140,0)),"Chưa có trong DS"))</f>
        <v/>
      </c>
      <c r="J147" s="24"/>
      <c r="K147" s="24"/>
      <c r="L147" s="23"/>
      <c r="M147" s="24"/>
      <c r="N147" s="24"/>
      <c r="O147" s="24"/>
      <c r="P147" s="26"/>
      <c r="Q147" s="51"/>
      <c r="R147" s="46"/>
      <c r="S147" s="51"/>
      <c r="T147" s="46"/>
      <c r="U147" s="46"/>
      <c r="V147" s="46"/>
      <c r="W147" s="46"/>
      <c r="X147" s="46"/>
      <c r="Y147" s="46"/>
      <c r="Z147" s="46"/>
      <c r="AA147" s="46"/>
      <c r="AB147" s="46"/>
      <c r="AC147" s="46"/>
      <c r="AD147" s="46"/>
      <c r="AE147" s="46"/>
    </row>
    <row r="148" ht="15.75" customHeight="1">
      <c r="A148" s="40" t="str">
        <f t="shared" si="7"/>
        <v/>
      </c>
      <c r="B148" s="40" t="str">
        <f t="shared" si="8"/>
        <v/>
      </c>
      <c r="C148" s="24"/>
      <c r="D148" s="23"/>
      <c r="E148" s="51"/>
      <c r="F148" s="51"/>
      <c r="G148" s="24"/>
      <c r="H148" s="40"/>
      <c r="I148" s="40" t="str">
        <f t="array" ref="I148">IF(G148="","",IFERROR(INDEX('Người sử dụng'!$H$5:$H$140,MATCH(G148,'Người sử dụng'!$C$5:$C$140,0)),"Chưa có trong DS"))</f>
        <v/>
      </c>
      <c r="J148" s="24"/>
      <c r="K148" s="24"/>
      <c r="L148" s="23"/>
      <c r="M148" s="24"/>
      <c r="N148" s="24"/>
      <c r="O148" s="24"/>
      <c r="P148" s="26"/>
      <c r="Q148" s="51"/>
      <c r="R148" s="46"/>
      <c r="S148" s="51"/>
      <c r="T148" s="46"/>
      <c r="U148" s="46"/>
      <c r="V148" s="46"/>
      <c r="W148" s="46"/>
      <c r="X148" s="46"/>
      <c r="Y148" s="46"/>
      <c r="Z148" s="46"/>
      <c r="AA148" s="46"/>
      <c r="AB148" s="46"/>
      <c r="AC148" s="46"/>
      <c r="AD148" s="46"/>
      <c r="AE148" s="46"/>
    </row>
    <row r="149" ht="15.75" customHeight="1">
      <c r="A149" s="40" t="str">
        <f t="shared" si="7"/>
        <v/>
      </c>
      <c r="B149" s="40" t="str">
        <f t="shared" si="8"/>
        <v/>
      </c>
      <c r="C149" s="24"/>
      <c r="D149" s="23"/>
      <c r="E149" s="51"/>
      <c r="F149" s="51"/>
      <c r="G149" s="24"/>
      <c r="H149" s="40"/>
      <c r="I149" s="40" t="str">
        <f t="array" ref="I149">IF(G149="","",IFERROR(INDEX('Người sử dụng'!$H$5:$H$140,MATCH(G149,'Người sử dụng'!$C$5:$C$140,0)),"Chưa có trong DS"))</f>
        <v/>
      </c>
      <c r="J149" s="24"/>
      <c r="K149" s="24"/>
      <c r="L149" s="23"/>
      <c r="M149" s="24"/>
      <c r="N149" s="24"/>
      <c r="O149" s="24"/>
      <c r="P149" s="26"/>
      <c r="Q149" s="51"/>
      <c r="R149" s="46"/>
      <c r="S149" s="51"/>
      <c r="T149" s="46"/>
      <c r="U149" s="46"/>
      <c r="V149" s="46"/>
      <c r="W149" s="46"/>
      <c r="X149" s="46"/>
      <c r="Y149" s="46"/>
      <c r="Z149" s="46"/>
      <c r="AA149" s="46"/>
      <c r="AB149" s="46"/>
      <c r="AC149" s="46"/>
      <c r="AD149" s="46"/>
      <c r="AE149" s="46"/>
    </row>
    <row r="150" ht="15.75" customHeight="1">
      <c r="A150" s="40" t="str">
        <f t="shared" si="7"/>
        <v/>
      </c>
      <c r="B150" s="40" t="str">
        <f t="shared" si="8"/>
        <v/>
      </c>
      <c r="C150" s="24"/>
      <c r="D150" s="23"/>
      <c r="E150" s="51"/>
      <c r="F150" s="51"/>
      <c r="G150" s="24"/>
      <c r="H150" s="40"/>
      <c r="I150" s="40" t="str">
        <f t="array" ref="I150">IF(G150="","",IFERROR(INDEX('Người sử dụng'!$H$5:$H$140,MATCH(G150,'Người sử dụng'!$C$5:$C$140,0)),"Chưa có trong DS"))</f>
        <v/>
      </c>
      <c r="J150" s="24"/>
      <c r="K150" s="24"/>
      <c r="L150" s="23"/>
      <c r="M150" s="24"/>
      <c r="N150" s="24"/>
      <c r="O150" s="24"/>
      <c r="P150" s="26"/>
      <c r="Q150" s="51"/>
      <c r="R150" s="46"/>
      <c r="S150" s="51"/>
      <c r="T150" s="46"/>
      <c r="U150" s="46"/>
      <c r="V150" s="46"/>
      <c r="W150" s="46"/>
      <c r="X150" s="46"/>
      <c r="Y150" s="46"/>
      <c r="Z150" s="46"/>
      <c r="AA150" s="46"/>
      <c r="AB150" s="46"/>
      <c r="AC150" s="46"/>
      <c r="AD150" s="46"/>
      <c r="AE150" s="46"/>
    </row>
    <row r="151" ht="15.75" customHeight="1">
      <c r="A151" s="40" t="str">
        <f t="shared" si="7"/>
        <v/>
      </c>
      <c r="B151" s="40" t="str">
        <f t="shared" si="8"/>
        <v/>
      </c>
      <c r="C151" s="24"/>
      <c r="D151" s="23"/>
      <c r="E151" s="51"/>
      <c r="F151" s="51"/>
      <c r="G151" s="24"/>
      <c r="H151" s="40"/>
      <c r="I151" s="40" t="str">
        <f t="array" ref="I151">IF(G151="","",IFERROR(INDEX('Người sử dụng'!$H$5:$H$140,MATCH(G151,'Người sử dụng'!$C$5:$C$140,0)),"Chưa có trong DS"))</f>
        <v/>
      </c>
      <c r="J151" s="24"/>
      <c r="K151" s="24"/>
      <c r="L151" s="23"/>
      <c r="M151" s="24"/>
      <c r="N151" s="24"/>
      <c r="O151" s="24"/>
      <c r="P151" s="26"/>
      <c r="Q151" s="51"/>
      <c r="R151" s="46"/>
      <c r="S151" s="51"/>
      <c r="T151" s="46"/>
      <c r="U151" s="46"/>
      <c r="V151" s="46"/>
      <c r="W151" s="46"/>
      <c r="X151" s="46"/>
      <c r="Y151" s="46"/>
      <c r="Z151" s="46"/>
      <c r="AA151" s="46"/>
      <c r="AB151" s="46"/>
      <c r="AC151" s="46"/>
      <c r="AD151" s="46"/>
      <c r="AE151" s="46"/>
    </row>
    <row r="152" ht="15.75" customHeight="1">
      <c r="A152" s="40" t="str">
        <f t="shared" si="7"/>
        <v/>
      </c>
      <c r="B152" s="40" t="str">
        <f t="shared" si="8"/>
        <v/>
      </c>
      <c r="C152" s="24"/>
      <c r="D152" s="23"/>
      <c r="E152" s="51"/>
      <c r="F152" s="51"/>
      <c r="G152" s="24"/>
      <c r="H152" s="40"/>
      <c r="I152" s="40" t="str">
        <f t="array" ref="I152">IF(G152="","",IFERROR(INDEX('Người sử dụng'!$H$5:$H$140,MATCH(G152,'Người sử dụng'!$C$5:$C$140,0)),"Chưa có trong DS"))</f>
        <v/>
      </c>
      <c r="J152" s="24"/>
      <c r="K152" s="24"/>
      <c r="L152" s="23"/>
      <c r="M152" s="24"/>
      <c r="N152" s="24"/>
      <c r="O152" s="24"/>
      <c r="P152" s="26"/>
      <c r="Q152" s="51"/>
      <c r="R152" s="46"/>
      <c r="S152" s="51"/>
      <c r="T152" s="46"/>
      <c r="U152" s="46"/>
      <c r="V152" s="46"/>
      <c r="W152" s="46"/>
      <c r="X152" s="46"/>
      <c r="Y152" s="46"/>
      <c r="Z152" s="46"/>
      <c r="AA152" s="46"/>
      <c r="AB152" s="46"/>
      <c r="AC152" s="46"/>
      <c r="AD152" s="46"/>
      <c r="AE152" s="46"/>
    </row>
    <row r="153" ht="15.75" customHeight="1">
      <c r="A153" s="40" t="str">
        <f t="shared" si="7"/>
        <v/>
      </c>
      <c r="B153" s="40" t="str">
        <f t="shared" si="8"/>
        <v/>
      </c>
      <c r="C153" s="24"/>
      <c r="D153" s="23"/>
      <c r="E153" s="51"/>
      <c r="F153" s="51"/>
      <c r="G153" s="24"/>
      <c r="H153" s="40"/>
      <c r="I153" s="40" t="str">
        <f t="array" ref="I153">IF(G153="","",IFERROR(INDEX('Người sử dụng'!$H$5:$H$140,MATCH(G153,'Người sử dụng'!$C$5:$C$140,0)),"Chưa có trong DS"))</f>
        <v/>
      </c>
      <c r="J153" s="24"/>
      <c r="K153" s="24"/>
      <c r="L153" s="23"/>
      <c r="M153" s="24"/>
      <c r="N153" s="24"/>
      <c r="O153" s="24"/>
      <c r="P153" s="26"/>
      <c r="Q153" s="51"/>
      <c r="R153" s="46"/>
      <c r="S153" s="51"/>
      <c r="T153" s="46"/>
      <c r="U153" s="46"/>
      <c r="V153" s="46"/>
      <c r="W153" s="46"/>
      <c r="X153" s="46"/>
      <c r="Y153" s="46"/>
      <c r="Z153" s="46"/>
      <c r="AA153" s="46"/>
      <c r="AB153" s="46"/>
      <c r="AC153" s="46"/>
      <c r="AD153" s="46"/>
      <c r="AE153" s="46"/>
    </row>
    <row r="154" ht="15.75" customHeight="1">
      <c r="A154" s="40" t="str">
        <f t="shared" si="7"/>
        <v/>
      </c>
      <c r="B154" s="40" t="str">
        <f t="shared" si="8"/>
        <v/>
      </c>
      <c r="C154" s="24"/>
      <c r="D154" s="23"/>
      <c r="E154" s="51"/>
      <c r="F154" s="51"/>
      <c r="G154" s="24"/>
      <c r="H154" s="40"/>
      <c r="I154" s="40" t="str">
        <f t="array" ref="I154">IF(G154="","",IFERROR(INDEX('Người sử dụng'!$H$5:$H$140,MATCH(G154,'Người sử dụng'!$C$5:$C$140,0)),"Chưa có trong DS"))</f>
        <v/>
      </c>
      <c r="J154" s="24"/>
      <c r="K154" s="24"/>
      <c r="L154" s="23"/>
      <c r="M154" s="24"/>
      <c r="N154" s="24"/>
      <c r="O154" s="24"/>
      <c r="P154" s="26"/>
      <c r="Q154" s="51"/>
      <c r="R154" s="46"/>
      <c r="S154" s="51"/>
      <c r="T154" s="46"/>
      <c r="U154" s="46"/>
      <c r="V154" s="46"/>
      <c r="W154" s="46"/>
      <c r="X154" s="46"/>
      <c r="Y154" s="46"/>
      <c r="Z154" s="46"/>
      <c r="AA154" s="46"/>
      <c r="AB154" s="46"/>
      <c r="AC154" s="46"/>
      <c r="AD154" s="46"/>
      <c r="AE154" s="46"/>
    </row>
    <row r="155" ht="15.75" customHeight="1">
      <c r="A155" s="40" t="str">
        <f t="shared" si="7"/>
        <v/>
      </c>
      <c r="B155" s="40" t="str">
        <f t="shared" si="8"/>
        <v/>
      </c>
      <c r="C155" s="24"/>
      <c r="D155" s="23"/>
      <c r="E155" s="51"/>
      <c r="F155" s="51"/>
      <c r="G155" s="24"/>
      <c r="H155" s="40"/>
      <c r="I155" s="40" t="str">
        <f t="array" ref="I155">IF(G155="","",IFERROR(INDEX('Người sử dụng'!$H$5:$H$140,MATCH(G155,'Người sử dụng'!$C$5:$C$140,0)),"Chưa có trong DS"))</f>
        <v/>
      </c>
      <c r="J155" s="24"/>
      <c r="K155" s="24"/>
      <c r="L155" s="23"/>
      <c r="M155" s="24"/>
      <c r="N155" s="24"/>
      <c r="O155" s="24"/>
      <c r="P155" s="26"/>
      <c r="Q155" s="51"/>
      <c r="R155" s="46"/>
      <c r="S155" s="51"/>
      <c r="T155" s="46"/>
      <c r="U155" s="46"/>
      <c r="V155" s="46"/>
      <c r="W155" s="46"/>
      <c r="X155" s="46"/>
      <c r="Y155" s="46"/>
      <c r="Z155" s="46"/>
      <c r="AA155" s="46"/>
      <c r="AB155" s="46"/>
      <c r="AC155" s="46"/>
      <c r="AD155" s="46"/>
      <c r="AE155" s="46"/>
    </row>
    <row r="156" ht="15.75" customHeight="1">
      <c r="A156" s="40" t="str">
        <f t="shared" si="7"/>
        <v/>
      </c>
      <c r="B156" s="40" t="str">
        <f t="shared" si="8"/>
        <v/>
      </c>
      <c r="C156" s="24"/>
      <c r="D156" s="23"/>
      <c r="E156" s="51"/>
      <c r="F156" s="51"/>
      <c r="G156" s="24"/>
      <c r="H156" s="40"/>
      <c r="I156" s="40" t="str">
        <f t="array" ref="I156">IF(G156="","",IFERROR(INDEX('Người sử dụng'!$H$5:$H$140,MATCH(G156,'Người sử dụng'!$C$5:$C$140,0)),"Chưa có trong DS"))</f>
        <v/>
      </c>
      <c r="J156" s="24"/>
      <c r="K156" s="24"/>
      <c r="L156" s="23"/>
      <c r="M156" s="24"/>
      <c r="N156" s="24"/>
      <c r="O156" s="24"/>
      <c r="P156" s="26"/>
      <c r="Q156" s="51"/>
      <c r="R156" s="46"/>
      <c r="S156" s="51"/>
      <c r="T156" s="46"/>
      <c r="U156" s="46"/>
      <c r="V156" s="46"/>
      <c r="W156" s="46"/>
      <c r="X156" s="46"/>
      <c r="Y156" s="46"/>
      <c r="Z156" s="46"/>
      <c r="AA156" s="46"/>
      <c r="AB156" s="46"/>
      <c r="AC156" s="46"/>
      <c r="AD156" s="46"/>
      <c r="AE156" s="46"/>
    </row>
    <row r="157" ht="15.75" customHeight="1">
      <c r="A157" s="40" t="str">
        <f t="shared" si="7"/>
        <v/>
      </c>
      <c r="B157" s="40" t="str">
        <f t="shared" si="8"/>
        <v/>
      </c>
      <c r="C157" s="24"/>
      <c r="D157" s="23"/>
      <c r="E157" s="51"/>
      <c r="F157" s="51"/>
      <c r="G157" s="24"/>
      <c r="H157" s="40"/>
      <c r="I157" s="40" t="str">
        <f t="array" ref="I157">IF(G157="","",IFERROR(INDEX('Người sử dụng'!$H$5:$H$140,MATCH(G157,'Người sử dụng'!$C$5:$C$140,0)),"Chưa có trong DS"))</f>
        <v/>
      </c>
      <c r="J157" s="24"/>
      <c r="K157" s="24"/>
      <c r="L157" s="23"/>
      <c r="M157" s="24"/>
      <c r="N157" s="24"/>
      <c r="O157" s="24"/>
      <c r="P157" s="26"/>
      <c r="Q157" s="51"/>
      <c r="R157" s="46"/>
      <c r="S157" s="51"/>
      <c r="T157" s="46"/>
      <c r="U157" s="46"/>
      <c r="V157" s="46"/>
      <c r="W157" s="46"/>
      <c r="X157" s="46"/>
      <c r="Y157" s="46"/>
      <c r="Z157" s="46"/>
      <c r="AA157" s="46"/>
      <c r="AB157" s="46"/>
      <c r="AC157" s="46"/>
      <c r="AD157" s="46"/>
      <c r="AE157" s="46"/>
    </row>
    <row r="158" ht="15.75" customHeight="1">
      <c r="A158" s="40" t="str">
        <f t="shared" si="7"/>
        <v/>
      </c>
      <c r="B158" s="40" t="str">
        <f t="shared" si="8"/>
        <v/>
      </c>
      <c r="C158" s="24"/>
      <c r="D158" s="23"/>
      <c r="E158" s="51"/>
      <c r="F158" s="51"/>
      <c r="G158" s="24"/>
      <c r="H158" s="40"/>
      <c r="I158" s="40" t="str">
        <f t="array" ref="I158">IF(G158="","",IFERROR(INDEX('Người sử dụng'!$H$5:$H$140,MATCH(G158,'Người sử dụng'!$C$5:$C$140,0)),"Chưa có trong DS"))</f>
        <v/>
      </c>
      <c r="J158" s="24"/>
      <c r="K158" s="24"/>
      <c r="L158" s="23"/>
      <c r="M158" s="24"/>
      <c r="N158" s="24"/>
      <c r="O158" s="24"/>
      <c r="P158" s="26"/>
      <c r="Q158" s="51"/>
      <c r="R158" s="46"/>
      <c r="S158" s="51"/>
      <c r="T158" s="46"/>
      <c r="U158" s="46"/>
      <c r="V158" s="46"/>
      <c r="W158" s="46"/>
      <c r="X158" s="46"/>
      <c r="Y158" s="46"/>
      <c r="Z158" s="46"/>
      <c r="AA158" s="46"/>
      <c r="AB158" s="46"/>
      <c r="AC158" s="46"/>
      <c r="AD158" s="46"/>
      <c r="AE158" s="46"/>
    </row>
    <row r="159" ht="15.75" customHeight="1">
      <c r="A159" s="40" t="str">
        <f t="shared" si="7"/>
        <v/>
      </c>
      <c r="B159" s="40" t="str">
        <f t="shared" si="8"/>
        <v/>
      </c>
      <c r="C159" s="24"/>
      <c r="D159" s="23"/>
      <c r="E159" s="51"/>
      <c r="F159" s="51"/>
      <c r="G159" s="24"/>
      <c r="H159" s="40"/>
      <c r="I159" s="40" t="str">
        <f t="array" ref="I159">IF(G159="","",IFERROR(INDEX('Người sử dụng'!$H$5:$H$140,MATCH(G159,'Người sử dụng'!$C$5:$C$140,0)),"Chưa có trong DS"))</f>
        <v/>
      </c>
      <c r="J159" s="24"/>
      <c r="K159" s="24"/>
      <c r="L159" s="23"/>
      <c r="M159" s="24"/>
      <c r="N159" s="24"/>
      <c r="O159" s="24"/>
      <c r="P159" s="26"/>
      <c r="Q159" s="51"/>
      <c r="R159" s="46"/>
      <c r="S159" s="51"/>
      <c r="T159" s="46"/>
      <c r="U159" s="46"/>
      <c r="V159" s="46"/>
      <c r="W159" s="46"/>
      <c r="X159" s="46"/>
      <c r="Y159" s="46"/>
      <c r="Z159" s="46"/>
      <c r="AA159" s="46"/>
      <c r="AB159" s="46"/>
      <c r="AC159" s="46"/>
      <c r="AD159" s="46"/>
      <c r="AE159" s="46"/>
    </row>
    <row r="160" ht="15.75" customHeight="1">
      <c r="A160" s="40" t="str">
        <f t="shared" si="7"/>
        <v/>
      </c>
      <c r="B160" s="40" t="str">
        <f t="shared" si="8"/>
        <v/>
      </c>
      <c r="C160" s="24"/>
      <c r="D160" s="23"/>
      <c r="E160" s="51"/>
      <c r="F160" s="51"/>
      <c r="G160" s="24"/>
      <c r="H160" s="40"/>
      <c r="I160" s="40" t="str">
        <f t="array" ref="I160">IF(G160="","",IFERROR(INDEX('Người sử dụng'!$H$5:$H$140,MATCH(G160,'Người sử dụng'!$C$5:$C$140,0)),"Chưa có trong DS"))</f>
        <v/>
      </c>
      <c r="J160" s="24"/>
      <c r="K160" s="24"/>
      <c r="L160" s="23"/>
      <c r="M160" s="24"/>
      <c r="N160" s="24"/>
      <c r="O160" s="24"/>
      <c r="P160" s="26"/>
      <c r="Q160" s="51"/>
      <c r="R160" s="46"/>
      <c r="S160" s="51"/>
      <c r="T160" s="46"/>
      <c r="U160" s="46"/>
      <c r="V160" s="46"/>
      <c r="W160" s="46"/>
      <c r="X160" s="46"/>
      <c r="Y160" s="46"/>
      <c r="Z160" s="46"/>
      <c r="AA160" s="46"/>
      <c r="AB160" s="46"/>
      <c r="AC160" s="46"/>
      <c r="AD160" s="46"/>
      <c r="AE160" s="46"/>
    </row>
    <row r="161" ht="15.75" customHeight="1">
      <c r="A161" s="40" t="str">
        <f t="shared" si="7"/>
        <v/>
      </c>
      <c r="B161" s="40" t="str">
        <f t="shared" si="8"/>
        <v/>
      </c>
      <c r="C161" s="24"/>
      <c r="D161" s="23"/>
      <c r="E161" s="51"/>
      <c r="F161" s="51"/>
      <c r="G161" s="24"/>
      <c r="H161" s="40"/>
      <c r="I161" s="40" t="str">
        <f t="array" ref="I161">IF(G161="","",IFERROR(INDEX('Người sử dụng'!$H$5:$H$140,MATCH(G161,'Người sử dụng'!$C$5:$C$140,0)),"Chưa có trong DS"))</f>
        <v/>
      </c>
      <c r="J161" s="24"/>
      <c r="K161" s="24"/>
      <c r="L161" s="23"/>
      <c r="M161" s="24"/>
      <c r="N161" s="24"/>
      <c r="O161" s="24"/>
      <c r="P161" s="26"/>
      <c r="Q161" s="51"/>
      <c r="R161" s="46"/>
      <c r="S161" s="51"/>
      <c r="T161" s="46"/>
      <c r="U161" s="46"/>
      <c r="V161" s="46"/>
      <c r="W161" s="46"/>
      <c r="X161" s="46"/>
      <c r="Y161" s="46"/>
      <c r="Z161" s="46"/>
      <c r="AA161" s="46"/>
      <c r="AB161" s="46"/>
      <c r="AC161" s="46"/>
      <c r="AD161" s="46"/>
      <c r="AE161" s="46"/>
    </row>
    <row r="162" ht="15.75" customHeight="1">
      <c r="A162" s="40" t="str">
        <f t="shared" si="7"/>
        <v/>
      </c>
      <c r="B162" s="40" t="str">
        <f t="shared" si="8"/>
        <v/>
      </c>
      <c r="C162" s="24"/>
      <c r="D162" s="23"/>
      <c r="E162" s="51"/>
      <c r="F162" s="51"/>
      <c r="G162" s="24"/>
      <c r="H162" s="40"/>
      <c r="I162" s="40" t="str">
        <f t="array" ref="I162">IF(G162="","",IFERROR(INDEX('Người sử dụng'!$H$5:$H$140,MATCH(G162,'Người sử dụng'!$C$5:$C$140,0)),"Chưa có trong DS"))</f>
        <v/>
      </c>
      <c r="J162" s="24"/>
      <c r="K162" s="24"/>
      <c r="L162" s="23"/>
      <c r="M162" s="24"/>
      <c r="N162" s="24"/>
      <c r="O162" s="24"/>
      <c r="P162" s="26"/>
      <c r="Q162" s="51"/>
      <c r="R162" s="46"/>
      <c r="S162" s="51"/>
      <c r="T162" s="46"/>
      <c r="U162" s="46"/>
      <c r="V162" s="46"/>
      <c r="W162" s="46"/>
      <c r="X162" s="46"/>
      <c r="Y162" s="46"/>
      <c r="Z162" s="46"/>
      <c r="AA162" s="46"/>
      <c r="AB162" s="46"/>
      <c r="AC162" s="46"/>
      <c r="AD162" s="46"/>
      <c r="AE162" s="46"/>
    </row>
    <row r="163" ht="15.75" customHeight="1">
      <c r="A163" s="40" t="str">
        <f t="shared" si="7"/>
        <v/>
      </c>
      <c r="B163" s="40" t="str">
        <f t="shared" si="8"/>
        <v/>
      </c>
      <c r="C163" s="24"/>
      <c r="D163" s="23"/>
      <c r="E163" s="51"/>
      <c r="F163" s="51"/>
      <c r="G163" s="24"/>
      <c r="H163" s="40"/>
      <c r="I163" s="40" t="str">
        <f t="array" ref="I163">IF(G163="","",IFERROR(INDEX('Người sử dụng'!$H$5:$H$140,MATCH(G163,'Người sử dụng'!$C$5:$C$140,0)),"Chưa có trong DS"))</f>
        <v/>
      </c>
      <c r="J163" s="24"/>
      <c r="K163" s="24"/>
      <c r="L163" s="23"/>
      <c r="M163" s="24"/>
      <c r="N163" s="24"/>
      <c r="O163" s="24"/>
      <c r="P163" s="26"/>
      <c r="Q163" s="51"/>
      <c r="R163" s="46"/>
      <c r="S163" s="51"/>
      <c r="T163" s="46"/>
      <c r="U163" s="46"/>
      <c r="V163" s="46"/>
      <c r="W163" s="46"/>
      <c r="X163" s="46"/>
      <c r="Y163" s="46"/>
      <c r="Z163" s="46"/>
      <c r="AA163" s="46"/>
      <c r="AB163" s="46"/>
      <c r="AC163" s="46"/>
      <c r="AD163" s="46"/>
      <c r="AE163" s="46"/>
    </row>
    <row r="164" ht="15.75" customHeight="1">
      <c r="A164" s="40" t="str">
        <f t="shared" si="7"/>
        <v/>
      </c>
      <c r="B164" s="40" t="str">
        <f t="shared" si="8"/>
        <v/>
      </c>
      <c r="C164" s="24"/>
      <c r="D164" s="23"/>
      <c r="E164" s="51"/>
      <c r="F164" s="51"/>
      <c r="G164" s="24"/>
      <c r="H164" s="40"/>
      <c r="I164" s="40" t="str">
        <f t="array" ref="I164">IF(G164="","",IFERROR(INDEX('Người sử dụng'!$H$5:$H$140,MATCH(G164,'Người sử dụng'!$C$5:$C$140,0)),"Chưa có trong DS"))</f>
        <v/>
      </c>
      <c r="J164" s="24"/>
      <c r="K164" s="24"/>
      <c r="L164" s="23"/>
      <c r="M164" s="24"/>
      <c r="N164" s="24"/>
      <c r="O164" s="24"/>
      <c r="P164" s="26"/>
      <c r="Q164" s="51"/>
      <c r="R164" s="46"/>
      <c r="S164" s="51"/>
      <c r="T164" s="46"/>
      <c r="U164" s="46"/>
      <c r="V164" s="46"/>
      <c r="W164" s="46"/>
      <c r="X164" s="46"/>
      <c r="Y164" s="46"/>
      <c r="Z164" s="46"/>
      <c r="AA164" s="46"/>
      <c r="AB164" s="46"/>
      <c r="AC164" s="46"/>
      <c r="AD164" s="46"/>
      <c r="AE164" s="46"/>
    </row>
    <row r="165" ht="15.75" customHeight="1">
      <c r="A165" s="40" t="str">
        <f t="shared" si="7"/>
        <v/>
      </c>
      <c r="B165" s="40" t="str">
        <f t="shared" si="8"/>
        <v/>
      </c>
      <c r="C165" s="24"/>
      <c r="D165" s="23"/>
      <c r="E165" s="51"/>
      <c r="F165" s="51"/>
      <c r="G165" s="24"/>
      <c r="H165" s="40"/>
      <c r="I165" s="40" t="str">
        <f t="array" ref="I165">IF(G165="","",IFERROR(INDEX('Người sử dụng'!$H$5:$H$140,MATCH(G165,'Người sử dụng'!$C$5:$C$140,0)),"Chưa có trong DS"))</f>
        <v/>
      </c>
      <c r="J165" s="24"/>
      <c r="K165" s="24"/>
      <c r="L165" s="23"/>
      <c r="M165" s="24"/>
      <c r="N165" s="24"/>
      <c r="O165" s="24"/>
      <c r="P165" s="26"/>
      <c r="Q165" s="51"/>
      <c r="R165" s="46"/>
      <c r="S165" s="51"/>
      <c r="T165" s="46"/>
      <c r="U165" s="46"/>
      <c r="V165" s="46"/>
      <c r="W165" s="46"/>
      <c r="X165" s="46"/>
      <c r="Y165" s="46"/>
      <c r="Z165" s="46"/>
      <c r="AA165" s="46"/>
      <c r="AB165" s="46"/>
      <c r="AC165" s="46"/>
      <c r="AD165" s="46"/>
      <c r="AE165" s="46"/>
    </row>
    <row r="166" ht="15.75" customHeight="1">
      <c r="A166" s="40" t="str">
        <f t="shared" si="7"/>
        <v/>
      </c>
      <c r="B166" s="40" t="str">
        <f t="shared" si="8"/>
        <v/>
      </c>
      <c r="C166" s="24"/>
      <c r="D166" s="23"/>
      <c r="E166" s="51"/>
      <c r="F166" s="51"/>
      <c r="G166" s="24"/>
      <c r="H166" s="40"/>
      <c r="I166" s="40" t="str">
        <f t="array" ref="I166">IF(G166="","",IFERROR(INDEX('Người sử dụng'!$H$5:$H$140,MATCH(G166,'Người sử dụng'!$C$5:$C$140,0)),"Chưa có trong DS"))</f>
        <v/>
      </c>
      <c r="J166" s="24"/>
      <c r="K166" s="24"/>
      <c r="L166" s="23"/>
      <c r="M166" s="24"/>
      <c r="N166" s="24"/>
      <c r="O166" s="24"/>
      <c r="P166" s="26"/>
      <c r="Q166" s="51"/>
      <c r="R166" s="46"/>
      <c r="S166" s="51"/>
      <c r="T166" s="46"/>
      <c r="U166" s="46"/>
      <c r="V166" s="46"/>
      <c r="W166" s="46"/>
      <c r="X166" s="46"/>
      <c r="Y166" s="46"/>
      <c r="Z166" s="46"/>
      <c r="AA166" s="46"/>
      <c r="AB166" s="46"/>
      <c r="AC166" s="46"/>
      <c r="AD166" s="46"/>
      <c r="AE166" s="46"/>
    </row>
    <row r="167" ht="15.75" customHeight="1">
      <c r="A167" s="40" t="str">
        <f t="shared" si="7"/>
        <v/>
      </c>
      <c r="B167" s="40" t="str">
        <f t="shared" si="8"/>
        <v/>
      </c>
      <c r="C167" s="24"/>
      <c r="D167" s="23"/>
      <c r="E167" s="51"/>
      <c r="F167" s="51"/>
      <c r="G167" s="24"/>
      <c r="H167" s="40"/>
      <c r="I167" s="40" t="str">
        <f t="array" ref="I167">IF(G167="","",IFERROR(INDEX('Người sử dụng'!$H$5:$H$140,MATCH(G167,'Người sử dụng'!$C$5:$C$140,0)),"Chưa có trong DS"))</f>
        <v/>
      </c>
      <c r="J167" s="24"/>
      <c r="K167" s="24"/>
      <c r="L167" s="23"/>
      <c r="M167" s="24"/>
      <c r="N167" s="24"/>
      <c r="O167" s="24"/>
      <c r="P167" s="26"/>
      <c r="Q167" s="51"/>
      <c r="R167" s="46"/>
      <c r="S167" s="51"/>
      <c r="T167" s="46"/>
      <c r="U167" s="46"/>
      <c r="V167" s="46"/>
      <c r="W167" s="46"/>
      <c r="X167" s="46"/>
      <c r="Y167" s="46"/>
      <c r="Z167" s="46"/>
      <c r="AA167" s="46"/>
      <c r="AB167" s="46"/>
      <c r="AC167" s="46"/>
      <c r="AD167" s="46"/>
      <c r="AE167" s="46"/>
    </row>
    <row r="168" ht="15.75" customHeight="1">
      <c r="A168" s="40" t="str">
        <f t="shared" si="7"/>
        <v/>
      </c>
      <c r="B168" s="40" t="str">
        <f t="shared" si="8"/>
        <v/>
      </c>
      <c r="C168" s="24"/>
      <c r="D168" s="23"/>
      <c r="E168" s="51"/>
      <c r="F168" s="51"/>
      <c r="G168" s="24"/>
      <c r="H168" s="40"/>
      <c r="I168" s="40" t="str">
        <f t="array" ref="I168">IF(G168="","",IFERROR(INDEX('Người sử dụng'!$H$5:$H$140,MATCH(G168,'Người sử dụng'!$C$5:$C$140,0)),"Chưa có trong DS"))</f>
        <v/>
      </c>
      <c r="J168" s="24"/>
      <c r="K168" s="24"/>
      <c r="L168" s="23"/>
      <c r="M168" s="24"/>
      <c r="N168" s="24"/>
      <c r="O168" s="24"/>
      <c r="P168" s="26"/>
      <c r="Q168" s="51"/>
      <c r="R168" s="46"/>
      <c r="S168" s="51"/>
      <c r="T168" s="46"/>
      <c r="U168" s="46"/>
      <c r="V168" s="46"/>
      <c r="W168" s="46"/>
      <c r="X168" s="46"/>
      <c r="Y168" s="46"/>
      <c r="Z168" s="46"/>
      <c r="AA168" s="46"/>
      <c r="AB168" s="46"/>
      <c r="AC168" s="46"/>
      <c r="AD168" s="46"/>
      <c r="AE168" s="46"/>
    </row>
    <row r="169" ht="15.75" customHeight="1">
      <c r="A169" s="40" t="str">
        <f t="shared" si="7"/>
        <v/>
      </c>
      <c r="B169" s="40" t="str">
        <f t="shared" si="8"/>
        <v/>
      </c>
      <c r="C169" s="24"/>
      <c r="D169" s="23"/>
      <c r="E169" s="51"/>
      <c r="F169" s="51"/>
      <c r="G169" s="24"/>
      <c r="H169" s="40"/>
      <c r="I169" s="40" t="str">
        <f t="array" ref="I169">IF(G169="","",IFERROR(INDEX('Người sử dụng'!$H$5:$H$140,MATCH(G169,'Người sử dụng'!$C$5:$C$140,0)),"Chưa có trong DS"))</f>
        <v/>
      </c>
      <c r="J169" s="24"/>
      <c r="K169" s="24"/>
      <c r="L169" s="23"/>
      <c r="M169" s="24"/>
      <c r="N169" s="24"/>
      <c r="O169" s="24"/>
      <c r="P169" s="26"/>
      <c r="Q169" s="51"/>
      <c r="R169" s="46"/>
      <c r="S169" s="51"/>
      <c r="T169" s="46"/>
      <c r="U169" s="46"/>
      <c r="V169" s="46"/>
      <c r="W169" s="46"/>
      <c r="X169" s="46"/>
      <c r="Y169" s="46"/>
      <c r="Z169" s="46"/>
      <c r="AA169" s="46"/>
      <c r="AB169" s="46"/>
      <c r="AC169" s="46"/>
      <c r="AD169" s="46"/>
      <c r="AE169" s="46"/>
    </row>
    <row r="170" ht="15.75" customHeight="1">
      <c r="A170" s="40" t="str">
        <f t="shared" si="7"/>
        <v/>
      </c>
      <c r="B170" s="40" t="str">
        <f t="shared" si="8"/>
        <v/>
      </c>
      <c r="C170" s="24"/>
      <c r="D170" s="23"/>
      <c r="E170" s="51"/>
      <c r="F170" s="51"/>
      <c r="G170" s="24"/>
      <c r="H170" s="40"/>
      <c r="I170" s="40" t="str">
        <f t="array" ref="I170">IF(G170="","",IFERROR(INDEX('Người sử dụng'!$H$5:$H$140,MATCH(G170,'Người sử dụng'!$C$5:$C$140,0)),"Chưa có trong DS"))</f>
        <v/>
      </c>
      <c r="J170" s="24"/>
      <c r="K170" s="24"/>
      <c r="L170" s="23"/>
      <c r="M170" s="24"/>
      <c r="N170" s="24"/>
      <c r="O170" s="24"/>
      <c r="P170" s="26"/>
      <c r="Q170" s="51"/>
      <c r="R170" s="46"/>
      <c r="S170" s="51"/>
      <c r="T170" s="46"/>
      <c r="U170" s="46"/>
      <c r="V170" s="46"/>
      <c r="W170" s="46"/>
      <c r="X170" s="46"/>
      <c r="Y170" s="46"/>
      <c r="Z170" s="46"/>
      <c r="AA170" s="46"/>
      <c r="AB170" s="46"/>
      <c r="AC170" s="46"/>
      <c r="AD170" s="46"/>
      <c r="AE170" s="46"/>
    </row>
    <row r="171" ht="15.75" customHeight="1">
      <c r="A171" s="40" t="str">
        <f t="shared" si="7"/>
        <v/>
      </c>
      <c r="B171" s="40" t="str">
        <f t="shared" si="8"/>
        <v/>
      </c>
      <c r="C171" s="24"/>
      <c r="D171" s="23"/>
      <c r="E171" s="51"/>
      <c r="F171" s="51"/>
      <c r="G171" s="24"/>
      <c r="H171" s="40"/>
      <c r="I171" s="40" t="str">
        <f t="array" ref="I171">IF(G171="","",IFERROR(INDEX('Người sử dụng'!$H$5:$H$140,MATCH(G171,'Người sử dụng'!$C$5:$C$140,0)),"Chưa có trong DS"))</f>
        <v/>
      </c>
      <c r="J171" s="24"/>
      <c r="K171" s="24"/>
      <c r="L171" s="23"/>
      <c r="M171" s="24"/>
      <c r="N171" s="24"/>
      <c r="O171" s="24"/>
      <c r="P171" s="26"/>
      <c r="Q171" s="51"/>
      <c r="R171" s="46"/>
      <c r="S171" s="51"/>
      <c r="T171" s="46"/>
      <c r="U171" s="46"/>
      <c r="V171" s="46"/>
      <c r="W171" s="46"/>
      <c r="X171" s="46"/>
      <c r="Y171" s="46"/>
      <c r="Z171" s="46"/>
      <c r="AA171" s="46"/>
      <c r="AB171" s="46"/>
      <c r="AC171" s="46"/>
      <c r="AD171" s="46"/>
      <c r="AE171" s="46"/>
    </row>
    <row r="172" ht="15.75" customHeight="1">
      <c r="A172" s="40" t="str">
        <f t="shared" si="7"/>
        <v/>
      </c>
      <c r="B172" s="40" t="str">
        <f t="shared" si="8"/>
        <v/>
      </c>
      <c r="C172" s="24"/>
      <c r="D172" s="23"/>
      <c r="E172" s="51"/>
      <c r="F172" s="51"/>
      <c r="G172" s="24"/>
      <c r="H172" s="40"/>
      <c r="I172" s="40" t="str">
        <f t="array" ref="I172">IF(G172="","",IFERROR(INDEX('Người sử dụng'!$H$5:$H$140,MATCH(G172,'Người sử dụng'!$C$5:$C$140,0)),"Chưa có trong DS"))</f>
        <v/>
      </c>
      <c r="J172" s="24"/>
      <c r="K172" s="24"/>
      <c r="L172" s="23"/>
      <c r="M172" s="24"/>
      <c r="N172" s="24"/>
      <c r="O172" s="24"/>
      <c r="P172" s="26"/>
      <c r="Q172" s="51"/>
      <c r="R172" s="46"/>
      <c r="S172" s="51"/>
      <c r="T172" s="46"/>
      <c r="U172" s="46"/>
      <c r="V172" s="46"/>
      <c r="W172" s="46"/>
      <c r="X172" s="46"/>
      <c r="Y172" s="46"/>
      <c r="Z172" s="46"/>
      <c r="AA172" s="46"/>
      <c r="AB172" s="46"/>
      <c r="AC172" s="46"/>
      <c r="AD172" s="46"/>
      <c r="AE172" s="46"/>
    </row>
    <row r="173" ht="15.75" customHeight="1">
      <c r="A173" s="40" t="str">
        <f t="shared" si="7"/>
        <v/>
      </c>
      <c r="B173" s="40" t="str">
        <f t="shared" si="8"/>
        <v/>
      </c>
      <c r="C173" s="24"/>
      <c r="D173" s="23"/>
      <c r="E173" s="51"/>
      <c r="F173" s="51"/>
      <c r="G173" s="24"/>
      <c r="H173" s="40"/>
      <c r="I173" s="40" t="str">
        <f t="array" ref="I173">IF(G173="","",IFERROR(INDEX('Người sử dụng'!$H$5:$H$140,MATCH(G173,'Người sử dụng'!$C$5:$C$140,0)),"Chưa có trong DS"))</f>
        <v/>
      </c>
      <c r="J173" s="24"/>
      <c r="K173" s="24"/>
      <c r="L173" s="23"/>
      <c r="M173" s="24"/>
      <c r="N173" s="24"/>
      <c r="O173" s="24"/>
      <c r="P173" s="26"/>
      <c r="Q173" s="51"/>
      <c r="R173" s="46"/>
      <c r="S173" s="51"/>
      <c r="T173" s="46"/>
      <c r="U173" s="46"/>
      <c r="V173" s="46"/>
      <c r="W173" s="46"/>
      <c r="X173" s="46"/>
      <c r="Y173" s="46"/>
      <c r="Z173" s="46"/>
      <c r="AA173" s="46"/>
      <c r="AB173" s="46"/>
      <c r="AC173" s="46"/>
      <c r="AD173" s="46"/>
      <c r="AE173" s="46"/>
    </row>
    <row r="174" ht="15.75" customHeight="1">
      <c r="A174" s="40" t="str">
        <f t="shared" si="7"/>
        <v/>
      </c>
      <c r="B174" s="40" t="str">
        <f t="shared" si="8"/>
        <v/>
      </c>
      <c r="C174" s="24"/>
      <c r="D174" s="23"/>
      <c r="E174" s="51"/>
      <c r="F174" s="51"/>
      <c r="G174" s="24"/>
      <c r="H174" s="40"/>
      <c r="I174" s="40" t="str">
        <f t="array" ref="I174">IF(G174="","",IFERROR(INDEX('Người sử dụng'!$H$5:$H$140,MATCH(G174,'Người sử dụng'!$C$5:$C$140,0)),"Chưa có trong DS"))</f>
        <v/>
      </c>
      <c r="J174" s="24"/>
      <c r="K174" s="24"/>
      <c r="L174" s="23"/>
      <c r="M174" s="24"/>
      <c r="N174" s="24"/>
      <c r="O174" s="24"/>
      <c r="P174" s="26"/>
      <c r="Q174" s="51"/>
      <c r="R174" s="46"/>
      <c r="S174" s="51"/>
      <c r="T174" s="46"/>
      <c r="U174" s="46"/>
      <c r="V174" s="46"/>
      <c r="W174" s="46"/>
      <c r="X174" s="46"/>
      <c r="Y174" s="46"/>
      <c r="Z174" s="46"/>
      <c r="AA174" s="46"/>
      <c r="AB174" s="46"/>
      <c r="AC174" s="46"/>
      <c r="AD174" s="46"/>
      <c r="AE174" s="46"/>
    </row>
    <row r="175" ht="15.75" customHeight="1">
      <c r="A175" s="40" t="str">
        <f t="shared" si="7"/>
        <v/>
      </c>
      <c r="B175" s="40" t="str">
        <f t="shared" si="8"/>
        <v/>
      </c>
      <c r="C175" s="24"/>
      <c r="D175" s="23"/>
      <c r="E175" s="51"/>
      <c r="F175" s="51"/>
      <c r="G175" s="24"/>
      <c r="H175" s="40"/>
      <c r="I175" s="40" t="str">
        <f t="array" ref="I175">IF(G175="","",IFERROR(INDEX('Người sử dụng'!$H$5:$H$140,MATCH(G175,'Người sử dụng'!$C$5:$C$140,0)),"Chưa có trong DS"))</f>
        <v/>
      </c>
      <c r="J175" s="24"/>
      <c r="K175" s="24"/>
      <c r="L175" s="23"/>
      <c r="M175" s="24"/>
      <c r="N175" s="24"/>
      <c r="O175" s="24"/>
      <c r="P175" s="26"/>
      <c r="Q175" s="51"/>
      <c r="R175" s="46"/>
      <c r="S175" s="51"/>
      <c r="T175" s="46"/>
      <c r="U175" s="46"/>
      <c r="V175" s="46"/>
      <c r="W175" s="46"/>
      <c r="X175" s="46"/>
      <c r="Y175" s="46"/>
      <c r="Z175" s="46"/>
      <c r="AA175" s="46"/>
      <c r="AB175" s="46"/>
      <c r="AC175" s="46"/>
      <c r="AD175" s="46"/>
      <c r="AE175" s="46"/>
    </row>
    <row r="176" ht="15.75" customHeight="1">
      <c r="A176" s="40" t="str">
        <f t="shared" si="7"/>
        <v/>
      </c>
      <c r="B176" s="40" t="str">
        <f t="shared" si="8"/>
        <v/>
      </c>
      <c r="C176" s="24"/>
      <c r="D176" s="23"/>
      <c r="E176" s="51"/>
      <c r="F176" s="51"/>
      <c r="G176" s="24"/>
      <c r="H176" s="40"/>
      <c r="I176" s="40" t="str">
        <f t="array" ref="I176">IF(G176="","",IFERROR(INDEX('Người sử dụng'!$H$5:$H$140,MATCH(G176,'Người sử dụng'!$C$5:$C$140,0)),"Chưa có trong DS"))</f>
        <v/>
      </c>
      <c r="J176" s="24"/>
      <c r="K176" s="24"/>
      <c r="L176" s="23"/>
      <c r="M176" s="24"/>
      <c r="N176" s="24"/>
      <c r="O176" s="24"/>
      <c r="P176" s="26"/>
      <c r="Q176" s="51"/>
      <c r="R176" s="46"/>
      <c r="S176" s="51"/>
      <c r="T176" s="46"/>
      <c r="U176" s="46"/>
      <c r="V176" s="46"/>
      <c r="W176" s="46"/>
      <c r="X176" s="46"/>
      <c r="Y176" s="46"/>
      <c r="Z176" s="46"/>
      <c r="AA176" s="46"/>
      <c r="AB176" s="46"/>
      <c r="AC176" s="46"/>
      <c r="AD176" s="46"/>
      <c r="AE176" s="46"/>
    </row>
    <row r="177" ht="15.75" customHeight="1">
      <c r="A177" s="40" t="str">
        <f t="shared" si="7"/>
        <v/>
      </c>
      <c r="B177" s="40" t="str">
        <f t="shared" si="8"/>
        <v/>
      </c>
      <c r="C177" s="24"/>
      <c r="D177" s="23"/>
      <c r="E177" s="51"/>
      <c r="F177" s="51"/>
      <c r="G177" s="24"/>
      <c r="H177" s="40"/>
      <c r="I177" s="40" t="str">
        <f t="array" ref="I177">IF(G177="","",IFERROR(INDEX('Người sử dụng'!$H$5:$H$140,MATCH(G177,'Người sử dụng'!$C$5:$C$140,0)),"Chưa có trong DS"))</f>
        <v/>
      </c>
      <c r="J177" s="24"/>
      <c r="K177" s="24"/>
      <c r="L177" s="23"/>
      <c r="M177" s="24"/>
      <c r="N177" s="24"/>
      <c r="O177" s="24"/>
      <c r="P177" s="26"/>
      <c r="Q177" s="51"/>
      <c r="R177" s="46"/>
      <c r="S177" s="51"/>
      <c r="T177" s="46"/>
      <c r="U177" s="46"/>
      <c r="V177" s="46"/>
      <c r="W177" s="46"/>
      <c r="X177" s="46"/>
      <c r="Y177" s="46"/>
      <c r="Z177" s="46"/>
      <c r="AA177" s="46"/>
      <c r="AB177" s="46"/>
      <c r="AC177" s="46"/>
      <c r="AD177" s="46"/>
      <c r="AE177" s="46"/>
    </row>
    <row r="178" ht="15.75" customHeight="1">
      <c r="A178" s="40" t="str">
        <f t="shared" si="7"/>
        <v/>
      </c>
      <c r="B178" s="40" t="str">
        <f t="shared" si="8"/>
        <v/>
      </c>
      <c r="C178" s="24"/>
      <c r="D178" s="23"/>
      <c r="E178" s="51"/>
      <c r="F178" s="51"/>
      <c r="G178" s="24"/>
      <c r="H178" s="40"/>
      <c r="I178" s="40" t="str">
        <f t="array" ref="I178">IF(G178="","",IFERROR(INDEX('Người sử dụng'!$H$5:$H$140,MATCH(G178,'Người sử dụng'!$C$5:$C$140,0)),"Chưa có trong DS"))</f>
        <v/>
      </c>
      <c r="J178" s="24"/>
      <c r="K178" s="24"/>
      <c r="L178" s="23"/>
      <c r="M178" s="24"/>
      <c r="N178" s="24"/>
      <c r="O178" s="24"/>
      <c r="P178" s="26"/>
      <c r="Q178" s="51"/>
      <c r="R178" s="46"/>
      <c r="S178" s="51"/>
      <c r="T178" s="46"/>
      <c r="U178" s="46"/>
      <c r="V178" s="46"/>
      <c r="W178" s="46"/>
      <c r="X178" s="46"/>
      <c r="Y178" s="46"/>
      <c r="Z178" s="46"/>
      <c r="AA178" s="46"/>
      <c r="AB178" s="46"/>
      <c r="AC178" s="46"/>
      <c r="AD178" s="46"/>
      <c r="AE178" s="46"/>
    </row>
    <row r="179" ht="15.75" customHeight="1">
      <c r="A179" s="40" t="str">
        <f t="shared" si="7"/>
        <v/>
      </c>
      <c r="B179" s="40" t="str">
        <f t="shared" si="8"/>
        <v/>
      </c>
      <c r="C179" s="24"/>
      <c r="D179" s="23"/>
      <c r="E179" s="51"/>
      <c r="F179" s="51"/>
      <c r="G179" s="24"/>
      <c r="H179" s="40"/>
      <c r="I179" s="40" t="str">
        <f t="array" ref="I179">IF(G179="","",IFERROR(INDEX('Người sử dụng'!$H$5:$H$140,MATCH(G179,'Người sử dụng'!$C$5:$C$140,0)),"Chưa có trong DS"))</f>
        <v/>
      </c>
      <c r="J179" s="24"/>
      <c r="K179" s="24"/>
      <c r="L179" s="23"/>
      <c r="M179" s="24"/>
      <c r="N179" s="24"/>
      <c r="O179" s="24"/>
      <c r="P179" s="26"/>
      <c r="Q179" s="51"/>
      <c r="R179" s="46"/>
      <c r="S179" s="51"/>
      <c r="T179" s="46"/>
      <c r="U179" s="46"/>
      <c r="V179" s="46"/>
      <c r="W179" s="46"/>
      <c r="X179" s="46"/>
      <c r="Y179" s="46"/>
      <c r="Z179" s="46"/>
      <c r="AA179" s="46"/>
      <c r="AB179" s="46"/>
      <c r="AC179" s="46"/>
      <c r="AD179" s="46"/>
      <c r="AE179" s="46"/>
    </row>
    <row r="180" ht="15.75" customHeight="1">
      <c r="A180" s="40" t="str">
        <f t="shared" si="7"/>
        <v/>
      </c>
      <c r="B180" s="40" t="str">
        <f t="shared" si="8"/>
        <v/>
      </c>
      <c r="C180" s="24"/>
      <c r="D180" s="23"/>
      <c r="E180" s="51"/>
      <c r="F180" s="51"/>
      <c r="G180" s="24"/>
      <c r="H180" s="40"/>
      <c r="I180" s="40" t="str">
        <f t="array" ref="I180">IF(G180="","",IFERROR(INDEX('Người sử dụng'!$H$5:$H$140,MATCH(G180,'Người sử dụng'!$C$5:$C$140,0)),"Chưa có trong DS"))</f>
        <v/>
      </c>
      <c r="J180" s="24"/>
      <c r="K180" s="24"/>
      <c r="L180" s="23"/>
      <c r="M180" s="24"/>
      <c r="N180" s="24"/>
      <c r="O180" s="24"/>
      <c r="P180" s="26"/>
      <c r="Q180" s="51"/>
      <c r="R180" s="46"/>
      <c r="S180" s="51"/>
      <c r="T180" s="46"/>
      <c r="U180" s="46"/>
      <c r="V180" s="46"/>
      <c r="W180" s="46"/>
      <c r="X180" s="46"/>
      <c r="Y180" s="46"/>
      <c r="Z180" s="46"/>
      <c r="AA180" s="46"/>
      <c r="AB180" s="46"/>
      <c r="AC180" s="46"/>
      <c r="AD180" s="46"/>
      <c r="AE180" s="46"/>
    </row>
    <row r="181" ht="15.75" customHeight="1">
      <c r="A181" s="40" t="str">
        <f t="shared" si="7"/>
        <v/>
      </c>
      <c r="B181" s="40" t="str">
        <f t="shared" si="8"/>
        <v/>
      </c>
      <c r="C181" s="24"/>
      <c r="D181" s="23"/>
      <c r="E181" s="51"/>
      <c r="F181" s="51"/>
      <c r="G181" s="24"/>
      <c r="H181" s="40"/>
      <c r="I181" s="40" t="str">
        <f t="array" ref="I181">IF(G181="","",IFERROR(INDEX('Người sử dụng'!$H$5:$H$140,MATCH(G181,'Người sử dụng'!$C$5:$C$140,0)),"Chưa có trong DS"))</f>
        <v/>
      </c>
      <c r="J181" s="24"/>
      <c r="K181" s="24"/>
      <c r="L181" s="23"/>
      <c r="M181" s="24"/>
      <c r="N181" s="24"/>
      <c r="O181" s="24"/>
      <c r="P181" s="26"/>
      <c r="Q181" s="51"/>
      <c r="R181" s="46"/>
      <c r="S181" s="51"/>
      <c r="T181" s="46"/>
      <c r="U181" s="46"/>
      <c r="V181" s="46"/>
      <c r="W181" s="46"/>
      <c r="X181" s="46"/>
      <c r="Y181" s="46"/>
      <c r="Z181" s="46"/>
      <c r="AA181" s="46"/>
      <c r="AB181" s="46"/>
      <c r="AC181" s="46"/>
      <c r="AD181" s="46"/>
      <c r="AE181" s="46"/>
    </row>
    <row r="182" ht="15.75" customHeight="1">
      <c r="A182" s="40" t="str">
        <f t="shared" si="7"/>
        <v/>
      </c>
      <c r="B182" s="40" t="str">
        <f t="shared" si="8"/>
        <v/>
      </c>
      <c r="C182" s="24"/>
      <c r="D182" s="23"/>
      <c r="E182" s="51"/>
      <c r="F182" s="51"/>
      <c r="G182" s="24"/>
      <c r="H182" s="40"/>
      <c r="I182" s="40" t="str">
        <f t="array" ref="I182">IF(G182="","",IFERROR(INDEX('Người sử dụng'!$H$5:$H$140,MATCH(G182,'Người sử dụng'!$C$5:$C$140,0)),"Chưa có trong DS"))</f>
        <v/>
      </c>
      <c r="J182" s="24"/>
      <c r="K182" s="24"/>
      <c r="L182" s="23"/>
      <c r="M182" s="24"/>
      <c r="N182" s="24"/>
      <c r="O182" s="24"/>
      <c r="P182" s="26"/>
      <c r="Q182" s="51"/>
      <c r="R182" s="46"/>
      <c r="S182" s="51"/>
      <c r="T182" s="46"/>
      <c r="U182" s="46"/>
      <c r="V182" s="46"/>
      <c r="W182" s="46"/>
      <c r="X182" s="46"/>
      <c r="Y182" s="46"/>
      <c r="Z182" s="46"/>
      <c r="AA182" s="46"/>
      <c r="AB182" s="46"/>
      <c r="AC182" s="46"/>
      <c r="AD182" s="46"/>
      <c r="AE182" s="46"/>
    </row>
    <row r="183" ht="15.75" customHeight="1">
      <c r="A183" s="40" t="str">
        <f t="shared" si="7"/>
        <v/>
      </c>
      <c r="B183" s="40" t="str">
        <f t="shared" si="8"/>
        <v/>
      </c>
      <c r="C183" s="24"/>
      <c r="D183" s="23"/>
      <c r="E183" s="51"/>
      <c r="F183" s="51"/>
      <c r="G183" s="24"/>
      <c r="H183" s="40"/>
      <c r="I183" s="40" t="str">
        <f t="array" ref="I183">IF(G183="","",IFERROR(INDEX('Người sử dụng'!$H$5:$H$140,MATCH(G183,'Người sử dụng'!$C$5:$C$140,0)),"Chưa có trong DS"))</f>
        <v/>
      </c>
      <c r="J183" s="24"/>
      <c r="K183" s="24"/>
      <c r="L183" s="23"/>
      <c r="M183" s="24"/>
      <c r="N183" s="24"/>
      <c r="O183" s="24"/>
      <c r="P183" s="26"/>
      <c r="Q183" s="51"/>
      <c r="R183" s="46"/>
      <c r="S183" s="51"/>
      <c r="T183" s="46"/>
      <c r="U183" s="46"/>
      <c r="V183" s="46"/>
      <c r="W183" s="46"/>
      <c r="X183" s="46"/>
      <c r="Y183" s="46"/>
      <c r="Z183" s="46"/>
      <c r="AA183" s="46"/>
      <c r="AB183" s="46"/>
      <c r="AC183" s="46"/>
      <c r="AD183" s="46"/>
      <c r="AE183" s="46"/>
    </row>
    <row r="184" ht="15.75" customHeight="1">
      <c r="A184" s="40" t="str">
        <f t="shared" si="7"/>
        <v/>
      </c>
      <c r="B184" s="40" t="str">
        <f t="shared" si="8"/>
        <v/>
      </c>
      <c r="C184" s="24"/>
      <c r="D184" s="23"/>
      <c r="E184" s="51"/>
      <c r="F184" s="51"/>
      <c r="G184" s="24"/>
      <c r="H184" s="40"/>
      <c r="I184" s="40" t="str">
        <f t="array" ref="I184">IF(G184="","",IFERROR(INDEX('Người sử dụng'!$H$5:$H$140,MATCH(G184,'Người sử dụng'!$C$5:$C$140,0)),"Chưa có trong DS"))</f>
        <v/>
      </c>
      <c r="J184" s="24"/>
      <c r="K184" s="24"/>
      <c r="L184" s="23"/>
      <c r="M184" s="24"/>
      <c r="N184" s="24"/>
      <c r="O184" s="24"/>
      <c r="P184" s="26"/>
      <c r="Q184" s="51"/>
      <c r="R184" s="46"/>
      <c r="S184" s="51"/>
      <c r="T184" s="46"/>
      <c r="U184" s="46"/>
      <c r="V184" s="46"/>
      <c r="W184" s="46"/>
      <c r="X184" s="46"/>
      <c r="Y184" s="46"/>
      <c r="Z184" s="46"/>
      <c r="AA184" s="46"/>
      <c r="AB184" s="46"/>
      <c r="AC184" s="46"/>
      <c r="AD184" s="46"/>
      <c r="AE184" s="46"/>
    </row>
    <row r="185" ht="15.75" customHeight="1">
      <c r="A185" s="40" t="str">
        <f t="shared" si="7"/>
        <v/>
      </c>
      <c r="B185" s="40" t="str">
        <f t="shared" si="8"/>
        <v/>
      </c>
      <c r="C185" s="24"/>
      <c r="D185" s="23"/>
      <c r="E185" s="51"/>
      <c r="F185" s="51"/>
      <c r="G185" s="24"/>
      <c r="H185" s="40"/>
      <c r="I185" s="40" t="str">
        <f t="array" ref="I185">IF(G185="","",IFERROR(INDEX('Người sử dụng'!$H$5:$H$140,MATCH(G185,'Người sử dụng'!$C$5:$C$140,0)),"Chưa có trong DS"))</f>
        <v/>
      </c>
      <c r="J185" s="24"/>
      <c r="K185" s="24"/>
      <c r="L185" s="23"/>
      <c r="M185" s="24"/>
      <c r="N185" s="24"/>
      <c r="O185" s="24"/>
      <c r="P185" s="26"/>
      <c r="Q185" s="51"/>
      <c r="R185" s="46"/>
      <c r="S185" s="51"/>
      <c r="T185" s="46"/>
      <c r="U185" s="46"/>
      <c r="V185" s="46"/>
      <c r="W185" s="46"/>
      <c r="X185" s="46"/>
      <c r="Y185" s="46"/>
      <c r="Z185" s="46"/>
      <c r="AA185" s="46"/>
      <c r="AB185" s="46"/>
      <c r="AC185" s="46"/>
      <c r="AD185" s="46"/>
      <c r="AE185" s="46"/>
    </row>
    <row r="186" ht="15.75" customHeight="1">
      <c r="A186" s="40" t="str">
        <f t="shared" si="7"/>
        <v/>
      </c>
      <c r="B186" s="40" t="str">
        <f t="shared" si="8"/>
        <v/>
      </c>
      <c r="C186" s="24"/>
      <c r="D186" s="23"/>
      <c r="E186" s="51"/>
      <c r="F186" s="51"/>
      <c r="G186" s="24"/>
      <c r="H186" s="40"/>
      <c r="I186" s="40" t="str">
        <f t="array" ref="I186">IF(G186="","",IFERROR(INDEX('Người sử dụng'!$H$5:$H$140,MATCH(G186,'Người sử dụng'!$C$5:$C$140,0)),"Chưa có trong DS"))</f>
        <v/>
      </c>
      <c r="J186" s="24"/>
      <c r="K186" s="24"/>
      <c r="L186" s="23"/>
      <c r="M186" s="24"/>
      <c r="N186" s="24"/>
      <c r="O186" s="24"/>
      <c r="P186" s="26"/>
      <c r="Q186" s="51"/>
      <c r="R186" s="46"/>
      <c r="S186" s="51"/>
      <c r="T186" s="46"/>
      <c r="U186" s="46"/>
      <c r="V186" s="46"/>
      <c r="W186" s="46"/>
      <c r="X186" s="46"/>
      <c r="Y186" s="46"/>
      <c r="Z186" s="46"/>
      <c r="AA186" s="46"/>
      <c r="AB186" s="46"/>
      <c r="AC186" s="46"/>
      <c r="AD186" s="46"/>
      <c r="AE186" s="46"/>
    </row>
    <row r="187" ht="15.75" customHeight="1">
      <c r="A187" s="40" t="str">
        <f t="shared" si="7"/>
        <v/>
      </c>
      <c r="B187" s="40" t="str">
        <f t="shared" si="8"/>
        <v/>
      </c>
      <c r="C187" s="24"/>
      <c r="D187" s="23"/>
      <c r="E187" s="51"/>
      <c r="F187" s="51"/>
      <c r="G187" s="24"/>
      <c r="H187" s="40"/>
      <c r="I187" s="40" t="str">
        <f t="array" ref="I187">IF(G187="","",IFERROR(INDEX('Người sử dụng'!$H$5:$H$140,MATCH(G187,'Người sử dụng'!$C$5:$C$140,0)),"Chưa có trong DS"))</f>
        <v/>
      </c>
      <c r="J187" s="24"/>
      <c r="K187" s="24"/>
      <c r="L187" s="23"/>
      <c r="M187" s="24"/>
      <c r="N187" s="24"/>
      <c r="O187" s="24"/>
      <c r="P187" s="26"/>
      <c r="Q187" s="51"/>
      <c r="R187" s="46"/>
      <c r="S187" s="51"/>
      <c r="T187" s="46"/>
      <c r="U187" s="46"/>
      <c r="V187" s="46"/>
      <c r="W187" s="46"/>
      <c r="X187" s="46"/>
      <c r="Y187" s="46"/>
      <c r="Z187" s="46"/>
      <c r="AA187" s="46"/>
      <c r="AB187" s="46"/>
      <c r="AC187" s="46"/>
      <c r="AD187" s="46"/>
      <c r="AE187" s="46"/>
    </row>
    <row r="188" ht="15.75" customHeight="1">
      <c r="A188" s="40" t="str">
        <f t="shared" si="7"/>
        <v/>
      </c>
      <c r="B188" s="40" t="str">
        <f t="shared" si="8"/>
        <v/>
      </c>
      <c r="C188" s="24"/>
      <c r="D188" s="23"/>
      <c r="E188" s="51"/>
      <c r="F188" s="51"/>
      <c r="G188" s="24"/>
      <c r="H188" s="40"/>
      <c r="I188" s="40" t="str">
        <f t="array" ref="I188">IF(G188="","",IFERROR(INDEX('Người sử dụng'!$H$5:$H$140,MATCH(G188,'Người sử dụng'!$C$5:$C$140,0)),"Chưa có trong DS"))</f>
        <v/>
      </c>
      <c r="J188" s="24"/>
      <c r="K188" s="24"/>
      <c r="L188" s="23"/>
      <c r="M188" s="24"/>
      <c r="N188" s="24"/>
      <c r="O188" s="24"/>
      <c r="P188" s="26"/>
      <c r="Q188" s="51"/>
      <c r="R188" s="46"/>
      <c r="S188" s="51"/>
      <c r="T188" s="46"/>
      <c r="U188" s="46"/>
      <c r="V188" s="46"/>
      <c r="W188" s="46"/>
      <c r="X188" s="46"/>
      <c r="Y188" s="46"/>
      <c r="Z188" s="46"/>
      <c r="AA188" s="46"/>
      <c r="AB188" s="46"/>
      <c r="AC188" s="46"/>
      <c r="AD188" s="46"/>
      <c r="AE188" s="46"/>
    </row>
    <row r="189" ht="15.75" customHeight="1">
      <c r="A189" s="40" t="str">
        <f t="shared" si="7"/>
        <v/>
      </c>
      <c r="B189" s="40" t="str">
        <f t="shared" si="8"/>
        <v/>
      </c>
      <c r="C189" s="24"/>
      <c r="D189" s="23"/>
      <c r="E189" s="51"/>
      <c r="F189" s="51"/>
      <c r="G189" s="24"/>
      <c r="H189" s="40"/>
      <c r="I189" s="40" t="str">
        <f t="array" ref="I189">IF(G189="","",IFERROR(INDEX('Người sử dụng'!$H$5:$H$140,MATCH(G189,'Người sử dụng'!$C$5:$C$140,0)),"Chưa có trong DS"))</f>
        <v/>
      </c>
      <c r="J189" s="24"/>
      <c r="K189" s="24"/>
      <c r="L189" s="23"/>
      <c r="M189" s="24"/>
      <c r="N189" s="24"/>
      <c r="O189" s="24"/>
      <c r="P189" s="26"/>
      <c r="Q189" s="51"/>
      <c r="R189" s="46"/>
      <c r="S189" s="51"/>
      <c r="T189" s="46"/>
      <c r="U189" s="46"/>
      <c r="V189" s="46"/>
      <c r="W189" s="46"/>
      <c r="X189" s="46"/>
      <c r="Y189" s="46"/>
      <c r="Z189" s="46"/>
      <c r="AA189" s="46"/>
      <c r="AB189" s="46"/>
      <c r="AC189" s="46"/>
      <c r="AD189" s="46"/>
      <c r="AE189" s="46"/>
    </row>
    <row r="190" ht="15.75" customHeight="1">
      <c r="A190" s="40" t="str">
        <f t="shared" si="7"/>
        <v/>
      </c>
      <c r="B190" s="40" t="str">
        <f t="shared" si="8"/>
        <v/>
      </c>
      <c r="C190" s="24"/>
      <c r="D190" s="23"/>
      <c r="E190" s="51"/>
      <c r="F190" s="51"/>
      <c r="G190" s="24"/>
      <c r="H190" s="40"/>
      <c r="I190" s="40" t="str">
        <f t="array" ref="I190">IF(G190="","",IFERROR(INDEX('Người sử dụng'!$H$5:$H$140,MATCH(G190,'Người sử dụng'!$C$5:$C$140,0)),"Chưa có trong DS"))</f>
        <v/>
      </c>
      <c r="J190" s="24"/>
      <c r="K190" s="24"/>
      <c r="L190" s="23"/>
      <c r="M190" s="24"/>
      <c r="N190" s="24"/>
      <c r="O190" s="24"/>
      <c r="P190" s="26"/>
      <c r="Q190" s="51"/>
      <c r="R190" s="46"/>
      <c r="S190" s="51"/>
      <c r="T190" s="46"/>
      <c r="U190" s="46"/>
      <c r="V190" s="46"/>
      <c r="W190" s="46"/>
      <c r="X190" s="46"/>
      <c r="Y190" s="46"/>
      <c r="Z190" s="46"/>
      <c r="AA190" s="46"/>
      <c r="AB190" s="46"/>
      <c r="AC190" s="46"/>
      <c r="AD190" s="46"/>
      <c r="AE190" s="46"/>
    </row>
    <row r="191" ht="15.75" customHeight="1">
      <c r="A191" s="40" t="str">
        <f t="shared" si="7"/>
        <v/>
      </c>
      <c r="B191" s="40" t="str">
        <f t="shared" si="8"/>
        <v/>
      </c>
      <c r="C191" s="24"/>
      <c r="D191" s="23"/>
      <c r="E191" s="51"/>
      <c r="F191" s="51"/>
      <c r="G191" s="24"/>
      <c r="H191" s="40"/>
      <c r="I191" s="40" t="str">
        <f t="array" ref="I191">IF(G191="","",IFERROR(INDEX('Người sử dụng'!$H$5:$H$140,MATCH(G191,'Người sử dụng'!$C$5:$C$140,0)),"Chưa có trong DS"))</f>
        <v/>
      </c>
      <c r="J191" s="24"/>
      <c r="K191" s="24"/>
      <c r="L191" s="23"/>
      <c r="M191" s="24"/>
      <c r="N191" s="24"/>
      <c r="O191" s="24"/>
      <c r="P191" s="26"/>
      <c r="Q191" s="51"/>
      <c r="R191" s="46"/>
      <c r="S191" s="51"/>
      <c r="T191" s="46"/>
      <c r="U191" s="46"/>
      <c r="V191" s="46"/>
      <c r="W191" s="46"/>
      <c r="X191" s="46"/>
      <c r="Y191" s="46"/>
      <c r="Z191" s="46"/>
      <c r="AA191" s="46"/>
      <c r="AB191" s="46"/>
      <c r="AC191" s="46"/>
      <c r="AD191" s="46"/>
      <c r="AE191" s="46"/>
    </row>
    <row r="192" ht="15.75" customHeight="1">
      <c r="A192" s="40" t="str">
        <f t="shared" si="7"/>
        <v/>
      </c>
      <c r="B192" s="40" t="str">
        <f t="shared" si="8"/>
        <v/>
      </c>
      <c r="C192" s="24"/>
      <c r="D192" s="23"/>
      <c r="E192" s="51"/>
      <c r="F192" s="51"/>
      <c r="G192" s="24"/>
      <c r="H192" s="40"/>
      <c r="I192" s="40" t="str">
        <f t="array" ref="I192">IF(G192="","",IFERROR(INDEX('Người sử dụng'!$H$5:$H$140,MATCH(G192,'Người sử dụng'!$C$5:$C$140,0)),"Chưa có trong DS"))</f>
        <v/>
      </c>
      <c r="J192" s="24"/>
      <c r="K192" s="24"/>
      <c r="L192" s="23"/>
      <c r="M192" s="24"/>
      <c r="N192" s="24"/>
      <c r="O192" s="24"/>
      <c r="P192" s="26"/>
      <c r="Q192" s="51"/>
      <c r="R192" s="46"/>
      <c r="S192" s="51"/>
      <c r="T192" s="46"/>
      <c r="U192" s="46"/>
      <c r="V192" s="46"/>
      <c r="W192" s="46"/>
      <c r="X192" s="46"/>
      <c r="Y192" s="46"/>
      <c r="Z192" s="46"/>
      <c r="AA192" s="46"/>
      <c r="AB192" s="46"/>
      <c r="AC192" s="46"/>
      <c r="AD192" s="46"/>
      <c r="AE192" s="46"/>
    </row>
    <row r="193" ht="15.75" customHeight="1">
      <c r="A193" s="40" t="str">
        <f t="shared" si="7"/>
        <v/>
      </c>
      <c r="B193" s="40" t="str">
        <f t="shared" si="8"/>
        <v/>
      </c>
      <c r="C193" s="24"/>
      <c r="D193" s="23"/>
      <c r="E193" s="51"/>
      <c r="F193" s="51"/>
      <c r="G193" s="24"/>
      <c r="H193" s="40"/>
      <c r="I193" s="40" t="str">
        <f t="array" ref="I193">IF(G193="","",IFERROR(INDEX('Người sử dụng'!$H$5:$H$140,MATCH(G193,'Người sử dụng'!$C$5:$C$140,0)),"Chưa có trong DS"))</f>
        <v/>
      </c>
      <c r="J193" s="24"/>
      <c r="K193" s="24"/>
      <c r="L193" s="23"/>
      <c r="M193" s="24"/>
      <c r="N193" s="24"/>
      <c r="O193" s="24"/>
      <c r="P193" s="26"/>
      <c r="Q193" s="51"/>
      <c r="R193" s="46"/>
      <c r="S193" s="51"/>
      <c r="T193" s="46"/>
      <c r="U193" s="46"/>
      <c r="V193" s="46"/>
      <c r="W193" s="46"/>
      <c r="X193" s="46"/>
      <c r="Y193" s="46"/>
      <c r="Z193" s="46"/>
      <c r="AA193" s="46"/>
      <c r="AB193" s="46"/>
      <c r="AC193" s="46"/>
      <c r="AD193" s="46"/>
      <c r="AE193" s="46"/>
    </row>
    <row r="194" ht="15.75" customHeight="1">
      <c r="A194" s="40" t="str">
        <f t="shared" si="7"/>
        <v/>
      </c>
      <c r="B194" s="40" t="str">
        <f t="shared" si="8"/>
        <v/>
      </c>
      <c r="C194" s="24"/>
      <c r="D194" s="23"/>
      <c r="E194" s="51"/>
      <c r="F194" s="51"/>
      <c r="G194" s="24"/>
      <c r="H194" s="40"/>
      <c r="I194" s="40" t="str">
        <f t="array" ref="I194">IF(G194="","",IFERROR(INDEX('Người sử dụng'!$H$5:$H$140,MATCH(G194,'Người sử dụng'!$C$5:$C$140,0)),"Chưa có trong DS"))</f>
        <v/>
      </c>
      <c r="J194" s="24"/>
      <c r="K194" s="24"/>
      <c r="L194" s="23"/>
      <c r="M194" s="24"/>
      <c r="N194" s="24"/>
      <c r="O194" s="24"/>
      <c r="P194" s="26"/>
      <c r="Q194" s="51"/>
      <c r="R194" s="46"/>
      <c r="S194" s="51"/>
      <c r="T194" s="46"/>
      <c r="U194" s="46"/>
      <c r="V194" s="46"/>
      <c r="W194" s="46"/>
      <c r="X194" s="46"/>
      <c r="Y194" s="46"/>
      <c r="Z194" s="46"/>
      <c r="AA194" s="46"/>
      <c r="AB194" s="46"/>
      <c r="AC194" s="46"/>
      <c r="AD194" s="46"/>
      <c r="AE194" s="46"/>
    </row>
    <row r="195" ht="15.75" customHeight="1">
      <c r="A195" s="40" t="str">
        <f t="shared" si="7"/>
        <v/>
      </c>
      <c r="B195" s="40" t="str">
        <f t="shared" si="8"/>
        <v/>
      </c>
      <c r="C195" s="24"/>
      <c r="D195" s="23"/>
      <c r="E195" s="51"/>
      <c r="F195" s="51"/>
      <c r="G195" s="24"/>
      <c r="H195" s="40"/>
      <c r="I195" s="40" t="str">
        <f t="array" ref="I195">IF(G195="","",IFERROR(INDEX('Người sử dụng'!$H$5:$H$140,MATCH(G195,'Người sử dụng'!$C$5:$C$140,0)),"Chưa có trong DS"))</f>
        <v/>
      </c>
      <c r="J195" s="24"/>
      <c r="K195" s="24"/>
      <c r="L195" s="23"/>
      <c r="M195" s="24"/>
      <c r="N195" s="24"/>
      <c r="O195" s="24"/>
      <c r="P195" s="26"/>
      <c r="Q195" s="51"/>
      <c r="R195" s="46"/>
      <c r="S195" s="51"/>
      <c r="T195" s="46"/>
      <c r="U195" s="46"/>
      <c r="V195" s="46"/>
      <c r="W195" s="46"/>
      <c r="X195" s="46"/>
      <c r="Y195" s="46"/>
      <c r="Z195" s="46"/>
      <c r="AA195" s="46"/>
      <c r="AB195" s="46"/>
      <c r="AC195" s="46"/>
      <c r="AD195" s="46"/>
      <c r="AE195" s="46"/>
    </row>
    <row r="196" ht="15.75" customHeight="1">
      <c r="A196" s="40" t="str">
        <f t="shared" si="7"/>
        <v/>
      </c>
      <c r="B196" s="40" t="str">
        <f t="shared" si="8"/>
        <v/>
      </c>
      <c r="C196" s="24"/>
      <c r="D196" s="23"/>
      <c r="E196" s="51"/>
      <c r="F196" s="51"/>
      <c r="G196" s="24"/>
      <c r="H196" s="40"/>
      <c r="I196" s="40" t="str">
        <f t="array" ref="I196">IF(G196="","",IFERROR(INDEX('Người sử dụng'!$H$5:$H$140,MATCH(G196,'Người sử dụng'!$C$5:$C$140,0)),"Chưa có trong DS"))</f>
        <v/>
      </c>
      <c r="J196" s="24"/>
      <c r="K196" s="24"/>
      <c r="L196" s="23"/>
      <c r="M196" s="24"/>
      <c r="N196" s="24"/>
      <c r="O196" s="24"/>
      <c r="P196" s="26"/>
      <c r="Q196" s="51"/>
      <c r="R196" s="46"/>
      <c r="S196" s="51"/>
      <c r="T196" s="46"/>
      <c r="U196" s="46"/>
      <c r="V196" s="46"/>
      <c r="W196" s="46"/>
      <c r="X196" s="46"/>
      <c r="Y196" s="46"/>
      <c r="Z196" s="46"/>
      <c r="AA196" s="46"/>
      <c r="AB196" s="46"/>
      <c r="AC196" s="46"/>
      <c r="AD196" s="46"/>
      <c r="AE196" s="46"/>
    </row>
    <row r="197" ht="15.75" customHeight="1">
      <c r="A197" s="40" t="str">
        <f t="shared" si="7"/>
        <v/>
      </c>
      <c r="B197" s="40" t="str">
        <f t="shared" si="8"/>
        <v/>
      </c>
      <c r="C197" s="24"/>
      <c r="D197" s="23"/>
      <c r="E197" s="51"/>
      <c r="F197" s="51"/>
      <c r="G197" s="24"/>
      <c r="H197" s="40"/>
      <c r="I197" s="40" t="str">
        <f t="array" ref="I197">IF(G197="","",IFERROR(INDEX('Người sử dụng'!$H$5:$H$140,MATCH(G197,'Người sử dụng'!$C$5:$C$140,0)),"Chưa có trong DS"))</f>
        <v/>
      </c>
      <c r="J197" s="24"/>
      <c r="K197" s="24"/>
      <c r="L197" s="23"/>
      <c r="M197" s="24"/>
      <c r="N197" s="24"/>
      <c r="O197" s="24"/>
      <c r="P197" s="26"/>
      <c r="Q197" s="51"/>
      <c r="R197" s="46"/>
      <c r="S197" s="51"/>
      <c r="T197" s="46"/>
      <c r="U197" s="46"/>
      <c r="V197" s="46"/>
      <c r="W197" s="46"/>
      <c r="X197" s="46"/>
      <c r="Y197" s="46"/>
      <c r="Z197" s="46"/>
      <c r="AA197" s="46"/>
      <c r="AB197" s="46"/>
      <c r="AC197" s="46"/>
      <c r="AD197" s="46"/>
      <c r="AE197" s="46"/>
    </row>
    <row r="198" ht="15.75" customHeight="1">
      <c r="A198" s="40" t="str">
        <f t="shared" si="7"/>
        <v/>
      </c>
      <c r="B198" s="40" t="str">
        <f t="shared" si="8"/>
        <v/>
      </c>
      <c r="C198" s="24"/>
      <c r="D198" s="23"/>
      <c r="E198" s="51"/>
      <c r="F198" s="51"/>
      <c r="G198" s="24"/>
      <c r="H198" s="40"/>
      <c r="I198" s="40" t="str">
        <f t="array" ref="I198">IF(G198="","",IFERROR(INDEX('Người sử dụng'!$H$5:$H$140,MATCH(G198,'Người sử dụng'!$C$5:$C$140,0)),"Chưa có trong DS"))</f>
        <v/>
      </c>
      <c r="J198" s="24"/>
      <c r="K198" s="24"/>
      <c r="L198" s="23"/>
      <c r="M198" s="24"/>
      <c r="N198" s="24"/>
      <c r="O198" s="24"/>
      <c r="P198" s="26"/>
      <c r="Q198" s="51"/>
      <c r="R198" s="46"/>
      <c r="S198" s="51"/>
      <c r="T198" s="46"/>
      <c r="U198" s="46"/>
      <c r="V198" s="46"/>
      <c r="W198" s="46"/>
      <c r="X198" s="46"/>
      <c r="Y198" s="46"/>
      <c r="Z198" s="46"/>
      <c r="AA198" s="46"/>
      <c r="AB198" s="46"/>
      <c r="AC198" s="46"/>
      <c r="AD198" s="46"/>
      <c r="AE198" s="46"/>
    </row>
    <row r="199" ht="15.75" customHeight="1">
      <c r="A199" s="40" t="str">
        <f t="shared" si="7"/>
        <v/>
      </c>
      <c r="B199" s="40" t="str">
        <f t="shared" si="8"/>
        <v/>
      </c>
      <c r="C199" s="24"/>
      <c r="D199" s="23"/>
      <c r="E199" s="51"/>
      <c r="F199" s="51"/>
      <c r="G199" s="24"/>
      <c r="H199" s="40"/>
      <c r="I199" s="40" t="str">
        <f t="array" ref="I199">IF(G199="","",IFERROR(INDEX('Người sử dụng'!$H$5:$H$140,MATCH(G199,'Người sử dụng'!$C$5:$C$140,0)),"Chưa có trong DS"))</f>
        <v/>
      </c>
      <c r="J199" s="24"/>
      <c r="K199" s="24"/>
      <c r="L199" s="23"/>
      <c r="M199" s="24"/>
      <c r="N199" s="24"/>
      <c r="O199" s="24"/>
      <c r="P199" s="26"/>
      <c r="Q199" s="51"/>
      <c r="R199" s="46"/>
      <c r="S199" s="51"/>
      <c r="T199" s="46"/>
      <c r="U199" s="46"/>
      <c r="V199" s="46"/>
      <c r="W199" s="46"/>
      <c r="X199" s="46"/>
      <c r="Y199" s="46"/>
      <c r="Z199" s="46"/>
      <c r="AA199" s="46"/>
      <c r="AB199" s="46"/>
      <c r="AC199" s="46"/>
      <c r="AD199" s="46"/>
      <c r="AE199" s="46"/>
    </row>
    <row r="200" ht="15.75" customHeight="1">
      <c r="A200" s="40" t="str">
        <f t="shared" si="7"/>
        <v/>
      </c>
      <c r="B200" s="40" t="str">
        <f t="shared" si="8"/>
        <v/>
      </c>
      <c r="C200" s="24"/>
      <c r="D200" s="23"/>
      <c r="E200" s="51"/>
      <c r="F200" s="51"/>
      <c r="G200" s="24"/>
      <c r="H200" s="40"/>
      <c r="I200" s="40" t="str">
        <f t="array" ref="I200">IF(G200="","",IFERROR(INDEX('Người sử dụng'!$H$5:$H$140,MATCH(G200,'Người sử dụng'!$C$5:$C$140,0)),"Chưa có trong DS"))</f>
        <v/>
      </c>
      <c r="J200" s="24"/>
      <c r="K200" s="24"/>
      <c r="L200" s="23"/>
      <c r="M200" s="24"/>
      <c r="N200" s="24"/>
      <c r="O200" s="24"/>
      <c r="P200" s="26"/>
      <c r="Q200" s="51"/>
      <c r="R200" s="46"/>
      <c r="S200" s="51"/>
      <c r="T200" s="46"/>
      <c r="U200" s="46"/>
      <c r="V200" s="46"/>
      <c r="W200" s="46"/>
      <c r="X200" s="46"/>
      <c r="Y200" s="46"/>
      <c r="Z200" s="46"/>
      <c r="AA200" s="46"/>
      <c r="AB200" s="46"/>
      <c r="AC200" s="46"/>
      <c r="AD200" s="46"/>
      <c r="AE200" s="46"/>
    </row>
    <row r="201" ht="15.75" customHeight="1">
      <c r="A201" s="40" t="str">
        <f t="shared" si="7"/>
        <v/>
      </c>
      <c r="B201" s="40" t="str">
        <f t="shared" si="8"/>
        <v/>
      </c>
      <c r="C201" s="24"/>
      <c r="D201" s="23"/>
      <c r="E201" s="51"/>
      <c r="F201" s="51"/>
      <c r="G201" s="24"/>
      <c r="H201" s="40"/>
      <c r="I201" s="40" t="str">
        <f t="array" ref="I201">IF(G201="","",IFERROR(INDEX('Người sử dụng'!$H$5:$H$140,MATCH(G201,'Người sử dụng'!$C$5:$C$140,0)),"Chưa có trong DS"))</f>
        <v/>
      </c>
      <c r="J201" s="24"/>
      <c r="K201" s="24"/>
      <c r="L201" s="23"/>
      <c r="M201" s="24"/>
      <c r="N201" s="24"/>
      <c r="O201" s="24"/>
      <c r="P201" s="26"/>
      <c r="Q201" s="51"/>
      <c r="R201" s="46"/>
      <c r="S201" s="51"/>
      <c r="T201" s="46"/>
      <c r="U201" s="46"/>
      <c r="V201" s="46"/>
      <c r="W201" s="46"/>
      <c r="X201" s="46"/>
      <c r="Y201" s="46"/>
      <c r="Z201" s="46"/>
      <c r="AA201" s="46"/>
      <c r="AB201" s="46"/>
      <c r="AC201" s="46"/>
      <c r="AD201" s="46"/>
      <c r="AE201" s="46"/>
    </row>
    <row r="202" ht="15.75" customHeight="1">
      <c r="A202" s="40" t="str">
        <f t="shared" si="7"/>
        <v/>
      </c>
      <c r="B202" s="40" t="str">
        <f t="shared" si="8"/>
        <v/>
      </c>
      <c r="C202" s="24"/>
      <c r="D202" s="23"/>
      <c r="E202" s="51"/>
      <c r="F202" s="51"/>
      <c r="G202" s="24"/>
      <c r="H202" s="40"/>
      <c r="I202" s="40" t="str">
        <f t="array" ref="I202">IF(G202="","",IFERROR(INDEX('Người sử dụng'!$H$5:$H$140,MATCH(G202,'Người sử dụng'!$C$5:$C$140,0)),"Chưa có trong DS"))</f>
        <v/>
      </c>
      <c r="J202" s="24"/>
      <c r="K202" s="24"/>
      <c r="L202" s="23"/>
      <c r="M202" s="24"/>
      <c r="N202" s="24"/>
      <c r="O202" s="24"/>
      <c r="P202" s="26"/>
      <c r="Q202" s="51"/>
      <c r="R202" s="46"/>
      <c r="S202" s="51"/>
      <c r="T202" s="46"/>
      <c r="U202" s="46"/>
      <c r="V202" s="46"/>
      <c r="W202" s="46"/>
      <c r="X202" s="46"/>
      <c r="Y202" s="46"/>
      <c r="Z202" s="46"/>
      <c r="AA202" s="46"/>
      <c r="AB202" s="46"/>
      <c r="AC202" s="46"/>
      <c r="AD202" s="46"/>
      <c r="AE202" s="46"/>
    </row>
    <row r="203" ht="15.75" customHeight="1">
      <c r="A203" s="40" t="str">
        <f t="shared" si="7"/>
        <v/>
      </c>
      <c r="B203" s="40" t="str">
        <f t="shared" si="8"/>
        <v/>
      </c>
      <c r="C203" s="24"/>
      <c r="D203" s="23"/>
      <c r="E203" s="51"/>
      <c r="F203" s="51"/>
      <c r="G203" s="24"/>
      <c r="H203" s="40"/>
      <c r="I203" s="40" t="str">
        <f t="array" ref="I203">IF(G203="","",IFERROR(INDEX('Người sử dụng'!$H$5:$H$140,MATCH(G203,'Người sử dụng'!$C$5:$C$140,0)),"Chưa có trong DS"))</f>
        <v/>
      </c>
      <c r="J203" s="24"/>
      <c r="K203" s="24"/>
      <c r="L203" s="23"/>
      <c r="M203" s="24"/>
      <c r="N203" s="24"/>
      <c r="O203" s="24"/>
      <c r="P203" s="26"/>
      <c r="Q203" s="51"/>
      <c r="R203" s="46"/>
      <c r="S203" s="51"/>
      <c r="T203" s="46"/>
      <c r="U203" s="46"/>
      <c r="V203" s="46"/>
      <c r="W203" s="46"/>
      <c r="X203" s="46"/>
      <c r="Y203" s="46"/>
      <c r="Z203" s="46"/>
      <c r="AA203" s="46"/>
      <c r="AB203" s="46"/>
      <c r="AC203" s="46"/>
      <c r="AD203" s="46"/>
      <c r="AE203" s="46"/>
    </row>
    <row r="204" ht="15.75" customHeight="1">
      <c r="A204" s="40" t="str">
        <f t="shared" si="7"/>
        <v/>
      </c>
      <c r="B204" s="40" t="str">
        <f t="shared" si="8"/>
        <v/>
      </c>
      <c r="C204" s="24"/>
      <c r="D204" s="23"/>
      <c r="E204" s="51"/>
      <c r="F204" s="51"/>
      <c r="G204" s="24"/>
      <c r="H204" s="40"/>
      <c r="I204" s="40" t="str">
        <f t="array" ref="I204">IF(G204="","",IFERROR(INDEX('Người sử dụng'!$H$5:$H$140,MATCH(G204,'Người sử dụng'!$C$5:$C$140,0)),"Chưa có trong DS"))</f>
        <v/>
      </c>
      <c r="J204" s="24"/>
      <c r="K204" s="24"/>
      <c r="L204" s="23"/>
      <c r="M204" s="24"/>
      <c r="N204" s="24"/>
      <c r="O204" s="24"/>
      <c r="P204" s="26"/>
      <c r="Q204" s="51"/>
      <c r="R204" s="46"/>
      <c r="S204" s="51"/>
      <c r="T204" s="46"/>
      <c r="U204" s="46"/>
      <c r="V204" s="46"/>
      <c r="W204" s="46"/>
      <c r="X204" s="46"/>
      <c r="Y204" s="46"/>
      <c r="Z204" s="46"/>
      <c r="AA204" s="46"/>
      <c r="AB204" s="46"/>
      <c r="AC204" s="46"/>
      <c r="AD204" s="46"/>
      <c r="AE204" s="46"/>
    </row>
    <row r="205" ht="15.75" customHeight="1">
      <c r="A205" s="40" t="str">
        <f t="shared" si="7"/>
        <v/>
      </c>
      <c r="B205" s="40" t="str">
        <f t="shared" si="8"/>
        <v/>
      </c>
      <c r="C205" s="24"/>
      <c r="D205" s="23"/>
      <c r="E205" s="51"/>
      <c r="F205" s="51"/>
      <c r="G205" s="24"/>
      <c r="H205" s="40"/>
      <c r="I205" s="40" t="str">
        <f t="array" ref="I205">IF(G205="","",IFERROR(INDEX('Người sử dụng'!$H$5:$H$140,MATCH(G205,'Người sử dụng'!$C$5:$C$140,0)),"Chưa có trong DS"))</f>
        <v/>
      </c>
      <c r="J205" s="24"/>
      <c r="K205" s="24"/>
      <c r="L205" s="23"/>
      <c r="M205" s="24"/>
      <c r="N205" s="24"/>
      <c r="O205" s="24"/>
      <c r="P205" s="26"/>
      <c r="Q205" s="51"/>
      <c r="R205" s="46"/>
      <c r="S205" s="51"/>
      <c r="T205" s="46"/>
      <c r="U205" s="46"/>
      <c r="V205" s="46"/>
      <c r="W205" s="46"/>
      <c r="X205" s="46"/>
      <c r="Y205" s="46"/>
      <c r="Z205" s="46"/>
      <c r="AA205" s="46"/>
      <c r="AB205" s="46"/>
      <c r="AC205" s="46"/>
      <c r="AD205" s="46"/>
      <c r="AE205" s="46"/>
    </row>
    <row r="206" ht="15.75" customHeight="1">
      <c r="H206" s="52"/>
    </row>
    <row r="207" ht="15.75" customHeight="1">
      <c r="H207" s="52"/>
    </row>
    <row r="208" ht="15.75" customHeight="1">
      <c r="H208" s="52"/>
    </row>
    <row r="209" ht="15.75" customHeight="1">
      <c r="H209" s="52"/>
    </row>
    <row r="210" ht="15.75" customHeight="1">
      <c r="H210" s="52"/>
    </row>
    <row r="211" ht="15.75" customHeight="1">
      <c r="H211" s="52"/>
    </row>
    <row r="212" ht="15.75" customHeight="1">
      <c r="H212" s="52"/>
    </row>
    <row r="213" ht="15.75" customHeight="1">
      <c r="H213" s="52"/>
    </row>
    <row r="214" ht="15.75" customHeight="1">
      <c r="H214" s="52"/>
    </row>
    <row r="215" ht="15.75" customHeight="1">
      <c r="H215" s="52"/>
    </row>
    <row r="216" ht="15.75" customHeight="1">
      <c r="H216" s="52"/>
    </row>
    <row r="217" ht="15.75" customHeight="1">
      <c r="H217" s="52"/>
    </row>
    <row r="218" ht="15.75" customHeight="1">
      <c r="H218" s="52"/>
    </row>
    <row r="219" ht="15.75" customHeight="1">
      <c r="H219" s="52"/>
    </row>
    <row r="220" ht="15.75" customHeight="1">
      <c r="H220" s="52"/>
    </row>
    <row r="221" ht="15.75" customHeight="1">
      <c r="H221" s="52"/>
    </row>
    <row r="222" ht="15.75" customHeight="1">
      <c r="H222" s="52"/>
    </row>
    <row r="223" ht="15.75" customHeight="1">
      <c r="H223" s="52"/>
    </row>
    <row r="224" ht="15.75" customHeight="1">
      <c r="H224" s="52"/>
    </row>
    <row r="225" ht="15.75" customHeight="1">
      <c r="H225" s="52"/>
    </row>
    <row r="226" ht="15.75" customHeight="1">
      <c r="H226" s="52"/>
    </row>
    <row r="227" ht="15.75" customHeight="1">
      <c r="H227" s="52"/>
    </row>
    <row r="228" ht="15.75" customHeight="1">
      <c r="H228" s="52"/>
    </row>
    <row r="229" ht="15.75" customHeight="1">
      <c r="H229" s="52"/>
    </row>
    <row r="230" ht="15.75" customHeight="1">
      <c r="H230" s="52"/>
    </row>
    <row r="231" ht="15.75" customHeight="1">
      <c r="H231" s="52"/>
    </row>
    <row r="232" ht="15.75" customHeight="1">
      <c r="H232" s="52"/>
    </row>
    <row r="233" ht="15.75" customHeight="1">
      <c r="H233" s="52"/>
    </row>
    <row r="234" ht="15.75" customHeight="1">
      <c r="H234" s="52"/>
    </row>
    <row r="235" ht="15.75" customHeight="1">
      <c r="H235" s="52"/>
    </row>
    <row r="236" ht="15.75" customHeight="1">
      <c r="H236" s="52"/>
    </row>
    <row r="237" ht="15.75" customHeight="1">
      <c r="H237" s="52"/>
    </row>
    <row r="238" ht="15.75" customHeight="1">
      <c r="H238" s="52"/>
    </row>
    <row r="239" ht="15.75" customHeight="1">
      <c r="H239" s="52"/>
    </row>
    <row r="240" ht="15.75" customHeight="1">
      <c r="H240" s="52"/>
    </row>
    <row r="241" ht="15.75" customHeight="1">
      <c r="H241" s="52"/>
    </row>
    <row r="242" ht="15.75" customHeight="1">
      <c r="H242" s="52"/>
    </row>
    <row r="243" ht="15.75" customHeight="1">
      <c r="H243" s="52"/>
    </row>
    <row r="244" ht="15.75" customHeight="1">
      <c r="H244" s="52"/>
    </row>
    <row r="245" ht="15.75" customHeight="1">
      <c r="H245" s="52"/>
    </row>
    <row r="246" ht="15.75" customHeight="1">
      <c r="H246" s="52"/>
    </row>
    <row r="247" ht="15.75" customHeight="1">
      <c r="H247" s="52"/>
    </row>
    <row r="248" ht="15.75" customHeight="1">
      <c r="H248" s="52"/>
    </row>
    <row r="249" ht="15.75" customHeight="1">
      <c r="H249" s="52"/>
    </row>
    <row r="250" ht="15.75" customHeight="1">
      <c r="H250" s="52"/>
    </row>
    <row r="251" ht="15.75" customHeight="1">
      <c r="H251" s="52"/>
    </row>
    <row r="252" ht="15.75" customHeight="1">
      <c r="H252" s="52"/>
    </row>
    <row r="253" ht="15.75" customHeight="1">
      <c r="H253" s="52"/>
    </row>
    <row r="254" ht="15.75" customHeight="1">
      <c r="H254" s="52"/>
    </row>
    <row r="255" ht="15.75" customHeight="1">
      <c r="H255" s="52"/>
    </row>
    <row r="256" ht="15.75" customHeight="1">
      <c r="H256" s="52"/>
    </row>
    <row r="257" ht="15.75" customHeight="1">
      <c r="H257" s="52"/>
    </row>
    <row r="258" ht="15.75" customHeight="1">
      <c r="H258" s="52"/>
    </row>
    <row r="259" ht="15.75" customHeight="1">
      <c r="H259" s="52"/>
    </row>
    <row r="260" ht="15.75" customHeight="1">
      <c r="H260" s="52"/>
    </row>
    <row r="261" ht="15.75" customHeight="1">
      <c r="H261" s="52"/>
    </row>
    <row r="262" ht="15.75" customHeight="1">
      <c r="H262" s="52"/>
    </row>
    <row r="263" ht="15.75" customHeight="1">
      <c r="H263" s="52"/>
    </row>
    <row r="264" ht="15.75" customHeight="1">
      <c r="H264" s="52"/>
    </row>
    <row r="265" ht="15.75" customHeight="1">
      <c r="H265" s="52"/>
    </row>
    <row r="266" ht="15.75" customHeight="1">
      <c r="H266" s="52"/>
    </row>
    <row r="267" ht="15.75" customHeight="1">
      <c r="H267" s="52"/>
    </row>
    <row r="268" ht="15.75" customHeight="1">
      <c r="H268" s="52"/>
    </row>
    <row r="269" ht="15.75" customHeight="1">
      <c r="H269" s="52"/>
    </row>
    <row r="270" ht="15.75" customHeight="1">
      <c r="H270" s="52"/>
    </row>
    <row r="271" ht="15.75" customHeight="1">
      <c r="H271" s="52"/>
    </row>
    <row r="272" ht="15.75" customHeight="1">
      <c r="H272" s="52"/>
    </row>
    <row r="273" ht="15.75" customHeight="1">
      <c r="H273" s="52"/>
    </row>
    <row r="274" ht="15.75" customHeight="1">
      <c r="H274" s="52"/>
    </row>
    <row r="275" ht="15.75" customHeight="1">
      <c r="H275" s="52"/>
    </row>
    <row r="276" ht="15.75" customHeight="1">
      <c r="H276" s="52"/>
    </row>
    <row r="277" ht="15.75" customHeight="1">
      <c r="H277" s="52"/>
    </row>
    <row r="278" ht="15.75" customHeight="1">
      <c r="H278" s="52"/>
    </row>
    <row r="279" ht="15.75" customHeight="1">
      <c r="H279" s="52"/>
    </row>
    <row r="280" ht="15.75" customHeight="1">
      <c r="H280" s="52"/>
    </row>
    <row r="281" ht="15.75" customHeight="1">
      <c r="H281" s="52"/>
    </row>
    <row r="282" ht="15.75" customHeight="1">
      <c r="H282" s="52"/>
    </row>
    <row r="283" ht="15.75" customHeight="1">
      <c r="H283" s="52"/>
    </row>
    <row r="284" ht="15.75" customHeight="1">
      <c r="H284" s="52"/>
    </row>
    <row r="285" ht="15.75" customHeight="1">
      <c r="H285" s="52"/>
    </row>
    <row r="286" ht="15.75" customHeight="1">
      <c r="H286" s="52"/>
    </row>
    <row r="287" ht="15.75" customHeight="1">
      <c r="H287" s="52"/>
    </row>
    <row r="288" ht="15.75" customHeight="1">
      <c r="H288" s="52"/>
    </row>
    <row r="289" ht="15.75" customHeight="1">
      <c r="H289" s="52"/>
    </row>
    <row r="290" ht="15.75" customHeight="1">
      <c r="H290" s="52"/>
    </row>
    <row r="291" ht="15.75" customHeight="1">
      <c r="H291" s="52"/>
    </row>
    <row r="292" ht="15.75" customHeight="1">
      <c r="H292" s="52"/>
    </row>
    <row r="293" ht="15.75" customHeight="1">
      <c r="H293" s="52"/>
    </row>
    <row r="294" ht="15.75" customHeight="1">
      <c r="H294" s="52"/>
    </row>
    <row r="295" ht="15.75" customHeight="1">
      <c r="H295" s="52"/>
    </row>
    <row r="296" ht="15.75" customHeight="1">
      <c r="H296" s="52"/>
    </row>
    <row r="297" ht="15.75" customHeight="1">
      <c r="H297" s="52"/>
    </row>
    <row r="298" ht="15.75" customHeight="1">
      <c r="H298" s="52"/>
    </row>
    <row r="299" ht="15.75" customHeight="1">
      <c r="H299" s="52"/>
    </row>
    <row r="300" ht="15.75" customHeight="1">
      <c r="H300" s="52"/>
    </row>
    <row r="301" ht="15.75" customHeight="1">
      <c r="H301" s="52"/>
    </row>
    <row r="302" ht="15.75" customHeight="1">
      <c r="H302" s="52"/>
    </row>
    <row r="303" ht="15.75" customHeight="1">
      <c r="H303" s="52"/>
    </row>
    <row r="304" ht="15.75" customHeight="1">
      <c r="H304" s="52"/>
    </row>
    <row r="305" ht="15.75" customHeight="1">
      <c r="H305" s="52"/>
    </row>
    <row r="306" ht="15.75" customHeight="1">
      <c r="H306" s="52"/>
    </row>
    <row r="307" ht="15.75" customHeight="1">
      <c r="H307" s="52"/>
    </row>
    <row r="308" ht="15.75" customHeight="1">
      <c r="H308" s="52"/>
    </row>
    <row r="309" ht="15.75" customHeight="1">
      <c r="H309" s="52"/>
    </row>
    <row r="310" ht="15.75" customHeight="1">
      <c r="H310" s="52"/>
    </row>
    <row r="311" ht="15.75" customHeight="1">
      <c r="H311" s="52"/>
    </row>
    <row r="312" ht="15.75" customHeight="1">
      <c r="H312" s="52"/>
    </row>
    <row r="313" ht="15.75" customHeight="1">
      <c r="H313" s="52"/>
    </row>
    <row r="314" ht="15.75" customHeight="1">
      <c r="H314" s="52"/>
    </row>
    <row r="315" ht="15.75" customHeight="1">
      <c r="H315" s="52"/>
    </row>
    <row r="316" ht="15.75" customHeight="1">
      <c r="H316" s="52"/>
    </row>
    <row r="317" ht="15.75" customHeight="1">
      <c r="H317" s="52"/>
    </row>
    <row r="318" ht="15.75" customHeight="1">
      <c r="H318" s="52"/>
    </row>
    <row r="319" ht="15.75" customHeight="1">
      <c r="H319" s="52"/>
    </row>
    <row r="320" ht="15.75" customHeight="1">
      <c r="H320" s="52"/>
    </row>
    <row r="321" ht="15.75" customHeight="1">
      <c r="H321" s="52"/>
    </row>
    <row r="322" ht="15.75" customHeight="1">
      <c r="H322" s="52"/>
    </row>
    <row r="323" ht="15.75" customHeight="1">
      <c r="H323" s="52"/>
    </row>
    <row r="324" ht="15.75" customHeight="1">
      <c r="H324" s="52"/>
    </row>
    <row r="325" ht="15.75" customHeight="1">
      <c r="H325" s="52"/>
    </row>
    <row r="326" ht="15.75" customHeight="1">
      <c r="H326" s="52"/>
    </row>
    <row r="327" ht="15.75" customHeight="1">
      <c r="H327" s="52"/>
    </row>
    <row r="328" ht="15.75" customHeight="1">
      <c r="H328" s="52"/>
    </row>
    <row r="329" ht="15.75" customHeight="1">
      <c r="H329" s="52"/>
    </row>
    <row r="330" ht="15.75" customHeight="1">
      <c r="H330" s="52"/>
    </row>
    <row r="331" ht="15.75" customHeight="1">
      <c r="H331" s="52"/>
    </row>
    <row r="332" ht="15.75" customHeight="1">
      <c r="H332" s="52"/>
    </row>
    <row r="333" ht="15.75" customHeight="1">
      <c r="H333" s="52"/>
    </row>
    <row r="334" ht="15.75" customHeight="1">
      <c r="H334" s="52"/>
    </row>
    <row r="335" ht="15.75" customHeight="1">
      <c r="H335" s="52"/>
    </row>
    <row r="336" ht="15.75" customHeight="1">
      <c r="H336" s="52"/>
    </row>
    <row r="337" ht="15.75" customHeight="1">
      <c r="H337" s="52"/>
    </row>
    <row r="338" ht="15.75" customHeight="1">
      <c r="H338" s="52"/>
    </row>
    <row r="339" ht="15.75" customHeight="1">
      <c r="H339" s="52"/>
    </row>
    <row r="340" ht="15.75" customHeight="1">
      <c r="H340" s="52"/>
    </row>
    <row r="341" ht="15.75" customHeight="1">
      <c r="H341" s="52"/>
    </row>
    <row r="342" ht="15.75" customHeight="1">
      <c r="H342" s="52"/>
    </row>
    <row r="343" ht="15.75" customHeight="1">
      <c r="H343" s="52"/>
    </row>
    <row r="344" ht="15.75" customHeight="1">
      <c r="H344" s="52"/>
    </row>
    <row r="345" ht="15.75" customHeight="1">
      <c r="H345" s="52"/>
    </row>
    <row r="346" ht="15.75" customHeight="1">
      <c r="H346" s="52"/>
    </row>
    <row r="347" ht="15.75" customHeight="1">
      <c r="H347" s="52"/>
    </row>
    <row r="348" ht="15.75" customHeight="1">
      <c r="H348" s="52"/>
    </row>
    <row r="349" ht="15.75" customHeight="1">
      <c r="H349" s="52"/>
    </row>
    <row r="350" ht="15.75" customHeight="1">
      <c r="H350" s="52"/>
    </row>
    <row r="351" ht="15.75" customHeight="1">
      <c r="H351" s="52"/>
    </row>
    <row r="352" ht="15.75" customHeight="1">
      <c r="H352" s="52"/>
    </row>
    <row r="353" ht="15.75" customHeight="1">
      <c r="H353" s="52"/>
    </row>
    <row r="354" ht="15.75" customHeight="1">
      <c r="H354" s="52"/>
    </row>
    <row r="355" ht="15.75" customHeight="1">
      <c r="H355" s="52"/>
    </row>
    <row r="356" ht="15.75" customHeight="1">
      <c r="H356" s="52"/>
    </row>
    <row r="357" ht="15.75" customHeight="1">
      <c r="H357" s="52"/>
    </row>
    <row r="358" ht="15.75" customHeight="1">
      <c r="H358" s="52"/>
    </row>
    <row r="359" ht="15.75" customHeight="1">
      <c r="H359" s="52"/>
    </row>
    <row r="360" ht="15.75" customHeight="1">
      <c r="H360" s="52"/>
    </row>
    <row r="361" ht="15.75" customHeight="1">
      <c r="H361" s="52"/>
    </row>
    <row r="362" ht="15.75" customHeight="1">
      <c r="H362" s="52"/>
    </row>
    <row r="363" ht="15.75" customHeight="1">
      <c r="H363" s="52"/>
    </row>
    <row r="364" ht="15.75" customHeight="1">
      <c r="H364" s="52"/>
    </row>
    <row r="365" ht="15.75" customHeight="1">
      <c r="H365" s="52"/>
    </row>
    <row r="366" ht="15.75" customHeight="1">
      <c r="H366" s="52"/>
    </row>
    <row r="367" ht="15.75" customHeight="1">
      <c r="H367" s="52"/>
    </row>
    <row r="368" ht="15.75" customHeight="1">
      <c r="H368" s="52"/>
    </row>
    <row r="369" ht="15.75" customHeight="1">
      <c r="H369" s="52"/>
    </row>
    <row r="370" ht="15.75" customHeight="1">
      <c r="H370" s="52"/>
    </row>
    <row r="371" ht="15.75" customHeight="1">
      <c r="H371" s="52"/>
    </row>
    <row r="372" ht="15.75" customHeight="1">
      <c r="H372" s="52"/>
    </row>
    <row r="373" ht="15.75" customHeight="1">
      <c r="H373" s="52"/>
    </row>
    <row r="374" ht="15.75" customHeight="1">
      <c r="H374" s="52"/>
    </row>
    <row r="375" ht="15.75" customHeight="1">
      <c r="H375" s="52"/>
    </row>
    <row r="376" ht="15.75" customHeight="1">
      <c r="H376" s="52"/>
    </row>
    <row r="377" ht="15.75" customHeight="1">
      <c r="H377" s="52"/>
    </row>
    <row r="378" ht="15.75" customHeight="1">
      <c r="H378" s="52"/>
    </row>
    <row r="379" ht="15.75" customHeight="1">
      <c r="H379" s="52"/>
    </row>
    <row r="380" ht="15.75" customHeight="1">
      <c r="H380" s="52"/>
    </row>
    <row r="381" ht="15.75" customHeight="1">
      <c r="H381" s="52"/>
    </row>
    <row r="382" ht="15.75" customHeight="1">
      <c r="H382" s="52"/>
    </row>
    <row r="383" ht="15.75" customHeight="1">
      <c r="H383" s="52"/>
    </row>
    <row r="384" ht="15.75" customHeight="1">
      <c r="H384" s="52"/>
    </row>
    <row r="385" ht="15.75" customHeight="1">
      <c r="H385" s="52"/>
    </row>
    <row r="386" ht="15.75" customHeight="1">
      <c r="H386" s="52"/>
    </row>
    <row r="387" ht="15.75" customHeight="1">
      <c r="H387" s="52"/>
    </row>
    <row r="388" ht="15.75" customHeight="1">
      <c r="H388" s="52"/>
    </row>
    <row r="389" ht="15.75" customHeight="1">
      <c r="H389" s="52"/>
    </row>
    <row r="390" ht="15.75" customHeight="1">
      <c r="H390" s="52"/>
    </row>
    <row r="391" ht="15.75" customHeight="1">
      <c r="H391" s="52"/>
    </row>
    <row r="392" ht="15.75" customHeight="1">
      <c r="H392" s="52"/>
    </row>
    <row r="393" ht="15.75" customHeight="1">
      <c r="H393" s="52"/>
    </row>
    <row r="394" ht="15.75" customHeight="1">
      <c r="H394" s="52"/>
    </row>
    <row r="395" ht="15.75" customHeight="1">
      <c r="H395" s="52"/>
    </row>
    <row r="396" ht="15.75" customHeight="1">
      <c r="H396" s="52"/>
    </row>
    <row r="397" ht="15.75" customHeight="1">
      <c r="H397" s="52"/>
    </row>
    <row r="398" ht="15.75" customHeight="1">
      <c r="H398" s="52"/>
    </row>
    <row r="399" ht="15.75" customHeight="1">
      <c r="H399" s="52"/>
    </row>
    <row r="400" ht="15.75" customHeight="1">
      <c r="H400" s="52"/>
    </row>
    <row r="401" ht="15.75" customHeight="1">
      <c r="H401" s="52"/>
    </row>
    <row r="402" ht="15.75" customHeight="1">
      <c r="H402" s="52"/>
    </row>
    <row r="403" ht="15.75" customHeight="1">
      <c r="H403" s="52"/>
    </row>
    <row r="404" ht="15.75" customHeight="1">
      <c r="H404" s="52"/>
    </row>
    <row r="405" ht="15.75" customHeight="1">
      <c r="H405" s="52"/>
    </row>
    <row r="406" ht="15.75" customHeight="1">
      <c r="H406" s="52"/>
    </row>
    <row r="407" ht="15.75" customHeight="1">
      <c r="H407" s="52"/>
    </row>
    <row r="408" ht="15.75" customHeight="1">
      <c r="H408" s="52"/>
    </row>
    <row r="409" ht="15.75" customHeight="1">
      <c r="H409" s="52"/>
    </row>
    <row r="410" ht="15.75" customHeight="1">
      <c r="H410" s="52"/>
    </row>
    <row r="411" ht="15.75" customHeight="1">
      <c r="H411" s="52"/>
    </row>
    <row r="412" ht="15.75" customHeight="1">
      <c r="H412" s="52"/>
    </row>
    <row r="413" ht="15.75" customHeight="1">
      <c r="H413" s="52"/>
    </row>
    <row r="414" ht="15.75" customHeight="1">
      <c r="H414" s="52"/>
    </row>
    <row r="415" ht="15.75" customHeight="1">
      <c r="H415" s="52"/>
    </row>
    <row r="416" ht="15.75" customHeight="1">
      <c r="H416" s="52"/>
    </row>
    <row r="417" ht="15.75" customHeight="1">
      <c r="H417" s="52"/>
    </row>
    <row r="418" ht="15.75" customHeight="1">
      <c r="H418" s="52"/>
    </row>
    <row r="419" ht="15.75" customHeight="1">
      <c r="H419" s="52"/>
    </row>
    <row r="420" ht="15.75" customHeight="1">
      <c r="H420" s="52"/>
    </row>
    <row r="421" ht="15.75" customHeight="1">
      <c r="H421" s="52"/>
    </row>
    <row r="422" ht="15.75" customHeight="1">
      <c r="H422" s="52"/>
    </row>
    <row r="423" ht="15.75" customHeight="1">
      <c r="H423" s="52"/>
    </row>
    <row r="424" ht="15.75" customHeight="1">
      <c r="H424" s="52"/>
    </row>
    <row r="425" ht="15.75" customHeight="1">
      <c r="H425" s="52"/>
    </row>
    <row r="426" ht="15.75" customHeight="1">
      <c r="H426" s="52"/>
    </row>
    <row r="427" ht="15.75" customHeight="1">
      <c r="H427" s="52"/>
    </row>
    <row r="428" ht="15.75" customHeight="1">
      <c r="H428" s="52"/>
    </row>
    <row r="429" ht="15.75" customHeight="1">
      <c r="H429" s="52"/>
    </row>
    <row r="430" ht="15.75" customHeight="1">
      <c r="H430" s="52"/>
    </row>
    <row r="431" ht="15.75" customHeight="1">
      <c r="H431" s="52"/>
    </row>
    <row r="432" ht="15.75" customHeight="1">
      <c r="H432" s="52"/>
    </row>
    <row r="433" ht="15.75" customHeight="1">
      <c r="H433" s="52"/>
    </row>
    <row r="434" ht="15.75" customHeight="1">
      <c r="H434" s="52"/>
    </row>
    <row r="435" ht="15.75" customHeight="1">
      <c r="H435" s="52"/>
    </row>
    <row r="436" ht="15.75" customHeight="1">
      <c r="H436" s="52"/>
    </row>
    <row r="437" ht="15.75" customHeight="1">
      <c r="H437" s="52"/>
    </row>
    <row r="438" ht="15.75" customHeight="1">
      <c r="H438" s="52"/>
    </row>
    <row r="439" ht="15.75" customHeight="1">
      <c r="H439" s="52"/>
    </row>
    <row r="440" ht="15.75" customHeight="1">
      <c r="H440" s="52"/>
    </row>
    <row r="441" ht="15.75" customHeight="1">
      <c r="H441" s="52"/>
    </row>
    <row r="442" ht="15.75" customHeight="1">
      <c r="H442" s="52"/>
    </row>
    <row r="443" ht="15.75" customHeight="1">
      <c r="H443" s="52"/>
    </row>
    <row r="444" ht="15.75" customHeight="1">
      <c r="H444" s="52"/>
    </row>
    <row r="445" ht="15.75" customHeight="1">
      <c r="H445" s="52"/>
    </row>
    <row r="446" ht="15.75" customHeight="1">
      <c r="H446" s="52"/>
    </row>
    <row r="447" ht="15.75" customHeight="1">
      <c r="H447" s="52"/>
    </row>
    <row r="448" ht="15.75" customHeight="1">
      <c r="H448" s="52"/>
    </row>
    <row r="449" ht="15.75" customHeight="1">
      <c r="H449" s="52"/>
    </row>
    <row r="450" ht="15.75" customHeight="1">
      <c r="H450" s="52"/>
    </row>
    <row r="451" ht="15.75" customHeight="1">
      <c r="H451" s="52"/>
    </row>
    <row r="452" ht="15.75" customHeight="1">
      <c r="H452" s="52"/>
    </row>
    <row r="453" ht="15.75" customHeight="1">
      <c r="H453" s="52"/>
    </row>
    <row r="454" ht="15.75" customHeight="1">
      <c r="H454" s="52"/>
    </row>
    <row r="455" ht="15.75" customHeight="1">
      <c r="H455" s="52"/>
    </row>
    <row r="456" ht="15.75" customHeight="1">
      <c r="H456" s="52"/>
    </row>
    <row r="457" ht="15.75" customHeight="1">
      <c r="H457" s="52"/>
    </row>
    <row r="458" ht="15.75" customHeight="1">
      <c r="H458" s="52"/>
    </row>
    <row r="459" ht="15.75" customHeight="1">
      <c r="H459" s="52"/>
    </row>
    <row r="460" ht="15.75" customHeight="1">
      <c r="H460" s="52"/>
    </row>
    <row r="461" ht="15.75" customHeight="1">
      <c r="H461" s="52"/>
    </row>
    <row r="462" ht="15.75" customHeight="1">
      <c r="H462" s="52"/>
    </row>
    <row r="463" ht="15.75" customHeight="1">
      <c r="H463" s="52"/>
    </row>
    <row r="464" ht="15.75" customHeight="1">
      <c r="H464" s="52"/>
    </row>
    <row r="465" ht="15.75" customHeight="1">
      <c r="H465" s="52"/>
    </row>
    <row r="466" ht="15.75" customHeight="1">
      <c r="H466" s="52"/>
    </row>
    <row r="467" ht="15.75" customHeight="1">
      <c r="H467" s="52"/>
    </row>
    <row r="468" ht="15.75" customHeight="1">
      <c r="H468" s="52"/>
    </row>
    <row r="469" ht="15.75" customHeight="1">
      <c r="H469" s="52"/>
    </row>
    <row r="470" ht="15.75" customHeight="1">
      <c r="H470" s="52"/>
    </row>
    <row r="471" ht="15.75" customHeight="1">
      <c r="H471" s="52"/>
    </row>
    <row r="472" ht="15.75" customHeight="1">
      <c r="H472" s="52"/>
    </row>
    <row r="473" ht="15.75" customHeight="1">
      <c r="H473" s="52"/>
    </row>
    <row r="474" ht="15.75" customHeight="1">
      <c r="H474" s="52"/>
    </row>
    <row r="475" ht="15.75" customHeight="1">
      <c r="H475" s="52"/>
    </row>
    <row r="476" ht="15.75" customHeight="1">
      <c r="H476" s="52"/>
    </row>
    <row r="477" ht="15.75" customHeight="1">
      <c r="H477" s="52"/>
    </row>
    <row r="478" ht="15.75" customHeight="1">
      <c r="H478" s="52"/>
    </row>
    <row r="479" ht="15.75" customHeight="1">
      <c r="H479" s="52"/>
    </row>
    <row r="480" ht="15.75" customHeight="1">
      <c r="H480" s="52"/>
    </row>
    <row r="481" ht="15.75" customHeight="1">
      <c r="H481" s="52"/>
    </row>
    <row r="482" ht="15.75" customHeight="1">
      <c r="H482" s="52"/>
    </row>
    <row r="483" ht="15.75" customHeight="1">
      <c r="H483" s="52"/>
    </row>
    <row r="484" ht="15.75" customHeight="1">
      <c r="H484" s="52"/>
    </row>
    <row r="485" ht="15.75" customHeight="1">
      <c r="H485" s="52"/>
    </row>
    <row r="486" ht="15.75" customHeight="1">
      <c r="H486" s="52"/>
    </row>
    <row r="487" ht="15.75" customHeight="1">
      <c r="H487" s="52"/>
    </row>
    <row r="488" ht="15.75" customHeight="1">
      <c r="H488" s="52"/>
    </row>
    <row r="489" ht="15.75" customHeight="1">
      <c r="H489" s="52"/>
    </row>
    <row r="490" ht="15.75" customHeight="1">
      <c r="H490" s="52"/>
    </row>
    <row r="491" ht="15.75" customHeight="1">
      <c r="H491" s="52"/>
    </row>
    <row r="492" ht="15.75" customHeight="1">
      <c r="H492" s="52"/>
    </row>
    <row r="493" ht="15.75" customHeight="1">
      <c r="H493" s="52"/>
    </row>
    <row r="494" ht="15.75" customHeight="1">
      <c r="H494" s="52"/>
    </row>
    <row r="495" ht="15.75" customHeight="1">
      <c r="H495" s="52"/>
    </row>
    <row r="496" ht="15.75" customHeight="1">
      <c r="H496" s="52"/>
    </row>
    <row r="497" ht="15.75" customHeight="1">
      <c r="H497" s="52"/>
    </row>
    <row r="498" ht="15.75" customHeight="1">
      <c r="H498" s="52"/>
    </row>
    <row r="499" ht="15.75" customHeight="1">
      <c r="H499" s="52"/>
    </row>
    <row r="500" ht="15.75" customHeight="1">
      <c r="H500" s="52"/>
    </row>
    <row r="501" ht="15.75" customHeight="1">
      <c r="H501" s="52"/>
    </row>
    <row r="502" ht="15.75" customHeight="1">
      <c r="H502" s="52"/>
    </row>
    <row r="503" ht="15.75" customHeight="1">
      <c r="H503" s="52"/>
    </row>
    <row r="504" ht="15.75" customHeight="1">
      <c r="H504" s="52"/>
    </row>
    <row r="505" ht="15.75" customHeight="1">
      <c r="H505" s="52"/>
    </row>
    <row r="506" ht="15.75" customHeight="1">
      <c r="H506" s="52"/>
    </row>
    <row r="507" ht="15.75" customHeight="1">
      <c r="H507" s="52"/>
    </row>
    <row r="508" ht="15.75" customHeight="1">
      <c r="H508" s="52"/>
    </row>
    <row r="509" ht="15.75" customHeight="1">
      <c r="H509" s="52"/>
    </row>
    <row r="510" ht="15.75" customHeight="1">
      <c r="H510" s="52"/>
    </row>
    <row r="511" ht="15.75" customHeight="1">
      <c r="H511" s="52"/>
    </row>
    <row r="512" ht="15.75" customHeight="1">
      <c r="H512" s="52"/>
    </row>
    <row r="513" ht="15.75" customHeight="1">
      <c r="H513" s="52"/>
    </row>
    <row r="514" ht="15.75" customHeight="1">
      <c r="H514" s="52"/>
    </row>
    <row r="515" ht="15.75" customHeight="1">
      <c r="H515" s="52"/>
    </row>
    <row r="516" ht="15.75" customHeight="1">
      <c r="H516" s="52"/>
    </row>
    <row r="517" ht="15.75" customHeight="1">
      <c r="H517" s="52"/>
    </row>
    <row r="518" ht="15.75" customHeight="1">
      <c r="H518" s="52"/>
    </row>
    <row r="519" ht="15.75" customHeight="1">
      <c r="H519" s="52"/>
    </row>
    <row r="520" ht="15.75" customHeight="1">
      <c r="H520" s="52"/>
    </row>
    <row r="521" ht="15.75" customHeight="1">
      <c r="H521" s="52"/>
    </row>
    <row r="522" ht="15.75" customHeight="1">
      <c r="H522" s="52"/>
    </row>
    <row r="523" ht="15.75" customHeight="1">
      <c r="H523" s="52"/>
    </row>
    <row r="524" ht="15.75" customHeight="1">
      <c r="H524" s="52"/>
    </row>
    <row r="525" ht="15.75" customHeight="1">
      <c r="H525" s="52"/>
    </row>
    <row r="526" ht="15.75" customHeight="1">
      <c r="H526" s="52"/>
    </row>
    <row r="527" ht="15.75" customHeight="1">
      <c r="H527" s="52"/>
    </row>
    <row r="528" ht="15.75" customHeight="1">
      <c r="H528" s="52"/>
    </row>
    <row r="529" ht="15.75" customHeight="1">
      <c r="H529" s="52"/>
    </row>
    <row r="530" ht="15.75" customHeight="1">
      <c r="H530" s="52"/>
    </row>
    <row r="531" ht="15.75" customHeight="1">
      <c r="H531" s="52"/>
    </row>
    <row r="532" ht="15.75" customHeight="1">
      <c r="H532" s="52"/>
    </row>
    <row r="533" ht="15.75" customHeight="1">
      <c r="H533" s="52"/>
    </row>
    <row r="534" ht="15.75" customHeight="1">
      <c r="H534" s="52"/>
    </row>
    <row r="535" ht="15.75" customHeight="1">
      <c r="H535" s="52"/>
    </row>
    <row r="536" ht="15.75" customHeight="1">
      <c r="H536" s="52"/>
    </row>
    <row r="537" ht="15.75" customHeight="1">
      <c r="H537" s="52"/>
    </row>
    <row r="538" ht="15.75" customHeight="1">
      <c r="H538" s="52"/>
    </row>
    <row r="539" ht="15.75" customHeight="1">
      <c r="H539" s="52"/>
    </row>
    <row r="540" ht="15.75" customHeight="1">
      <c r="H540" s="52"/>
    </row>
    <row r="541" ht="15.75" customHeight="1">
      <c r="H541" s="52"/>
    </row>
    <row r="542" ht="15.75" customHeight="1">
      <c r="H542" s="52"/>
    </row>
    <row r="543" ht="15.75" customHeight="1">
      <c r="H543" s="52"/>
    </row>
    <row r="544" ht="15.75" customHeight="1">
      <c r="H544" s="52"/>
    </row>
    <row r="545" ht="15.75" customHeight="1">
      <c r="H545" s="52"/>
    </row>
    <row r="546" ht="15.75" customHeight="1">
      <c r="H546" s="52"/>
    </row>
    <row r="547" ht="15.75" customHeight="1">
      <c r="H547" s="52"/>
    </row>
    <row r="548" ht="15.75" customHeight="1">
      <c r="H548" s="52"/>
    </row>
    <row r="549" ht="15.75" customHeight="1">
      <c r="H549" s="52"/>
    </row>
    <row r="550" ht="15.75" customHeight="1">
      <c r="H550" s="52"/>
    </row>
    <row r="551" ht="15.75" customHeight="1">
      <c r="H551" s="52"/>
    </row>
    <row r="552" ht="15.75" customHeight="1">
      <c r="H552" s="52"/>
    </row>
    <row r="553" ht="15.75" customHeight="1">
      <c r="H553" s="52"/>
    </row>
    <row r="554" ht="15.75" customHeight="1">
      <c r="H554" s="52"/>
    </row>
    <row r="555" ht="15.75" customHeight="1">
      <c r="H555" s="52"/>
    </row>
    <row r="556" ht="15.75" customHeight="1">
      <c r="H556" s="52"/>
    </row>
    <row r="557" ht="15.75" customHeight="1">
      <c r="H557" s="52"/>
    </row>
    <row r="558" ht="15.75" customHeight="1">
      <c r="H558" s="52"/>
    </row>
    <row r="559" ht="15.75" customHeight="1">
      <c r="H559" s="52"/>
    </row>
    <row r="560" ht="15.75" customHeight="1">
      <c r="H560" s="52"/>
    </row>
    <row r="561" ht="15.75" customHeight="1">
      <c r="H561" s="52"/>
    </row>
    <row r="562" ht="15.75" customHeight="1">
      <c r="H562" s="52"/>
    </row>
    <row r="563" ht="15.75" customHeight="1">
      <c r="H563" s="52"/>
    </row>
    <row r="564" ht="15.75" customHeight="1">
      <c r="H564" s="52"/>
    </row>
    <row r="565" ht="15.75" customHeight="1">
      <c r="H565" s="52"/>
    </row>
    <row r="566" ht="15.75" customHeight="1">
      <c r="H566" s="52"/>
    </row>
    <row r="567" ht="15.75" customHeight="1">
      <c r="H567" s="52"/>
    </row>
    <row r="568" ht="15.75" customHeight="1">
      <c r="H568" s="52"/>
    </row>
    <row r="569" ht="15.75" customHeight="1">
      <c r="H569" s="52"/>
    </row>
    <row r="570" ht="15.75" customHeight="1">
      <c r="H570" s="52"/>
    </row>
    <row r="571" ht="15.75" customHeight="1">
      <c r="H571" s="52"/>
    </row>
    <row r="572" ht="15.75" customHeight="1">
      <c r="H572" s="52"/>
    </row>
    <row r="573" ht="15.75" customHeight="1">
      <c r="H573" s="52"/>
    </row>
    <row r="574" ht="15.75" customHeight="1">
      <c r="H574" s="52"/>
    </row>
    <row r="575" ht="15.75" customHeight="1">
      <c r="H575" s="52"/>
    </row>
    <row r="576" ht="15.75" customHeight="1">
      <c r="H576" s="52"/>
    </row>
    <row r="577" ht="15.75" customHeight="1">
      <c r="H577" s="52"/>
    </row>
    <row r="578" ht="15.75" customHeight="1">
      <c r="H578" s="52"/>
    </row>
    <row r="579" ht="15.75" customHeight="1">
      <c r="H579" s="52"/>
    </row>
    <row r="580" ht="15.75" customHeight="1">
      <c r="H580" s="52"/>
    </row>
    <row r="581" ht="15.75" customHeight="1">
      <c r="H581" s="52"/>
    </row>
    <row r="582" ht="15.75" customHeight="1">
      <c r="H582" s="52"/>
    </row>
    <row r="583" ht="15.75" customHeight="1">
      <c r="H583" s="52"/>
    </row>
    <row r="584" ht="15.75" customHeight="1">
      <c r="H584" s="52"/>
    </row>
    <row r="585" ht="15.75" customHeight="1">
      <c r="H585" s="52"/>
    </row>
    <row r="586" ht="15.75" customHeight="1">
      <c r="H586" s="52"/>
    </row>
    <row r="587" ht="15.75" customHeight="1">
      <c r="H587" s="52"/>
    </row>
    <row r="588" ht="15.75" customHeight="1">
      <c r="H588" s="52"/>
    </row>
    <row r="589" ht="15.75" customHeight="1">
      <c r="H589" s="52"/>
    </row>
    <row r="590" ht="15.75" customHeight="1">
      <c r="H590" s="52"/>
    </row>
    <row r="591" ht="15.75" customHeight="1">
      <c r="H591" s="52"/>
    </row>
    <row r="592" ht="15.75" customHeight="1">
      <c r="H592" s="52"/>
    </row>
    <row r="593" ht="15.75" customHeight="1">
      <c r="H593" s="52"/>
    </row>
    <row r="594" ht="15.75" customHeight="1">
      <c r="H594" s="52"/>
    </row>
    <row r="595" ht="15.75" customHeight="1">
      <c r="H595" s="52"/>
    </row>
    <row r="596" ht="15.75" customHeight="1">
      <c r="H596" s="52"/>
    </row>
    <row r="597" ht="15.75" customHeight="1">
      <c r="H597" s="52"/>
    </row>
    <row r="598" ht="15.75" customHeight="1">
      <c r="H598" s="52"/>
    </row>
    <row r="599" ht="15.75" customHeight="1">
      <c r="H599" s="52"/>
    </row>
    <row r="600" ht="15.75" customHeight="1">
      <c r="H600" s="52"/>
    </row>
    <row r="601" ht="15.75" customHeight="1">
      <c r="H601" s="52"/>
    </row>
    <row r="602" ht="15.75" customHeight="1">
      <c r="H602" s="52"/>
    </row>
    <row r="603" ht="15.75" customHeight="1">
      <c r="H603" s="52"/>
    </row>
    <row r="604" ht="15.75" customHeight="1">
      <c r="H604" s="52"/>
    </row>
    <row r="605" ht="15.75" customHeight="1">
      <c r="H605" s="52"/>
    </row>
    <row r="606" ht="15.75" customHeight="1">
      <c r="H606" s="52"/>
    </row>
    <row r="607" ht="15.75" customHeight="1">
      <c r="H607" s="52"/>
    </row>
    <row r="608" ht="15.75" customHeight="1">
      <c r="H608" s="52"/>
    </row>
    <row r="609" ht="15.75" customHeight="1">
      <c r="H609" s="52"/>
    </row>
    <row r="610" ht="15.75" customHeight="1">
      <c r="H610" s="52"/>
    </row>
    <row r="611" ht="15.75" customHeight="1">
      <c r="H611" s="52"/>
    </row>
    <row r="612" ht="15.75" customHeight="1">
      <c r="H612" s="52"/>
    </row>
    <row r="613" ht="15.75" customHeight="1">
      <c r="H613" s="52"/>
    </row>
    <row r="614" ht="15.75" customHeight="1">
      <c r="H614" s="52"/>
    </row>
    <row r="615" ht="15.75" customHeight="1">
      <c r="H615" s="52"/>
    </row>
    <row r="616" ht="15.75" customHeight="1">
      <c r="H616" s="52"/>
    </row>
    <row r="617" ht="15.75" customHeight="1">
      <c r="H617" s="52"/>
    </row>
    <row r="618" ht="15.75" customHeight="1">
      <c r="H618" s="52"/>
    </row>
    <row r="619" ht="15.75" customHeight="1">
      <c r="H619" s="52"/>
    </row>
    <row r="620" ht="15.75" customHeight="1">
      <c r="H620" s="52"/>
    </row>
    <row r="621" ht="15.75" customHeight="1">
      <c r="H621" s="52"/>
    </row>
    <row r="622" ht="15.75" customHeight="1">
      <c r="H622" s="52"/>
    </row>
    <row r="623" ht="15.75" customHeight="1">
      <c r="H623" s="52"/>
    </row>
    <row r="624" ht="15.75" customHeight="1">
      <c r="H624" s="52"/>
    </row>
    <row r="625" ht="15.75" customHeight="1">
      <c r="H625" s="52"/>
    </row>
    <row r="626" ht="15.75" customHeight="1">
      <c r="H626" s="52"/>
    </row>
    <row r="627" ht="15.75" customHeight="1">
      <c r="H627" s="52"/>
    </row>
    <row r="628" ht="15.75" customHeight="1">
      <c r="H628" s="52"/>
    </row>
    <row r="629" ht="15.75" customHeight="1">
      <c r="H629" s="52"/>
    </row>
    <row r="630" ht="15.75" customHeight="1">
      <c r="H630" s="52"/>
    </row>
    <row r="631" ht="15.75" customHeight="1">
      <c r="H631" s="52"/>
    </row>
    <row r="632" ht="15.75" customHeight="1">
      <c r="H632" s="52"/>
    </row>
    <row r="633" ht="15.75" customHeight="1">
      <c r="H633" s="52"/>
    </row>
    <row r="634" ht="15.75" customHeight="1">
      <c r="H634" s="52"/>
    </row>
    <row r="635" ht="15.75" customHeight="1">
      <c r="H635" s="52"/>
    </row>
    <row r="636" ht="15.75" customHeight="1">
      <c r="H636" s="52"/>
    </row>
    <row r="637" ht="15.75" customHeight="1">
      <c r="H637" s="52"/>
    </row>
    <row r="638" ht="15.75" customHeight="1">
      <c r="H638" s="52"/>
    </row>
    <row r="639" ht="15.75" customHeight="1">
      <c r="H639" s="52"/>
    </row>
    <row r="640" ht="15.75" customHeight="1">
      <c r="H640" s="52"/>
    </row>
    <row r="641" ht="15.75" customHeight="1">
      <c r="H641" s="52"/>
    </row>
    <row r="642" ht="15.75" customHeight="1">
      <c r="H642" s="52"/>
    </row>
    <row r="643" ht="15.75" customHeight="1">
      <c r="H643" s="52"/>
    </row>
    <row r="644" ht="15.75" customHeight="1">
      <c r="H644" s="52"/>
    </row>
    <row r="645" ht="15.75" customHeight="1">
      <c r="H645" s="52"/>
    </row>
    <row r="646" ht="15.75" customHeight="1">
      <c r="H646" s="52"/>
    </row>
    <row r="647" ht="15.75" customHeight="1">
      <c r="H647" s="52"/>
    </row>
    <row r="648" ht="15.75" customHeight="1">
      <c r="H648" s="52"/>
    </row>
    <row r="649" ht="15.75" customHeight="1">
      <c r="H649" s="52"/>
    </row>
    <row r="650" ht="15.75" customHeight="1">
      <c r="H650" s="52"/>
    </row>
    <row r="651" ht="15.75" customHeight="1">
      <c r="H651" s="52"/>
    </row>
    <row r="652" ht="15.75" customHeight="1">
      <c r="H652" s="52"/>
    </row>
    <row r="653" ht="15.75" customHeight="1">
      <c r="H653" s="52"/>
    </row>
    <row r="654" ht="15.75" customHeight="1">
      <c r="H654" s="52"/>
    </row>
    <row r="655" ht="15.75" customHeight="1">
      <c r="H655" s="52"/>
    </row>
    <row r="656" ht="15.75" customHeight="1">
      <c r="H656" s="52"/>
    </row>
    <row r="657" ht="15.75" customHeight="1">
      <c r="H657" s="52"/>
    </row>
    <row r="658" ht="15.75" customHeight="1">
      <c r="H658" s="52"/>
    </row>
    <row r="659" ht="15.75" customHeight="1">
      <c r="H659" s="52"/>
    </row>
    <row r="660" ht="15.75" customHeight="1">
      <c r="H660" s="52"/>
    </row>
    <row r="661" ht="15.75" customHeight="1">
      <c r="H661" s="52"/>
    </row>
    <row r="662" ht="15.75" customHeight="1">
      <c r="H662" s="52"/>
    </row>
    <row r="663" ht="15.75" customHeight="1">
      <c r="H663" s="52"/>
    </row>
    <row r="664" ht="15.75" customHeight="1">
      <c r="H664" s="52"/>
    </row>
    <row r="665" ht="15.75" customHeight="1">
      <c r="H665" s="52"/>
    </row>
    <row r="666" ht="15.75" customHeight="1">
      <c r="H666" s="52"/>
    </row>
    <row r="667" ht="15.75" customHeight="1">
      <c r="H667" s="52"/>
    </row>
    <row r="668" ht="15.75" customHeight="1">
      <c r="H668" s="52"/>
    </row>
    <row r="669" ht="15.75" customHeight="1">
      <c r="H669" s="52"/>
    </row>
    <row r="670" ht="15.75" customHeight="1">
      <c r="H670" s="52"/>
    </row>
    <row r="671" ht="15.75" customHeight="1">
      <c r="H671" s="52"/>
    </row>
    <row r="672" ht="15.75" customHeight="1">
      <c r="H672" s="52"/>
    </row>
    <row r="673" ht="15.75" customHeight="1">
      <c r="H673" s="52"/>
    </row>
    <row r="674" ht="15.75" customHeight="1">
      <c r="H674" s="52"/>
    </row>
    <row r="675" ht="15.75" customHeight="1">
      <c r="H675" s="52"/>
    </row>
    <row r="676" ht="15.75" customHeight="1">
      <c r="H676" s="52"/>
    </row>
    <row r="677" ht="15.75" customHeight="1">
      <c r="H677" s="52"/>
    </row>
    <row r="678" ht="15.75" customHeight="1">
      <c r="H678" s="52"/>
    </row>
    <row r="679" ht="15.75" customHeight="1">
      <c r="H679" s="52"/>
    </row>
    <row r="680" ht="15.75" customHeight="1">
      <c r="H680" s="52"/>
    </row>
    <row r="681" ht="15.75" customHeight="1">
      <c r="H681" s="52"/>
    </row>
    <row r="682" ht="15.75" customHeight="1">
      <c r="H682" s="52"/>
    </row>
    <row r="683" ht="15.75" customHeight="1">
      <c r="H683" s="52"/>
    </row>
    <row r="684" ht="15.75" customHeight="1">
      <c r="H684" s="52"/>
    </row>
    <row r="685" ht="15.75" customHeight="1">
      <c r="H685" s="52"/>
    </row>
    <row r="686" ht="15.75" customHeight="1">
      <c r="H686" s="52"/>
    </row>
    <row r="687" ht="15.75" customHeight="1">
      <c r="H687" s="52"/>
    </row>
    <row r="688" ht="15.75" customHeight="1">
      <c r="H688" s="52"/>
    </row>
    <row r="689" ht="15.75" customHeight="1">
      <c r="H689" s="52"/>
    </row>
    <row r="690" ht="15.75" customHeight="1">
      <c r="H690" s="52"/>
    </row>
    <row r="691" ht="15.75" customHeight="1">
      <c r="H691" s="52"/>
    </row>
    <row r="692" ht="15.75" customHeight="1">
      <c r="H692" s="52"/>
    </row>
    <row r="693" ht="15.75" customHeight="1">
      <c r="H693" s="52"/>
    </row>
    <row r="694" ht="15.75" customHeight="1">
      <c r="H694" s="52"/>
    </row>
    <row r="695" ht="15.75" customHeight="1">
      <c r="H695" s="52"/>
    </row>
    <row r="696" ht="15.75" customHeight="1">
      <c r="H696" s="52"/>
    </row>
    <row r="697" ht="15.75" customHeight="1">
      <c r="H697" s="52"/>
    </row>
    <row r="698" ht="15.75" customHeight="1">
      <c r="H698" s="52"/>
    </row>
    <row r="699" ht="15.75" customHeight="1">
      <c r="H699" s="52"/>
    </row>
    <row r="700" ht="15.75" customHeight="1">
      <c r="H700" s="52"/>
    </row>
    <row r="701" ht="15.75" customHeight="1">
      <c r="H701" s="52"/>
    </row>
    <row r="702" ht="15.75" customHeight="1">
      <c r="H702" s="52"/>
    </row>
    <row r="703" ht="15.75" customHeight="1">
      <c r="H703" s="52"/>
    </row>
    <row r="704" ht="15.75" customHeight="1">
      <c r="H704" s="52"/>
    </row>
    <row r="705" ht="15.75" customHeight="1">
      <c r="H705" s="52"/>
    </row>
    <row r="706" ht="15.75" customHeight="1">
      <c r="H706" s="52"/>
    </row>
    <row r="707" ht="15.75" customHeight="1">
      <c r="H707" s="52"/>
    </row>
    <row r="708" ht="15.75" customHeight="1">
      <c r="H708" s="52"/>
    </row>
    <row r="709" ht="15.75" customHeight="1">
      <c r="H709" s="52"/>
    </row>
    <row r="710" ht="15.75" customHeight="1">
      <c r="H710" s="52"/>
    </row>
    <row r="711" ht="15.75" customHeight="1">
      <c r="H711" s="52"/>
    </row>
    <row r="712" ht="15.75" customHeight="1">
      <c r="H712" s="52"/>
    </row>
    <row r="713" ht="15.75" customHeight="1">
      <c r="H713" s="52"/>
    </row>
    <row r="714" ht="15.75" customHeight="1">
      <c r="H714" s="52"/>
    </row>
    <row r="715" ht="15.75" customHeight="1">
      <c r="H715" s="52"/>
    </row>
    <row r="716" ht="15.75" customHeight="1">
      <c r="H716" s="52"/>
    </row>
    <row r="717" ht="15.75" customHeight="1">
      <c r="H717" s="52"/>
    </row>
    <row r="718" ht="15.75" customHeight="1">
      <c r="H718" s="52"/>
    </row>
    <row r="719" ht="15.75" customHeight="1">
      <c r="H719" s="52"/>
    </row>
    <row r="720" ht="15.75" customHeight="1">
      <c r="H720" s="52"/>
    </row>
    <row r="721" ht="15.75" customHeight="1">
      <c r="H721" s="52"/>
    </row>
    <row r="722" ht="15.75" customHeight="1">
      <c r="H722" s="52"/>
    </row>
    <row r="723" ht="15.75" customHeight="1">
      <c r="H723" s="52"/>
    </row>
    <row r="724" ht="15.75" customHeight="1">
      <c r="H724" s="52"/>
    </row>
    <row r="725" ht="15.75" customHeight="1">
      <c r="H725" s="52"/>
    </row>
    <row r="726" ht="15.75" customHeight="1">
      <c r="H726" s="52"/>
    </row>
    <row r="727" ht="15.75" customHeight="1">
      <c r="H727" s="52"/>
    </row>
    <row r="728" ht="15.75" customHeight="1">
      <c r="H728" s="52"/>
    </row>
    <row r="729" ht="15.75" customHeight="1">
      <c r="H729" s="52"/>
    </row>
    <row r="730" ht="15.75" customHeight="1">
      <c r="H730" s="52"/>
    </row>
    <row r="731" ht="15.75" customHeight="1">
      <c r="H731" s="52"/>
    </row>
    <row r="732" ht="15.75" customHeight="1">
      <c r="H732" s="52"/>
    </row>
    <row r="733" ht="15.75" customHeight="1">
      <c r="H733" s="52"/>
    </row>
    <row r="734" ht="15.75" customHeight="1">
      <c r="H734" s="52"/>
    </row>
    <row r="735" ht="15.75" customHeight="1">
      <c r="H735" s="52"/>
    </row>
    <row r="736" ht="15.75" customHeight="1">
      <c r="H736" s="52"/>
    </row>
    <row r="737" ht="15.75" customHeight="1">
      <c r="H737" s="52"/>
    </row>
    <row r="738" ht="15.75" customHeight="1">
      <c r="H738" s="52"/>
    </row>
    <row r="739" ht="15.75" customHeight="1">
      <c r="H739" s="52"/>
    </row>
    <row r="740" ht="15.75" customHeight="1">
      <c r="H740" s="52"/>
    </row>
    <row r="741" ht="15.75" customHeight="1">
      <c r="H741" s="52"/>
    </row>
    <row r="742" ht="15.75" customHeight="1">
      <c r="H742" s="52"/>
    </row>
    <row r="743" ht="15.75" customHeight="1">
      <c r="H743" s="52"/>
    </row>
    <row r="744" ht="15.75" customHeight="1">
      <c r="H744" s="52"/>
    </row>
    <row r="745" ht="15.75" customHeight="1">
      <c r="H745" s="52"/>
    </row>
    <row r="746" ht="15.75" customHeight="1">
      <c r="H746" s="52"/>
    </row>
    <row r="747" ht="15.75" customHeight="1">
      <c r="H747" s="52"/>
    </row>
    <row r="748" ht="15.75" customHeight="1">
      <c r="H748" s="52"/>
    </row>
    <row r="749" ht="15.75" customHeight="1">
      <c r="H749" s="52"/>
    </row>
    <row r="750" ht="15.75" customHeight="1">
      <c r="H750" s="52"/>
    </row>
    <row r="751" ht="15.75" customHeight="1">
      <c r="H751" s="52"/>
    </row>
    <row r="752" ht="15.75" customHeight="1">
      <c r="H752" s="52"/>
    </row>
    <row r="753" ht="15.75" customHeight="1">
      <c r="H753" s="52"/>
    </row>
    <row r="754" ht="15.75" customHeight="1">
      <c r="H754" s="52"/>
    </row>
    <row r="755" ht="15.75" customHeight="1">
      <c r="H755" s="52"/>
    </row>
    <row r="756" ht="15.75" customHeight="1">
      <c r="H756" s="52"/>
    </row>
    <row r="757" ht="15.75" customHeight="1">
      <c r="H757" s="52"/>
    </row>
    <row r="758" ht="15.75" customHeight="1">
      <c r="H758" s="52"/>
    </row>
    <row r="759" ht="15.75" customHeight="1">
      <c r="H759" s="52"/>
    </row>
    <row r="760" ht="15.75" customHeight="1">
      <c r="H760" s="52"/>
    </row>
    <row r="761" ht="15.75" customHeight="1">
      <c r="H761" s="52"/>
    </row>
    <row r="762" ht="15.75" customHeight="1">
      <c r="H762" s="52"/>
    </row>
    <row r="763" ht="15.75" customHeight="1">
      <c r="H763" s="52"/>
    </row>
    <row r="764" ht="15.75" customHeight="1">
      <c r="H764" s="52"/>
    </row>
    <row r="765" ht="15.75" customHeight="1">
      <c r="H765" s="52"/>
    </row>
    <row r="766" ht="15.75" customHeight="1">
      <c r="H766" s="52"/>
    </row>
    <row r="767" ht="15.75" customHeight="1">
      <c r="H767" s="52"/>
    </row>
    <row r="768" ht="15.75" customHeight="1">
      <c r="H768" s="52"/>
    </row>
    <row r="769" ht="15.75" customHeight="1">
      <c r="H769" s="52"/>
    </row>
    <row r="770" ht="15.75" customHeight="1">
      <c r="H770" s="52"/>
    </row>
    <row r="771" ht="15.75" customHeight="1">
      <c r="H771" s="52"/>
    </row>
    <row r="772" ht="15.75" customHeight="1">
      <c r="H772" s="52"/>
    </row>
    <row r="773" ht="15.75" customHeight="1">
      <c r="H773" s="52"/>
    </row>
    <row r="774" ht="15.75" customHeight="1">
      <c r="H774" s="52"/>
    </row>
    <row r="775" ht="15.75" customHeight="1">
      <c r="H775" s="52"/>
    </row>
    <row r="776" ht="15.75" customHeight="1">
      <c r="H776" s="52"/>
    </row>
    <row r="777" ht="15.75" customHeight="1">
      <c r="H777" s="52"/>
    </row>
    <row r="778" ht="15.75" customHeight="1">
      <c r="H778" s="52"/>
    </row>
    <row r="779" ht="15.75" customHeight="1">
      <c r="H779" s="52"/>
    </row>
    <row r="780" ht="15.75" customHeight="1">
      <c r="H780" s="52"/>
    </row>
    <row r="781" ht="15.75" customHeight="1">
      <c r="H781" s="52"/>
    </row>
    <row r="782" ht="15.75" customHeight="1">
      <c r="H782" s="52"/>
    </row>
    <row r="783" ht="15.75" customHeight="1">
      <c r="H783" s="52"/>
    </row>
    <row r="784" ht="15.75" customHeight="1">
      <c r="H784" s="52"/>
    </row>
    <row r="785" ht="15.75" customHeight="1">
      <c r="H785" s="52"/>
    </row>
    <row r="786" ht="15.75" customHeight="1">
      <c r="H786" s="52"/>
    </row>
    <row r="787" ht="15.75" customHeight="1">
      <c r="H787" s="52"/>
    </row>
    <row r="788" ht="15.75" customHeight="1">
      <c r="H788" s="52"/>
    </row>
    <row r="789" ht="15.75" customHeight="1">
      <c r="H789" s="52"/>
    </row>
    <row r="790" ht="15.75" customHeight="1">
      <c r="H790" s="52"/>
    </row>
    <row r="791" ht="15.75" customHeight="1">
      <c r="H791" s="52"/>
    </row>
    <row r="792" ht="15.75" customHeight="1">
      <c r="H792" s="52"/>
    </row>
    <row r="793" ht="15.75" customHeight="1">
      <c r="H793" s="52"/>
    </row>
    <row r="794" ht="15.75" customHeight="1">
      <c r="H794" s="52"/>
    </row>
    <row r="795" ht="15.75" customHeight="1">
      <c r="H795" s="52"/>
    </row>
    <row r="796" ht="15.75" customHeight="1">
      <c r="H796" s="52"/>
    </row>
    <row r="797" ht="15.75" customHeight="1">
      <c r="H797" s="52"/>
    </row>
    <row r="798" ht="15.75" customHeight="1">
      <c r="H798" s="52"/>
    </row>
    <row r="799" ht="15.75" customHeight="1">
      <c r="H799" s="52"/>
    </row>
    <row r="800" ht="15.75" customHeight="1">
      <c r="H800" s="52"/>
    </row>
    <row r="801" ht="15.75" customHeight="1">
      <c r="H801" s="52"/>
    </row>
    <row r="802" ht="15.75" customHeight="1">
      <c r="H802" s="52"/>
    </row>
    <row r="803" ht="15.75" customHeight="1">
      <c r="H803" s="52"/>
    </row>
    <row r="804" ht="15.75" customHeight="1">
      <c r="H804" s="52"/>
    </row>
    <row r="805" ht="15.75" customHeight="1">
      <c r="H805" s="52"/>
    </row>
    <row r="806" ht="15.75" customHeight="1">
      <c r="H806" s="52"/>
    </row>
    <row r="807" ht="15.75" customHeight="1">
      <c r="H807" s="52"/>
    </row>
    <row r="808" ht="15.75" customHeight="1">
      <c r="H808" s="52"/>
    </row>
    <row r="809" ht="15.75" customHeight="1">
      <c r="H809" s="52"/>
    </row>
    <row r="810" ht="15.75" customHeight="1">
      <c r="H810" s="52"/>
    </row>
    <row r="811" ht="15.75" customHeight="1">
      <c r="H811" s="52"/>
    </row>
    <row r="812" ht="15.75" customHeight="1">
      <c r="H812" s="52"/>
    </row>
    <row r="813" ht="15.75" customHeight="1">
      <c r="H813" s="52"/>
    </row>
    <row r="814" ht="15.75" customHeight="1">
      <c r="H814" s="52"/>
    </row>
    <row r="815" ht="15.75" customHeight="1">
      <c r="H815" s="52"/>
    </row>
    <row r="816" ht="15.75" customHeight="1">
      <c r="H816" s="52"/>
    </row>
    <row r="817" ht="15.75" customHeight="1">
      <c r="H817" s="52"/>
    </row>
    <row r="818" ht="15.75" customHeight="1">
      <c r="H818" s="52"/>
    </row>
    <row r="819" ht="15.75" customHeight="1">
      <c r="H819" s="52"/>
    </row>
    <row r="820" ht="15.75" customHeight="1">
      <c r="H820" s="52"/>
    </row>
    <row r="821" ht="15.75" customHeight="1">
      <c r="H821" s="52"/>
    </row>
    <row r="822" ht="15.75" customHeight="1">
      <c r="H822" s="52"/>
    </row>
    <row r="823" ht="15.75" customHeight="1">
      <c r="H823" s="52"/>
    </row>
    <row r="824" ht="15.75" customHeight="1">
      <c r="H824" s="52"/>
    </row>
    <row r="825" ht="15.75" customHeight="1">
      <c r="H825" s="52"/>
    </row>
    <row r="826" ht="15.75" customHeight="1">
      <c r="H826" s="52"/>
    </row>
    <row r="827" ht="15.75" customHeight="1">
      <c r="H827" s="52"/>
    </row>
    <row r="828" ht="15.75" customHeight="1">
      <c r="H828" s="52"/>
    </row>
    <row r="829" ht="15.75" customHeight="1">
      <c r="H829" s="52"/>
    </row>
    <row r="830" ht="15.75" customHeight="1">
      <c r="H830" s="52"/>
    </row>
    <row r="831" ht="15.75" customHeight="1">
      <c r="H831" s="52"/>
    </row>
    <row r="832" ht="15.75" customHeight="1">
      <c r="H832" s="52"/>
    </row>
    <row r="833" ht="15.75" customHeight="1">
      <c r="H833" s="52"/>
    </row>
    <row r="834" ht="15.75" customHeight="1">
      <c r="H834" s="52"/>
    </row>
    <row r="835" ht="15.75" customHeight="1">
      <c r="H835" s="52"/>
    </row>
    <row r="836" ht="15.75" customHeight="1">
      <c r="H836" s="52"/>
    </row>
    <row r="837" ht="15.75" customHeight="1">
      <c r="H837" s="52"/>
    </row>
    <row r="838" ht="15.75" customHeight="1">
      <c r="H838" s="52"/>
    </row>
    <row r="839" ht="15.75" customHeight="1">
      <c r="H839" s="52"/>
    </row>
    <row r="840" ht="15.75" customHeight="1">
      <c r="H840" s="52"/>
    </row>
    <row r="841" ht="15.75" customHeight="1">
      <c r="H841" s="52"/>
    </row>
    <row r="842" ht="15.75" customHeight="1">
      <c r="H842" s="52"/>
    </row>
    <row r="843" ht="15.75" customHeight="1">
      <c r="H843" s="52"/>
    </row>
    <row r="844" ht="15.75" customHeight="1">
      <c r="H844" s="52"/>
    </row>
    <row r="845" ht="15.75" customHeight="1">
      <c r="H845" s="52"/>
    </row>
    <row r="846" ht="15.75" customHeight="1">
      <c r="H846" s="52"/>
    </row>
    <row r="847" ht="15.75" customHeight="1">
      <c r="H847" s="52"/>
    </row>
    <row r="848" ht="15.75" customHeight="1">
      <c r="H848" s="52"/>
    </row>
    <row r="849" ht="15.75" customHeight="1">
      <c r="H849" s="52"/>
    </row>
    <row r="850" ht="15.75" customHeight="1">
      <c r="H850" s="52"/>
    </row>
    <row r="851" ht="15.75" customHeight="1">
      <c r="H851" s="52"/>
    </row>
    <row r="852" ht="15.75" customHeight="1">
      <c r="H852" s="52"/>
    </row>
    <row r="853" ht="15.75" customHeight="1">
      <c r="H853" s="52"/>
    </row>
    <row r="854" ht="15.75" customHeight="1">
      <c r="H854" s="52"/>
    </row>
    <row r="855" ht="15.75" customHeight="1">
      <c r="H855" s="52"/>
    </row>
    <row r="856" ht="15.75" customHeight="1">
      <c r="H856" s="52"/>
    </row>
    <row r="857" ht="15.75" customHeight="1">
      <c r="H857" s="52"/>
    </row>
    <row r="858" ht="15.75" customHeight="1">
      <c r="H858" s="52"/>
    </row>
    <row r="859" ht="15.75" customHeight="1">
      <c r="H859" s="52"/>
    </row>
    <row r="860" ht="15.75" customHeight="1">
      <c r="H860" s="52"/>
    </row>
    <row r="861" ht="15.75" customHeight="1">
      <c r="H861" s="52"/>
    </row>
    <row r="862" ht="15.75" customHeight="1">
      <c r="H862" s="52"/>
    </row>
    <row r="863" ht="15.75" customHeight="1">
      <c r="H863" s="52"/>
    </row>
    <row r="864" ht="15.75" customHeight="1">
      <c r="H864" s="52"/>
    </row>
    <row r="865" ht="15.75" customHeight="1">
      <c r="H865" s="52"/>
    </row>
    <row r="866" ht="15.75" customHeight="1">
      <c r="H866" s="52"/>
    </row>
    <row r="867" ht="15.75" customHeight="1">
      <c r="H867" s="52"/>
    </row>
    <row r="868" ht="15.75" customHeight="1">
      <c r="H868" s="52"/>
    </row>
    <row r="869" ht="15.75" customHeight="1">
      <c r="H869" s="52"/>
    </row>
    <row r="870" ht="15.75" customHeight="1">
      <c r="H870" s="52"/>
    </row>
    <row r="871" ht="15.75" customHeight="1">
      <c r="H871" s="52"/>
    </row>
    <row r="872" ht="15.75" customHeight="1">
      <c r="H872" s="52"/>
    </row>
    <row r="873" ht="15.75" customHeight="1">
      <c r="H873" s="52"/>
    </row>
    <row r="874" ht="15.75" customHeight="1">
      <c r="H874" s="52"/>
    </row>
    <row r="875" ht="15.75" customHeight="1">
      <c r="H875" s="52"/>
    </row>
    <row r="876" ht="15.75" customHeight="1">
      <c r="H876" s="52"/>
    </row>
    <row r="877" ht="15.75" customHeight="1">
      <c r="H877" s="52"/>
    </row>
    <row r="878" ht="15.75" customHeight="1">
      <c r="H878" s="52"/>
    </row>
    <row r="879" ht="15.75" customHeight="1">
      <c r="H879" s="52"/>
    </row>
    <row r="880" ht="15.75" customHeight="1">
      <c r="H880" s="52"/>
    </row>
    <row r="881" ht="15.75" customHeight="1">
      <c r="H881" s="52"/>
    </row>
    <row r="882" ht="15.75" customHeight="1">
      <c r="H882" s="52"/>
    </row>
    <row r="883" ht="15.75" customHeight="1">
      <c r="H883" s="52"/>
    </row>
    <row r="884" ht="15.75" customHeight="1">
      <c r="H884" s="52"/>
    </row>
    <row r="885" ht="15.75" customHeight="1">
      <c r="H885" s="52"/>
    </row>
    <row r="886" ht="15.75" customHeight="1">
      <c r="H886" s="52"/>
    </row>
    <row r="887" ht="15.75" customHeight="1">
      <c r="H887" s="52"/>
    </row>
    <row r="888" ht="15.75" customHeight="1">
      <c r="H888" s="52"/>
    </row>
    <row r="889" ht="15.75" customHeight="1">
      <c r="H889" s="52"/>
    </row>
    <row r="890" ht="15.75" customHeight="1">
      <c r="H890" s="52"/>
    </row>
    <row r="891" ht="15.75" customHeight="1">
      <c r="H891" s="52"/>
    </row>
    <row r="892" ht="15.75" customHeight="1">
      <c r="H892" s="52"/>
    </row>
    <row r="893" ht="15.75" customHeight="1">
      <c r="H893" s="52"/>
    </row>
    <row r="894" ht="15.75" customHeight="1">
      <c r="H894" s="52"/>
    </row>
    <row r="895" ht="15.75" customHeight="1">
      <c r="H895" s="52"/>
    </row>
    <row r="896" ht="15.75" customHeight="1">
      <c r="H896" s="52"/>
    </row>
    <row r="897" ht="15.75" customHeight="1">
      <c r="H897" s="52"/>
    </row>
    <row r="898" ht="15.75" customHeight="1">
      <c r="H898" s="52"/>
    </row>
    <row r="899" ht="15.75" customHeight="1">
      <c r="H899" s="52"/>
    </row>
    <row r="900" ht="15.75" customHeight="1">
      <c r="H900" s="52"/>
    </row>
    <row r="901" ht="15.75" customHeight="1">
      <c r="H901" s="52"/>
    </row>
    <row r="902" ht="15.75" customHeight="1">
      <c r="H902" s="52"/>
    </row>
    <row r="903" ht="15.75" customHeight="1">
      <c r="H903" s="52"/>
    </row>
    <row r="904" ht="15.75" customHeight="1">
      <c r="H904" s="52"/>
    </row>
    <row r="905" ht="15.75" customHeight="1">
      <c r="H905" s="52"/>
    </row>
    <row r="906" ht="15.75" customHeight="1">
      <c r="H906" s="52"/>
    </row>
    <row r="907" ht="15.75" customHeight="1">
      <c r="H907" s="52"/>
    </row>
    <row r="908" ht="15.75" customHeight="1">
      <c r="H908" s="52"/>
    </row>
    <row r="909" ht="15.75" customHeight="1">
      <c r="H909" s="52"/>
    </row>
    <row r="910" ht="15.75" customHeight="1">
      <c r="H910" s="52"/>
    </row>
    <row r="911" ht="15.75" customHeight="1">
      <c r="H911" s="52"/>
    </row>
    <row r="912" ht="15.75" customHeight="1">
      <c r="H912" s="52"/>
    </row>
    <row r="913" ht="15.75" customHeight="1">
      <c r="H913" s="52"/>
    </row>
    <row r="914" ht="15.75" customHeight="1">
      <c r="H914" s="52"/>
    </row>
    <row r="915" ht="15.75" customHeight="1">
      <c r="H915" s="52"/>
    </row>
    <row r="916" ht="15.75" customHeight="1">
      <c r="H916" s="52"/>
    </row>
    <row r="917" ht="15.75" customHeight="1">
      <c r="H917" s="52"/>
    </row>
    <row r="918" ht="15.75" customHeight="1">
      <c r="H918" s="52"/>
    </row>
    <row r="919" ht="15.75" customHeight="1">
      <c r="H919" s="52"/>
    </row>
    <row r="920" ht="15.75" customHeight="1">
      <c r="H920" s="52"/>
    </row>
    <row r="921" ht="15.75" customHeight="1">
      <c r="H921" s="52"/>
    </row>
    <row r="922" ht="15.75" customHeight="1">
      <c r="H922" s="52"/>
    </row>
    <row r="923" ht="15.75" customHeight="1">
      <c r="H923" s="52"/>
    </row>
    <row r="924" ht="15.75" customHeight="1">
      <c r="H924" s="52"/>
    </row>
    <row r="925" ht="15.75" customHeight="1">
      <c r="H925" s="52"/>
    </row>
    <row r="926" ht="15.75" customHeight="1">
      <c r="H926" s="52"/>
    </row>
    <row r="927" ht="15.75" customHeight="1">
      <c r="H927" s="52"/>
    </row>
    <row r="928" ht="15.75" customHeight="1">
      <c r="H928" s="52"/>
    </row>
    <row r="929" ht="15.75" customHeight="1">
      <c r="H929" s="52"/>
    </row>
    <row r="930" ht="15.75" customHeight="1">
      <c r="H930" s="52"/>
    </row>
    <row r="931" ht="15.75" customHeight="1">
      <c r="H931" s="52"/>
    </row>
    <row r="932" ht="15.75" customHeight="1">
      <c r="H932" s="52"/>
    </row>
    <row r="933" ht="15.75" customHeight="1">
      <c r="H933" s="52"/>
    </row>
    <row r="934" ht="15.75" customHeight="1">
      <c r="H934" s="52"/>
    </row>
    <row r="935" ht="15.75" customHeight="1">
      <c r="H935" s="52"/>
    </row>
    <row r="936" ht="15.75" customHeight="1">
      <c r="H936" s="52"/>
    </row>
    <row r="937" ht="15.75" customHeight="1">
      <c r="H937" s="52"/>
    </row>
    <row r="938" ht="15.75" customHeight="1">
      <c r="H938" s="52"/>
    </row>
    <row r="939" ht="15.75" customHeight="1">
      <c r="H939" s="52"/>
    </row>
    <row r="940" ht="15.75" customHeight="1">
      <c r="H940" s="52"/>
    </row>
    <row r="941" ht="15.75" customHeight="1">
      <c r="H941" s="52"/>
    </row>
    <row r="942" ht="15.75" customHeight="1">
      <c r="H942" s="52"/>
    </row>
    <row r="943" ht="15.75" customHeight="1">
      <c r="H943" s="52"/>
    </row>
    <row r="944" ht="15.75" customHeight="1">
      <c r="H944" s="52"/>
    </row>
    <row r="945" ht="15.75" customHeight="1">
      <c r="H945" s="52"/>
    </row>
    <row r="946" ht="15.75" customHeight="1">
      <c r="H946" s="52"/>
    </row>
    <row r="947" ht="15.75" customHeight="1">
      <c r="H947" s="52"/>
    </row>
    <row r="948" ht="15.75" customHeight="1">
      <c r="H948" s="52"/>
    </row>
    <row r="949" ht="15.75" customHeight="1">
      <c r="H949" s="52"/>
    </row>
    <row r="950" ht="15.75" customHeight="1">
      <c r="H950" s="52"/>
    </row>
    <row r="951" ht="15.75" customHeight="1">
      <c r="H951" s="52"/>
    </row>
    <row r="952" ht="15.75" customHeight="1">
      <c r="H952" s="52"/>
    </row>
    <row r="953" ht="15.75" customHeight="1">
      <c r="H953" s="52"/>
    </row>
    <row r="954" ht="15.75" customHeight="1">
      <c r="H954" s="52"/>
    </row>
    <row r="955" ht="15.75" customHeight="1">
      <c r="H955" s="52"/>
    </row>
    <row r="956" ht="15.75" customHeight="1">
      <c r="H956" s="52"/>
    </row>
    <row r="957" ht="15.75" customHeight="1">
      <c r="H957" s="52"/>
    </row>
    <row r="958" ht="15.75" customHeight="1">
      <c r="H958" s="52"/>
    </row>
    <row r="959" ht="15.75" customHeight="1">
      <c r="H959" s="52"/>
    </row>
    <row r="960" ht="15.75" customHeight="1">
      <c r="H960" s="52"/>
    </row>
    <row r="961" ht="15.75" customHeight="1">
      <c r="H961" s="52"/>
    </row>
    <row r="962" ht="15.75" customHeight="1">
      <c r="H962" s="52"/>
    </row>
    <row r="963" ht="15.75" customHeight="1">
      <c r="H963" s="52"/>
    </row>
    <row r="964" ht="15.75" customHeight="1">
      <c r="H964" s="52"/>
    </row>
    <row r="965" ht="15.75" customHeight="1">
      <c r="H965" s="52"/>
    </row>
    <row r="966" ht="15.75" customHeight="1">
      <c r="H966" s="52"/>
    </row>
    <row r="967" ht="15.75" customHeight="1">
      <c r="H967" s="52"/>
    </row>
    <row r="968" ht="15.75" customHeight="1">
      <c r="H968" s="52"/>
    </row>
    <row r="969" ht="15.75" customHeight="1">
      <c r="H969" s="52"/>
    </row>
    <row r="970" ht="15.75" customHeight="1">
      <c r="H970" s="52"/>
    </row>
    <row r="971" ht="15.75" customHeight="1">
      <c r="H971" s="52"/>
    </row>
    <row r="972" ht="15.75" customHeight="1">
      <c r="H972" s="52"/>
    </row>
    <row r="973" ht="15.75" customHeight="1">
      <c r="H973" s="52"/>
    </row>
    <row r="974" ht="15.75" customHeight="1">
      <c r="H974" s="52"/>
    </row>
    <row r="975" ht="15.75" customHeight="1">
      <c r="H975" s="52"/>
    </row>
    <row r="976" ht="15.75" customHeight="1">
      <c r="H976" s="52"/>
    </row>
    <row r="977" ht="15.75" customHeight="1">
      <c r="H977" s="52"/>
    </row>
    <row r="978" ht="15.75" customHeight="1">
      <c r="H978" s="52"/>
    </row>
    <row r="979" ht="15.75" customHeight="1">
      <c r="H979" s="52"/>
    </row>
    <row r="980" ht="15.75" customHeight="1">
      <c r="H980" s="52"/>
    </row>
    <row r="981" ht="15.75" customHeight="1">
      <c r="H981" s="52"/>
    </row>
    <row r="982" ht="15.75" customHeight="1">
      <c r="H982" s="52"/>
    </row>
    <row r="983" ht="15.75" customHeight="1">
      <c r="H983" s="52"/>
    </row>
    <row r="984" ht="15.75" customHeight="1">
      <c r="H984" s="52"/>
    </row>
    <row r="985" ht="15.75" customHeight="1">
      <c r="H985" s="52"/>
    </row>
    <row r="986" ht="15.75" customHeight="1">
      <c r="H986" s="52"/>
    </row>
    <row r="987" ht="15.75" customHeight="1">
      <c r="H987" s="52"/>
    </row>
    <row r="988" ht="15.75" customHeight="1">
      <c r="H988" s="52"/>
    </row>
    <row r="989" ht="15.75" customHeight="1">
      <c r="H989" s="52"/>
    </row>
    <row r="990" ht="15.75" customHeight="1">
      <c r="H990" s="52"/>
    </row>
    <row r="991" ht="15.75" customHeight="1">
      <c r="H991" s="52"/>
    </row>
    <row r="992" ht="15.75" customHeight="1">
      <c r="H992" s="52"/>
    </row>
    <row r="993" ht="15.75" customHeight="1">
      <c r="H993" s="52"/>
    </row>
    <row r="994" ht="15.75" customHeight="1">
      <c r="H994" s="52"/>
    </row>
    <row r="995" ht="15.75" customHeight="1">
      <c r="H995" s="52"/>
    </row>
    <row r="996" ht="15.75" customHeight="1">
      <c r="H996" s="52"/>
    </row>
    <row r="997" ht="15.75" customHeight="1">
      <c r="H997" s="52"/>
    </row>
    <row r="998" ht="15.75" customHeight="1">
      <c r="H998" s="52"/>
    </row>
    <row r="999" ht="15.75" customHeight="1">
      <c r="H999" s="52"/>
    </row>
    <row r="1000" ht="15.75" customHeight="1">
      <c r="H1000" s="52"/>
    </row>
  </sheetData>
  <autoFilter ref="$A$5:$AE$205"/>
  <mergeCells count="2">
    <mergeCell ref="A4:S4"/>
    <mergeCell ref="T4:AE4"/>
  </mergeCells>
  <conditionalFormatting sqref="T6:AE205">
    <cfRule type="expression" dxfId="3" priority="1">
      <formula>T6="Hoạt động"</formula>
    </cfRule>
  </conditionalFormatting>
  <conditionalFormatting sqref="T6:AE205">
    <cfRule type="expression" dxfId="5" priority="2">
      <formula>T6="Hạn chế"</formula>
    </cfRule>
  </conditionalFormatting>
  <conditionalFormatting sqref="T6:AE205">
    <cfRule type="expression" dxfId="6" priority="3">
      <formula>T6="Checkpoint"</formula>
    </cfRule>
  </conditionalFormatting>
  <conditionalFormatting sqref="T6:AE205">
    <cfRule type="expression" dxfId="9" priority="4">
      <formula>T6="Die / Mất"</formula>
    </cfRule>
  </conditionalFormatting>
  <conditionalFormatting sqref="T6:AE205">
    <cfRule type="expression" dxfId="7" priority="5">
      <formula>T6="Đã thu hồi"</formula>
    </cfRule>
  </conditionalFormatting>
  <conditionalFormatting sqref="T6:AE205">
    <cfRule type="expression" dxfId="7" priority="6">
      <formula>T6="Ngừng dùng"</formula>
    </cfRule>
  </conditionalFormatting>
  <conditionalFormatting sqref="R6:R205">
    <cfRule type="expression" dxfId="3" priority="7">
      <formula>R6="Đã bàn giao"</formula>
    </cfRule>
  </conditionalFormatting>
  <conditionalFormatting sqref="R6:R205">
    <cfRule type="expression" dxfId="5" priority="8">
      <formula>R6="Đang bàn giao"</formula>
    </cfRule>
  </conditionalFormatting>
  <conditionalFormatting sqref="R6:R205">
    <cfRule type="expression" dxfId="9" priority="9">
      <formula>R6="Chưa bàn giao"</formula>
    </cfRule>
  </conditionalFormatting>
  <conditionalFormatting sqref="I6:I205 H7:H205">
    <cfRule type="expression" dxfId="10" priority="10">
      <formula>I6="Đang làm"</formula>
    </cfRule>
  </conditionalFormatting>
  <conditionalFormatting sqref="I6:I205 H7:H205">
    <cfRule type="expression" dxfId="11" priority="11">
      <formula>I6="Thử việc"</formula>
    </cfRule>
  </conditionalFormatting>
  <conditionalFormatting sqref="I6:I205 H7:H205">
    <cfRule type="expression" dxfId="12" priority="12">
      <formula>I6="Tạm nghỉ"</formula>
    </cfRule>
  </conditionalFormatting>
  <conditionalFormatting sqref="I6:I205 H7:H205">
    <cfRule type="expression" dxfId="13" priority="13">
      <formula>I6="Chuyển ban"</formula>
    </cfRule>
  </conditionalFormatting>
  <conditionalFormatting sqref="I6:I205 H7:H205">
    <cfRule type="expression" dxfId="8" priority="14">
      <formula>I6="Đã nghỉ việc"</formula>
    </cfRule>
  </conditionalFormatting>
  <conditionalFormatting sqref="I6:I205 H7:H205">
    <cfRule type="expression" dxfId="8" priority="15">
      <formula>I6="Chưa có trong DS"</formula>
    </cfRule>
  </conditionalFormatting>
  <dataValidations>
    <dataValidation type="list" allowBlank="1" showInputMessage="1" showErrorMessage="1" prompt="Kiểm tra lại - Vui lòng chọn trong danh sách." sqref="M6:M205">
      <formula1>'Danh mục'!$C$2:$C$4</formula1>
    </dataValidation>
    <dataValidation type="list" allowBlank="1" showInputMessage="1" showErrorMessage="1" prompt="Kiểm tra lại - Vui lòng chọn trong danh sách." sqref="O6:O205">
      <formula1>'Danh mục'!$D$2:$D$7</formula1>
    </dataValidation>
    <dataValidation type="list" allowBlank="1" showInputMessage="1" showErrorMessage="1" prompt="Kiểm tra lại - Vui lòng chọn trong danh sách." sqref="R6:R205">
      <formula1>'Danh mục'!$E$2:$E$4</formula1>
    </dataValidation>
    <dataValidation type="list" allowBlank="1" showInputMessage="1" showErrorMessage="1" prompt="Kiểm tra lại - Vui lòng chọn trong danh sách." sqref="T6:AE205">
      <formula1>'Danh mục'!$F$2:$F$7</formula1>
    </dataValidation>
    <dataValidation type="list" allowBlank="1" showInputMessage="1" showErrorMessage="1" prompt="Nhấp và nhập một giá trị trong dải ô" sqref="C6:C205">
      <formula1>'Danh mục'!$A$2:$A$80</formula1>
    </dataValidation>
    <dataValidation type="list" allowBlank="1" sqref="G7">
      <formula1>'Người sử dụng'!$C$5:$C$140</formula1>
    </dataValidation>
    <dataValidation type="list" allowBlank="1" showInputMessage="1" prompt="Kiểm tra lại - Tên này chưa có trong tab Người sử dụng. Hãy thêm người này vào tab Người sử dụng trước." sqref="G6 G8:G205">
      <formula1>'Người sử dụng'!$C$5:$C$140</formula1>
    </dataValidation>
    <dataValidation type="date" operator="greaterThan" allowBlank="1" showInputMessage="1" showErrorMessage="1" prompt="Nhập ngày dạng dd/mm/yyyy." sqref="P6:P205">
      <formula1>DATE(2000,1,1)</formula1>
    </dataValidation>
    <dataValidation type="list" allowBlank="1" showInputMessage="1" showErrorMessage="1" prompt="Kiểm tra lại - Vui lòng chọn trong danh sách." sqref="J6:J205">
      <formula1>'Danh mục'!$B$2:$B$10</formula1>
    </dataValidation>
    <dataValidation type="list" allowBlank="1" showInputMessage="1" prompt="Kiểm tra lại - Tên này chưa có trong tab Người sử dụng." sqref="N6:N205">
      <formula1>'Người sử dụng'!$C$5:$C$140</formula1>
    </dataValidation>
  </dataValidations>
  <hyperlinks>
    <hyperlink r:id="rId1" ref="F7"/>
    <hyperlink r:id="rId2" ref="F8"/>
    <hyperlink r:id="rId3" ref="F9"/>
    <hyperlink r:id="rId4" ref="F10"/>
    <hyperlink r:id="rId5" ref="F11"/>
    <hyperlink r:id="rId6" ref="F12"/>
    <hyperlink r:id="rId7" ref="F13"/>
    <hyperlink r:id="rId8" ref="F14"/>
    <hyperlink r:id="rId9" ref="F15"/>
    <hyperlink r:id="rId10" ref="F16"/>
    <hyperlink r:id="rId11" ref="F17"/>
    <hyperlink r:id="rId12" ref="F18"/>
    <hyperlink r:id="rId13" ref="F19"/>
    <hyperlink r:id="rId14" ref="F20"/>
    <hyperlink r:id="rId15" ref="F21"/>
    <hyperlink r:id="rId16" ref="F22"/>
    <hyperlink r:id="rId17" ref="F23"/>
    <hyperlink r:id="rId18" ref="F24"/>
    <hyperlink r:id="rId19" ref="F25"/>
    <hyperlink r:id="rId20" ref="F26"/>
    <hyperlink r:id="rId21" ref="F27"/>
    <hyperlink r:id="rId22" ref="F28"/>
    <hyperlink r:id="rId23" ref="F29"/>
    <hyperlink r:id="rId24" ref="F30"/>
    <hyperlink r:id="rId25" ref="F31"/>
    <hyperlink r:id="rId26" ref="F32"/>
    <hyperlink r:id="rId27" ref="F33"/>
    <hyperlink r:id="rId28" ref="F34"/>
    <hyperlink r:id="rId29" ref="F35"/>
    <hyperlink r:id="rId30" ref="F36"/>
    <hyperlink r:id="rId31" ref="F37"/>
    <hyperlink r:id="rId32" ref="F38"/>
    <hyperlink r:id="rId33" ref="F39"/>
    <hyperlink r:id="rId34" ref="F40"/>
    <hyperlink r:id="rId35" ref="F41"/>
    <hyperlink r:id="rId36" ref="F42"/>
    <hyperlink r:id="rId37" ref="F43"/>
    <hyperlink r:id="rId38" ref="F44"/>
    <hyperlink r:id="rId39" ref="F45"/>
    <hyperlink r:id="rId40" ref="F46"/>
    <hyperlink r:id="rId41" ref="F48"/>
    <hyperlink r:id="rId42" ref="F49"/>
  </hyperlinks>
  <printOptions/>
  <pageMargins bottom="1.0" footer="0.0" header="0.0" left="0.75" right="0.75" top="1.0"/>
  <pageSetup paperSize="9" orientation="portrait"/>
  <drawing r:id="rId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8" width="24.0"/>
    <col customWidth="1" min="9" max="26" width="8.71"/>
  </cols>
  <sheetData>
    <row r="1">
      <c r="A1" s="12" t="s">
        <v>66</v>
      </c>
      <c r="B1" s="12" t="s">
        <v>73</v>
      </c>
      <c r="C1" s="12" t="s">
        <v>76</v>
      </c>
      <c r="D1" s="12" t="s">
        <v>79</v>
      </c>
      <c r="E1" s="12" t="s">
        <v>1002</v>
      </c>
      <c r="F1" s="12" t="s">
        <v>42</v>
      </c>
      <c r="G1" s="12" t="s">
        <v>22</v>
      </c>
      <c r="H1" s="12" t="s">
        <v>44</v>
      </c>
    </row>
    <row r="2">
      <c r="A2" s="132" t="s">
        <v>101</v>
      </c>
      <c r="B2" s="132" t="s">
        <v>89</v>
      </c>
      <c r="C2" s="132" t="s">
        <v>91</v>
      </c>
      <c r="D2" s="132" t="s">
        <v>143</v>
      </c>
      <c r="E2" s="132" t="s">
        <v>96</v>
      </c>
      <c r="F2" s="132" t="s">
        <v>628</v>
      </c>
      <c r="G2" s="132" t="s">
        <v>54</v>
      </c>
      <c r="H2" s="132" t="s">
        <v>58</v>
      </c>
    </row>
    <row r="3">
      <c r="A3" s="132" t="s">
        <v>84</v>
      </c>
      <c r="B3" s="132" t="s">
        <v>731</v>
      </c>
      <c r="C3" s="132" t="s">
        <v>1003</v>
      </c>
      <c r="D3" s="132" t="s">
        <v>92</v>
      </c>
      <c r="E3" s="132" t="s">
        <v>1004</v>
      </c>
      <c r="F3" s="132" t="s">
        <v>629</v>
      </c>
      <c r="G3" s="132" t="s">
        <v>623</v>
      </c>
      <c r="H3" s="132" t="s">
        <v>147</v>
      </c>
    </row>
    <row r="4">
      <c r="A4" s="132" t="s">
        <v>102</v>
      </c>
      <c r="B4" s="132" t="s">
        <v>741</v>
      </c>
      <c r="C4" s="132" t="s">
        <v>732</v>
      </c>
      <c r="D4" s="132" t="s">
        <v>443</v>
      </c>
      <c r="E4" s="132" t="s">
        <v>150</v>
      </c>
      <c r="F4" s="132" t="s">
        <v>630</v>
      </c>
      <c r="G4" s="132" t="s">
        <v>624</v>
      </c>
      <c r="H4" s="132" t="s">
        <v>638</v>
      </c>
    </row>
    <row r="5">
      <c r="A5" s="132" t="s">
        <v>103</v>
      </c>
      <c r="B5" s="132" t="s">
        <v>428</v>
      </c>
      <c r="D5" s="132" t="s">
        <v>1005</v>
      </c>
      <c r="F5" s="132" t="s">
        <v>631</v>
      </c>
      <c r="G5" s="132" t="s">
        <v>125</v>
      </c>
      <c r="H5" s="132" t="s">
        <v>639</v>
      </c>
    </row>
    <row r="6">
      <c r="A6" s="132" t="s">
        <v>104</v>
      </c>
      <c r="B6" s="132" t="s">
        <v>1006</v>
      </c>
      <c r="D6" s="132" t="s">
        <v>167</v>
      </c>
      <c r="F6" s="132" t="s">
        <v>632</v>
      </c>
      <c r="G6" s="133" t="s">
        <v>187</v>
      </c>
      <c r="H6" s="132" t="s">
        <v>640</v>
      </c>
    </row>
    <row r="7">
      <c r="A7" s="132" t="s">
        <v>106</v>
      </c>
      <c r="B7" s="132" t="s">
        <v>545</v>
      </c>
      <c r="D7" s="132" t="s">
        <v>732</v>
      </c>
      <c r="F7" s="132" t="s">
        <v>633</v>
      </c>
      <c r="G7" s="132" t="s">
        <v>62</v>
      </c>
    </row>
    <row r="8">
      <c r="A8" s="132" t="s">
        <v>455</v>
      </c>
      <c r="B8" s="132" t="s">
        <v>485</v>
      </c>
      <c r="G8" s="132" t="s">
        <v>107</v>
      </c>
    </row>
    <row r="9">
      <c r="A9" s="132" t="s">
        <v>471</v>
      </c>
      <c r="B9" s="132" t="s">
        <v>441</v>
      </c>
      <c r="G9" s="126" t="s">
        <v>179</v>
      </c>
    </row>
    <row r="10">
      <c r="A10" s="133" t="s">
        <v>310</v>
      </c>
      <c r="B10" s="132"/>
    </row>
    <row r="11">
      <c r="A11" s="133" t="s">
        <v>316</v>
      </c>
      <c r="B11" s="132"/>
    </row>
    <row r="12">
      <c r="A12" s="133" t="s">
        <v>347</v>
      </c>
      <c r="B12" s="132"/>
    </row>
    <row r="13">
      <c r="A13" s="133" t="s">
        <v>323</v>
      </c>
      <c r="B13" s="132"/>
    </row>
    <row r="14">
      <c r="A14" s="133" t="s">
        <v>334</v>
      </c>
      <c r="B14" s="132"/>
    </row>
    <row r="15">
      <c r="A15" s="133" t="s">
        <v>434</v>
      </c>
    </row>
    <row r="16">
      <c r="A16" s="133" t="s">
        <v>681</v>
      </c>
    </row>
    <row r="17">
      <c r="A17" s="133" t="s">
        <v>447</v>
      </c>
    </row>
    <row r="18">
      <c r="A18" s="133" t="s">
        <v>464</v>
      </c>
    </row>
    <row r="19">
      <c r="A19" s="126" t="s">
        <v>477</v>
      </c>
    </row>
    <row r="20">
      <c r="A20" s="133" t="s">
        <v>933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2" t="s">
        <v>22</v>
      </c>
      <c r="B1" s="12" t="s">
        <v>65</v>
      </c>
      <c r="C1" s="12" t="s">
        <v>66</v>
      </c>
      <c r="D1" s="12" t="s">
        <v>67</v>
      </c>
      <c r="E1" s="12" t="s">
        <v>68</v>
      </c>
      <c r="F1" s="12" t="s">
        <v>69</v>
      </c>
      <c r="G1" s="12" t="s">
        <v>1007</v>
      </c>
      <c r="H1" s="12" t="s">
        <v>73</v>
      </c>
      <c r="I1" s="12" t="s">
        <v>76</v>
      </c>
      <c r="J1" s="12" t="s">
        <v>82</v>
      </c>
      <c r="K1" s="12" t="s">
        <v>129</v>
      </c>
      <c r="L1" s="12" t="s">
        <v>1008</v>
      </c>
    </row>
    <row r="2">
      <c r="A2" s="52" t="str">
        <f>IF(ADS!C6="","","ADS")</f>
        <v>ADS</v>
      </c>
      <c r="B2" s="52" t="str">
        <f>IF(ADS!B6="","",ADS!B6)</f>
        <v>ADS-001</v>
      </c>
      <c r="C2" s="52" t="str">
        <f>IF(ADS!C6="","",ADS!C6)</f>
        <v>Via</v>
      </c>
      <c r="D2" s="79" t="str">
        <f>IF(ADS!D6="","",ADS!D6)</f>
        <v>12356489755</v>
      </c>
      <c r="E2" s="52" t="str">
        <f>IF(ADS!E6="","",ADS!E6)</f>
        <v>Via Ads 1</v>
      </c>
      <c r="F2" s="134" t="str">
        <f>IF(ADS!F6="","",ADS!F6)</f>
        <v>abcxyz.com</v>
      </c>
      <c r="G2" s="52" t="str">
        <f>IF(ADS!G6="","",ADS!G6)</f>
        <v>ĐỖ VIẾT HUY</v>
      </c>
      <c r="H2" s="52" t="str">
        <f>IF(ADS!J6="","",ADS!J6)</f>
        <v>Chủ sở hữu / Admin</v>
      </c>
      <c r="I2" s="52" t="str">
        <f>IF(ADS!M6="","",ADS!M6)</f>
        <v/>
      </c>
      <c r="J2" s="52" t="str">
        <f>IF(ADS!R6="","",ADS!R6)</f>
        <v>Đã bàn giao</v>
      </c>
      <c r="K2" s="52" t="str">
        <f t="array" ref="K2">IF(COUNTA(ADS!T6:AE6)=0,"",INDEX(ADS!T6:AE6,1,SUMPRODUCT(MAX((ADS!T6:AE6&lt;&gt;"")*(COLUMN(ADS!T6:AE6)-COLUMN(ADS!T6)+1)))))</f>
        <v/>
      </c>
      <c r="L2" s="52">
        <f>IF(AND(G2&lt;&gt;"",G2='Tổng hợp'!$C$4),MAX(L$1:L1)+1,"")</f>
        <v>1</v>
      </c>
    </row>
    <row r="3">
      <c r="A3" s="52" t="str">
        <f>IF(ADS!C7="","","ADS")</f>
        <v>ADS</v>
      </c>
      <c r="B3" s="52" t="str">
        <f>IF(ADS!B7="","",ADS!B7)</f>
        <v>ADS-002</v>
      </c>
      <c r="C3" s="52" t="str">
        <f>IF(ADS!C7="","",ADS!C7)</f>
        <v>AI</v>
      </c>
      <c r="D3" s="79" t="str">
        <f>IF(ADS!D7="","",ADS!D7)</f>
        <v>dsffgdg</v>
      </c>
      <c r="E3" s="52" t="str">
        <f>IF(ADS!E7="","",ADS!E7)</f>
        <v>AI claude</v>
      </c>
      <c r="F3" s="52" t="str">
        <f>IF(ADS!F7="","",ADS!F7)</f>
        <v/>
      </c>
      <c r="G3" s="52" t="str">
        <f>IF(ADS!G7="","",ADS!G7)</f>
        <v>PHƯƠNG VIỆT HOÀNG</v>
      </c>
      <c r="H3" s="52" t="str">
        <f>IF(ADS!J7="","",ADS!J7)</f>
        <v/>
      </c>
      <c r="I3" s="52" t="str">
        <f>IF(ADS!M7="","",ADS!M7)</f>
        <v/>
      </c>
      <c r="J3" s="52" t="str">
        <f>IF(ADS!R7="","",ADS!R7)</f>
        <v/>
      </c>
      <c r="K3" s="52" t="str">
        <f t="array" ref="K3">IF(COUNTA(ADS!T7:AE7)=0,"",INDEX(ADS!T7:AE7,1,SUMPRODUCT(MAX((ADS!T7:AE7&lt;&gt;"")*(COLUMN(ADS!T7:AE7)-COLUMN(ADS!T7)+1)))))</f>
        <v/>
      </c>
      <c r="L3" s="52" t="str">
        <f>IF(AND(G3&lt;&gt;"",G3='Tổng hợp'!$C$4),MAX(L$1:L2)+1,"")</f>
        <v/>
      </c>
    </row>
    <row r="4">
      <c r="A4" s="52" t="str">
        <f>IF(ADS!C8="","","ADS")</f>
        <v>ADS</v>
      </c>
      <c r="B4" s="52" t="str">
        <f>IF(ADS!B8="","",ADS!B8)</f>
        <v>ADS-003</v>
      </c>
      <c r="C4" s="52" t="str">
        <f>IF(ADS!C8="","",ADS!C8)</f>
        <v>Page</v>
      </c>
      <c r="D4" s="79" t="str">
        <f>IF(ADS!D8="","",ADS!D8)</f>
        <v>df6454655</v>
      </c>
      <c r="E4" s="52" t="str">
        <f>IF(ADS!E8="","",ADS!E8)</f>
        <v>fdgdfghf</v>
      </c>
      <c r="F4" s="52" t="str">
        <f>IF(ADS!F8="","",ADS!F8)</f>
        <v>fghfhfgh</v>
      </c>
      <c r="G4" s="52" t="str">
        <f>IF(ADS!G8="","",ADS!G8)</f>
        <v>PHƯƠNG VIỆT HOÀNG</v>
      </c>
      <c r="H4" s="52" t="str">
        <f>IF(ADS!J8="","",ADS!J8)</f>
        <v>Chủ sở hữu / Admin</v>
      </c>
      <c r="I4" s="52" t="str">
        <f>IF(ADS!M8="","",ADS!M8)</f>
        <v/>
      </c>
      <c r="J4" s="52" t="str">
        <f>IF(ADS!R8="","",ADS!R8)</f>
        <v>Chưa bàn giao</v>
      </c>
      <c r="K4" s="52" t="str">
        <f t="array" ref="K4">IF(COUNTA(ADS!T8:AE8)=0,"",INDEX(ADS!T8:AE8,1,SUMPRODUCT(MAX((ADS!T8:AE8&lt;&gt;"")*(COLUMN(ADS!T8:AE8)-COLUMN(ADS!T8)+1)))))</f>
        <v/>
      </c>
      <c r="L4" s="52" t="str">
        <f>IF(AND(G4&lt;&gt;"",G4='Tổng hợp'!$C$4),MAX(L$1:L3)+1,"")</f>
        <v/>
      </c>
    </row>
    <row r="5">
      <c r="A5" s="52" t="str">
        <f>IF(ADS!C9="","","ADS")</f>
        <v>ADS</v>
      </c>
      <c r="B5" s="52" t="str">
        <f>IF(ADS!B9="","",ADS!B9)</f>
        <v>ADS-004</v>
      </c>
      <c r="C5" s="52" t="str">
        <f>IF(ADS!C9="","",ADS!C9)</f>
        <v>Nhóm</v>
      </c>
      <c r="D5" s="52" t="str">
        <f>IF(ADS!D9="","",ADS!D9)</f>
        <v/>
      </c>
      <c r="E5" s="52" t="str">
        <f>IF(ADS!E9="","",ADS!E9)</f>
        <v/>
      </c>
      <c r="F5" s="52" t="str">
        <f>IF(ADS!F9="","",ADS!F9)</f>
        <v/>
      </c>
      <c r="G5" s="52" t="str">
        <f>IF(ADS!G9="","",ADS!G9)</f>
        <v/>
      </c>
      <c r="H5" s="52" t="str">
        <f>IF(ADS!J9="","",ADS!J9)</f>
        <v/>
      </c>
      <c r="I5" s="52" t="str">
        <f>IF(ADS!M9="","",ADS!M9)</f>
        <v/>
      </c>
      <c r="J5" s="52" t="str">
        <f>IF(ADS!R9="","",ADS!R9)</f>
        <v/>
      </c>
      <c r="K5" s="52" t="str">
        <f t="array" ref="K5">IF(COUNTA(ADS!T9:AE9)=0,"",INDEX(ADS!T9:AE9,1,SUMPRODUCT(MAX((ADS!T9:AE9&lt;&gt;"")*(COLUMN(ADS!T9:AE9)-COLUMN(ADS!T9)+1)))))</f>
        <v/>
      </c>
      <c r="L5" s="52" t="str">
        <f>IF(AND(G5&lt;&gt;"",G5='Tổng hợp'!$C$4),MAX(L$1:L4)+1,"")</f>
        <v/>
      </c>
    </row>
    <row r="6">
      <c r="A6" s="52" t="str">
        <f>IF(ADS!C10="","","ADS")</f>
        <v>ADS</v>
      </c>
      <c r="B6" s="52" t="str">
        <f>IF(ADS!B10="","",ADS!B10)</f>
        <v>ADS-005</v>
      </c>
      <c r="C6" s="52" t="str">
        <f>IF(ADS!C10="","",ADS!C10)</f>
        <v>Via</v>
      </c>
      <c r="D6" s="79" t="str">
        <f>IF(ADS!D10="","",ADS!D10)</f>
        <v>100068861280350</v>
      </c>
      <c r="E6" s="52" t="str">
        <f>IF(ADS!E10="","",ADS!E10)</f>
        <v>Via</v>
      </c>
      <c r="F6" s="134" t="str">
        <f>IF(ADS!F10="","",ADS!F10)</f>
        <v>https://www.facebook.com/profile.php?id=100068861280350</v>
      </c>
      <c r="G6" s="52" t="str">
        <f>IF(ADS!G10="","",ADS!G10)</f>
        <v>NGUYỄN XUÂN DŨNG</v>
      </c>
      <c r="H6" s="52" t="str">
        <f>IF(ADS!J10="","",ADS!J10)</f>
        <v>Chủ sở hữu / Admin</v>
      </c>
      <c r="I6" s="52" t="str">
        <f>IF(ADS!M10="","",ADS!M10)</f>
        <v>Có</v>
      </c>
      <c r="J6" s="52" t="str">
        <f>IF(ADS!R10="","",ADS!R10)</f>
        <v>Chưa bàn giao</v>
      </c>
      <c r="K6" s="52" t="str">
        <f t="array" ref="K6">IF(COUNTA(ADS!T10:AE10)=0,"",INDEX(ADS!T10:AE10,1,SUMPRODUCT(MAX((ADS!T10:AE10&lt;&gt;"")*(COLUMN(ADS!T10:AE10)-COLUMN(ADS!T10)+1)))))</f>
        <v/>
      </c>
      <c r="L6" s="52" t="str">
        <f>IF(AND(G6&lt;&gt;"",G6='Tổng hợp'!$C$4),MAX(L$1:L5)+1,"")</f>
        <v/>
      </c>
    </row>
    <row r="7">
      <c r="A7" s="52" t="str">
        <f>IF(ADS!C11="","","ADS")</f>
        <v>ADS</v>
      </c>
      <c r="B7" s="52" t="str">
        <f>IF(ADS!B11="","",ADS!B11)</f>
        <v>ADS-006</v>
      </c>
      <c r="C7" s="52" t="str">
        <f>IF(ADS!C11="","",ADS!C11)</f>
        <v>Via</v>
      </c>
      <c r="D7" s="79" t="str">
        <f>IF(ADS!D11="","",ADS!D11)</f>
        <v>100027532092068</v>
      </c>
      <c r="E7" s="52" t="str">
        <f>IF(ADS!E11="","",ADS!E11)</f>
        <v>Via</v>
      </c>
      <c r="F7" s="134" t="str">
        <f>IF(ADS!F11="","",ADS!F11)</f>
        <v>https://www.facebook.com/vargas.reggie.7</v>
      </c>
      <c r="G7" s="52" t="str">
        <f>IF(ADS!G11="","",ADS!G11)</f>
        <v>NGUYỄN XUÂN DŨNG</v>
      </c>
      <c r="H7" s="52" t="str">
        <f>IF(ADS!J11="","",ADS!J11)</f>
        <v>Chủ sở hữu / Admin</v>
      </c>
      <c r="I7" s="52" t="str">
        <f>IF(ADS!M11="","",ADS!M11)</f>
        <v>Có</v>
      </c>
      <c r="J7" s="52" t="str">
        <f>IF(ADS!R11="","",ADS!R11)</f>
        <v>Chưa bàn giao</v>
      </c>
      <c r="K7" s="52" t="str">
        <f t="array" ref="K7">IF(COUNTA(ADS!T11:AE11)=0,"",INDEX(ADS!T11:AE11,1,SUMPRODUCT(MAX((ADS!T11:AE11&lt;&gt;"")*(COLUMN(ADS!T11:AE11)-COLUMN(ADS!T11)+1)))))</f>
        <v/>
      </c>
      <c r="L7" s="52" t="str">
        <f>IF(AND(G7&lt;&gt;"",G7='Tổng hợp'!$C$4),MAX(L$1:L6)+1,"")</f>
        <v/>
      </c>
    </row>
    <row r="8">
      <c r="A8" s="52" t="str">
        <f>IF(ADS!C12="","","ADS")</f>
        <v/>
      </c>
      <c r="B8" s="52" t="str">
        <f>IF(ADS!B12="","",ADS!B12)</f>
        <v/>
      </c>
      <c r="C8" s="52" t="str">
        <f>IF(ADS!C12="","",ADS!C12)</f>
        <v/>
      </c>
      <c r="D8" s="79" t="str">
        <f>IF(ADS!D12="","",ADS!D12)</f>
        <v>61575801293716</v>
      </c>
      <c r="E8" s="52" t="str">
        <f>IF(ADS!E12="","",ADS!E12)</f>
        <v>Via</v>
      </c>
      <c r="F8" s="134" t="str">
        <f>IF(ADS!F12="","",ADS!F12)</f>
        <v>https://www.facebook.com/profile.php?id=61575801293716</v>
      </c>
      <c r="G8" s="52" t="str">
        <f>IF(ADS!G12="","",ADS!G12)</f>
        <v>NGUYỄN XUÂN DŨNG</v>
      </c>
      <c r="H8" s="52" t="str">
        <f>IF(ADS!J12="","",ADS!J12)</f>
        <v>Chủ sở hữu / Admin</v>
      </c>
      <c r="I8" s="52" t="str">
        <f>IF(ADS!M12="","",ADS!M12)</f>
        <v>Có</v>
      </c>
      <c r="J8" s="52" t="str">
        <f>IF(ADS!R12="","",ADS!R12)</f>
        <v>Chưa bàn giao</v>
      </c>
      <c r="K8" s="52" t="str">
        <f t="array" ref="K8">IF(COUNTA(ADS!T12:AE12)=0,"",INDEX(ADS!T12:AE12,1,SUMPRODUCT(MAX((ADS!T12:AE12&lt;&gt;"")*(COLUMN(ADS!T12:AE12)-COLUMN(ADS!T12)+1)))))</f>
        <v/>
      </c>
      <c r="L8" s="52" t="str">
        <f>IF(AND(G8&lt;&gt;"",G8='Tổng hợp'!$C$4),MAX(L$1:L7)+1,"")</f>
        <v/>
      </c>
    </row>
    <row r="9">
      <c r="A9" s="52" t="str">
        <f>IF(ADS!C13="","","ADS")</f>
        <v>ADS</v>
      </c>
      <c r="B9" s="52" t="str">
        <f>IF(ADS!B13="","",ADS!B13)</f>
        <v>ADS-008</v>
      </c>
      <c r="C9" s="52" t="str">
        <f>IF(ADS!C13="","",ADS!C13)</f>
        <v>Page</v>
      </c>
      <c r="D9" s="79" t="str">
        <f>IF(ADS!D13="","",ADS!D13)</f>
        <v>100085100801017</v>
      </c>
      <c r="E9" s="52" t="str">
        <f>IF(ADS!E13="","",ADS!E13)</f>
        <v>page</v>
      </c>
      <c r="F9" s="134" t="str">
        <f>IF(ADS!F13="","",ADS!F13)</f>
        <v>https://www.facebook.com/profile.php?id=100085100801017</v>
      </c>
      <c r="G9" s="52" t="str">
        <f>IF(ADS!G13="","",ADS!G13)</f>
        <v>NGUYỄN XUÂN DŨNG</v>
      </c>
      <c r="H9" s="52" t="str">
        <f>IF(ADS!J13="","",ADS!J13)</f>
        <v>Chủ sở hữu / Admin</v>
      </c>
      <c r="I9" s="52" t="str">
        <f>IF(ADS!M13="","",ADS!M13)</f>
        <v/>
      </c>
      <c r="J9" s="52" t="str">
        <f>IF(ADS!R13="","",ADS!R13)</f>
        <v>Chưa bàn giao</v>
      </c>
      <c r="K9" s="52" t="str">
        <f t="array" ref="K9">IF(COUNTA(ADS!T13:AE13)=0,"",INDEX(ADS!T13:AE13,1,SUMPRODUCT(MAX((ADS!T13:AE13&lt;&gt;"")*(COLUMN(ADS!T13:AE13)-COLUMN(ADS!T13)+1)))))</f>
        <v/>
      </c>
      <c r="L9" s="52" t="str">
        <f>IF(AND(G9&lt;&gt;"",G9='Tổng hợp'!$C$4),MAX(L$1:L8)+1,"")</f>
        <v/>
      </c>
    </row>
    <row r="10">
      <c r="A10" s="52" t="str">
        <f>IF(ADS!C14="","","ADS")</f>
        <v>ADS</v>
      </c>
      <c r="B10" s="52" t="str">
        <f>IF(ADS!B14="","",ADS!B14)</f>
        <v>ADS-009</v>
      </c>
      <c r="C10" s="52" t="str">
        <f>IF(ADS!C14="","",ADS!C14)</f>
        <v>Page</v>
      </c>
      <c r="D10" s="79" t="str">
        <f>IF(ADS!D14="","",ADS!D14)</f>
        <v>61550327186842</v>
      </c>
      <c r="E10" s="52" t="str">
        <f>IF(ADS!E14="","",ADS!E14)</f>
        <v>page</v>
      </c>
      <c r="F10" s="134" t="str">
        <f>IF(ADS!F14="","",ADS!F14)</f>
        <v>https://www.facebook.com/profile.php?id=61550327186842</v>
      </c>
      <c r="G10" s="52" t="str">
        <f>IF(ADS!G14="","",ADS!G14)</f>
        <v>NGUYỄN XUÂN DŨNG</v>
      </c>
      <c r="H10" s="52" t="str">
        <f>IF(ADS!J14="","",ADS!J14)</f>
        <v>Chủ sở hữu / Admin</v>
      </c>
      <c r="I10" s="52" t="str">
        <f>IF(ADS!M14="","",ADS!M14)</f>
        <v/>
      </c>
      <c r="J10" s="52" t="str">
        <f>IF(ADS!R14="","",ADS!R14)</f>
        <v>Chưa bàn giao</v>
      </c>
      <c r="K10" s="52" t="str">
        <f t="array" ref="K10">IF(COUNTA(ADS!T14:AE14)=0,"",INDEX(ADS!T14:AE14,1,SUMPRODUCT(MAX((ADS!T14:AE14&lt;&gt;"")*(COLUMN(ADS!T14:AE14)-COLUMN(ADS!T14)+1)))))</f>
        <v/>
      </c>
      <c r="L10" s="52" t="str">
        <f>IF(AND(G10&lt;&gt;"",G10='Tổng hợp'!$C$4),MAX(L$1:L9)+1,"")</f>
        <v/>
      </c>
    </row>
    <row r="11">
      <c r="A11" s="52" t="str">
        <f>IF(ADS!C23="","","ADS")</f>
        <v>ADS</v>
      </c>
      <c r="B11" s="52" t="str">
        <f>IF(ADS!B23="","",ADS!B23)</f>
        <v>ADS-018</v>
      </c>
      <c r="C11" s="52" t="str">
        <f>IF(ADS!C23="","",ADS!C23)</f>
        <v>Via</v>
      </c>
      <c r="D11" s="79" t="str">
        <f>IF(ADS!D23="","",ADS!D23)</f>
        <v>61577314978339</v>
      </c>
      <c r="E11" s="52" t="str">
        <f>IF(ADS!E23="","",ADS!E23)</f>
        <v>Via</v>
      </c>
      <c r="F11" s="134" t="str">
        <f>IF(ADS!F23="","",ADS!F23)</f>
        <v>https://www.facebook.com/profile.php?id=61577314978339</v>
      </c>
      <c r="G11" s="52" t="str">
        <f>IF(ADS!G23="","",ADS!G23)</f>
        <v>PHƯƠNG VIỆT HOÀNG</v>
      </c>
      <c r="H11" s="52" t="str">
        <f>IF(ADS!J23="","",ADS!J23)</f>
        <v>Chủ sở hữu / Admin</v>
      </c>
      <c r="I11" s="52" t="str">
        <f>IF(ADS!M23="","",ADS!M23)</f>
        <v>Có</v>
      </c>
      <c r="J11" s="52" t="str">
        <f>IF(ADS!R23="","",ADS!R23)</f>
        <v>Đã bàn giao</v>
      </c>
      <c r="K11" s="52" t="str">
        <f t="array" ref="K11">IF(COUNTA(ADS!T23:AE23)=0,"",INDEX(ADS!T23:AE23,1,SUMPRODUCT(MAX((ADS!T23:AE23&lt;&gt;"")*(COLUMN(ADS!T23:AE23)-COLUMN(ADS!T23)+1)))))</f>
        <v/>
      </c>
      <c r="L11" s="52" t="str">
        <f>IF(AND(G11&lt;&gt;"",G11='Tổng hợp'!$C$4),MAX(L$1:L10)+1,"")</f>
        <v/>
      </c>
    </row>
    <row r="12">
      <c r="A12" s="52" t="str">
        <f>IF(ADS!C24="","","ADS")</f>
        <v>ADS</v>
      </c>
      <c r="B12" s="52" t="str">
        <f>IF(ADS!B24="","",ADS!B24)</f>
        <v>ADS-019</v>
      </c>
      <c r="C12" s="52" t="str">
        <f>IF(ADS!C24="","",ADS!C24)</f>
        <v>Via</v>
      </c>
      <c r="D12" s="79" t="str">
        <f>IF(ADS!D24="","",ADS!D24)</f>
        <v>61577722010031 </v>
      </c>
      <c r="E12" s="52" t="str">
        <f>IF(ADS!E24="","",ADS!E24)</f>
        <v>Via</v>
      </c>
      <c r="F12" s="134" t="str">
        <f>IF(ADS!F24="","",ADS!F24)</f>
        <v>https://www.facebook.com/profile.php?id=61577722010031</v>
      </c>
      <c r="G12" s="52" t="str">
        <f>IF(ADS!G24="","",ADS!G24)</f>
        <v>PHƯƠNG VIỆT HOÀNG</v>
      </c>
      <c r="H12" s="52" t="str">
        <f>IF(ADS!J24="","",ADS!J24)</f>
        <v>Chủ sở hữu / Admin</v>
      </c>
      <c r="I12" s="52" t="str">
        <f>IF(ADS!M24="","",ADS!M24)</f>
        <v>Có</v>
      </c>
      <c r="J12" s="52" t="str">
        <f>IF(ADS!R24="","",ADS!R24)</f>
        <v>Đã bàn giao</v>
      </c>
      <c r="K12" s="52" t="str">
        <f t="array" ref="K12">IF(COUNTA(ADS!T24:AE24)=0,"",INDEX(ADS!T24:AE24,1,SUMPRODUCT(MAX((ADS!T24:AE24&lt;&gt;"")*(COLUMN(ADS!T24:AE24)-COLUMN(ADS!T24)+1)))))</f>
        <v/>
      </c>
      <c r="L12" s="52" t="str">
        <f>IF(AND(G12&lt;&gt;"",G12='Tổng hợp'!$C$4),MAX(L$1:L11)+1,"")</f>
        <v/>
      </c>
    </row>
    <row r="13">
      <c r="A13" s="52" t="str">
        <f>IF(ADS!C25="","","ADS")</f>
        <v>ADS</v>
      </c>
      <c r="B13" s="52" t="str">
        <f>IF(ADS!B25="","",ADS!B25)</f>
        <v>ADS-020</v>
      </c>
      <c r="C13" s="52" t="str">
        <f>IF(ADS!C25="","",ADS!C25)</f>
        <v>Via</v>
      </c>
      <c r="D13" s="79" t="str">
        <f>IF(ADS!D25="","",ADS!D25)</f>
        <v>61577444008325</v>
      </c>
      <c r="E13" s="52" t="str">
        <f>IF(ADS!E25="","",ADS!E25)</f>
        <v>Via</v>
      </c>
      <c r="F13" s="134" t="str">
        <f>IF(ADS!F25="","",ADS!F25)</f>
        <v>https://www.facebook.com/profile.php?id=61577444008325</v>
      </c>
      <c r="G13" s="52" t="str">
        <f>IF(ADS!G25="","",ADS!G25)</f>
        <v>PHƯƠNG VIỆT HOÀNG</v>
      </c>
      <c r="H13" s="52" t="str">
        <f>IF(ADS!J25="","",ADS!J25)</f>
        <v>Chủ sở hữu / Admin</v>
      </c>
      <c r="I13" s="52" t="str">
        <f>IF(ADS!M25="","",ADS!M25)</f>
        <v>Có</v>
      </c>
      <c r="J13" s="52" t="str">
        <f>IF(ADS!R25="","",ADS!R25)</f>
        <v>Đã bàn giao</v>
      </c>
      <c r="K13" s="52" t="str">
        <f t="array" ref="K13">IF(COUNTA(ADS!T25:AE25)=0,"",INDEX(ADS!T25:AE25,1,SUMPRODUCT(MAX((ADS!T25:AE25&lt;&gt;"")*(COLUMN(ADS!T25:AE25)-COLUMN(ADS!T25)+1)))))</f>
        <v/>
      </c>
      <c r="L13" s="52" t="str">
        <f>IF(AND(G13&lt;&gt;"",G13='Tổng hợp'!$C$4),MAX(L$1:L12)+1,"")</f>
        <v/>
      </c>
    </row>
    <row r="14">
      <c r="A14" s="52" t="str">
        <f>IF(ADS!C26="","","ADS")</f>
        <v>ADS</v>
      </c>
      <c r="B14" s="52" t="str">
        <f>IF(ADS!B26="","",ADS!B26)</f>
        <v>ADS-021</v>
      </c>
      <c r="C14" s="52" t="str">
        <f>IF(ADS!C26="","",ADS!C26)</f>
        <v>Page</v>
      </c>
      <c r="D14" s="52" t="str">
        <f>IF(ADS!D26="","",ADS!D26)</f>
        <v/>
      </c>
      <c r="E14" s="52" t="str">
        <f>IF(ADS!E26="","",ADS!E26)</f>
        <v>Page SG</v>
      </c>
      <c r="F14" s="134" t="str">
        <f>IF(ADS!F26="","",ADS!F26)</f>
        <v>https://www.facebook.com/thammytieueva.bacsivutrongtien/</v>
      </c>
      <c r="G14" s="52" t="str">
        <f>IF(ADS!G26="","",ADS!G26)</f>
        <v>PHƯƠNG VIỆT HOÀNG</v>
      </c>
      <c r="H14" s="52" t="str">
        <f>IF(ADS!J26="","",ADS!J26)</f>
        <v>Chủ sở hữu / Admin</v>
      </c>
      <c r="I14" s="52" t="str">
        <f>IF(ADS!M26="","",ADS!M26)</f>
        <v/>
      </c>
      <c r="J14" s="52" t="str">
        <f>IF(ADS!R26="","",ADS!R26)</f>
        <v>Đã bàn giao</v>
      </c>
      <c r="K14" s="52" t="str">
        <f t="array" ref="K14">IF(COUNTA(ADS!T26:AE26)=0,"",INDEX(ADS!T26:AE26,1,SUMPRODUCT(MAX((ADS!T26:AE26&lt;&gt;"")*(COLUMN(ADS!T26:AE26)-COLUMN(ADS!T26)+1)))))</f>
        <v/>
      </c>
      <c r="L14" s="52" t="str">
        <f>IF(AND(G14&lt;&gt;"",G14='Tổng hợp'!$C$4),MAX(L$1:L13)+1,"")</f>
        <v/>
      </c>
    </row>
    <row r="15">
      <c r="A15" s="52" t="str">
        <f>IF(ADS!C27="","","ADS")</f>
        <v>ADS</v>
      </c>
      <c r="B15" s="52" t="str">
        <f>IF(ADS!B27="","",ADS!B27)</f>
        <v>ADS-022</v>
      </c>
      <c r="C15" s="52" t="str">
        <f>IF(ADS!C27="","",ADS!C27)</f>
        <v>Page</v>
      </c>
      <c r="D15" s="52" t="str">
        <f>IF(ADS!D27="","",ADS!D27)</f>
        <v/>
      </c>
      <c r="E15" s="52" t="str">
        <f>IF(ADS!E27="","",ADS!E27)</f>
        <v>Page SG</v>
      </c>
      <c r="F15" s="134" t="str">
        <f>IF(ADS!F27="","",ADS!F27)</f>
        <v>https://www.facebook.com/thammytieueva.bacsivutrongtien/</v>
      </c>
      <c r="G15" s="52" t="str">
        <f>IF(ADS!G27="","",ADS!G27)</f>
        <v>PHƯƠNG VIỆT HOÀNG</v>
      </c>
      <c r="H15" s="52" t="str">
        <f>IF(ADS!J27="","",ADS!J27)</f>
        <v>Chủ sở hữu / Admin</v>
      </c>
      <c r="I15" s="52" t="str">
        <f>IF(ADS!M27="","",ADS!M27)</f>
        <v/>
      </c>
      <c r="J15" s="52" t="str">
        <f>IF(ADS!R27="","",ADS!R27)</f>
        <v>Đã bàn giao</v>
      </c>
      <c r="K15" s="52" t="str">
        <f t="array" ref="K15">IF(COUNTA(ADS!T27:AE27)=0,"",INDEX(ADS!T27:AE27,1,SUMPRODUCT(MAX((ADS!T27:AE27&lt;&gt;"")*(COLUMN(ADS!T27:AE27)-COLUMN(ADS!T27)+1)))))</f>
        <v/>
      </c>
      <c r="L15" s="52" t="str">
        <f>IF(AND(G15&lt;&gt;"",G15='Tổng hợp'!$C$4),MAX(L$1:L14)+1,"")</f>
        <v/>
      </c>
    </row>
    <row r="16">
      <c r="A16" s="52" t="str">
        <f>IF(ADS!C28="","","ADS")</f>
        <v>ADS</v>
      </c>
      <c r="B16" s="52" t="str">
        <f>IF(ADS!B28="","",ADS!B28)</f>
        <v>ADS-023</v>
      </c>
      <c r="C16" s="52" t="str">
        <f>IF(ADS!C28="","",ADS!C28)</f>
        <v>VPS</v>
      </c>
      <c r="D16" s="79" t="str">
        <f>IF(ADS!D28="","",ADS!D28)</f>
        <v>103.216.118.184</v>
      </c>
      <c r="E16" s="52" t="str">
        <f>IF(ADS!E28="","",ADS!E28)</f>
        <v>Server</v>
      </c>
      <c r="F16" s="52" t="str">
        <f>IF(ADS!F28="","",ADS!F28)</f>
        <v/>
      </c>
      <c r="G16" s="52" t="str">
        <f>IF(ADS!G28="","",ADS!G28)</f>
        <v>PHƯƠNG VIỆT HOÀNG</v>
      </c>
      <c r="H16" s="52" t="str">
        <f>IF(ADS!J28="","",ADS!J28)</f>
        <v>Chủ sở hữu / Admin</v>
      </c>
      <c r="I16" s="52" t="str">
        <f>IF(ADS!M28="","",ADS!M28)</f>
        <v/>
      </c>
      <c r="J16" s="52" t="str">
        <f>IF(ADS!R28="","",ADS!R28)</f>
        <v>Đã bàn giao</v>
      </c>
      <c r="K16" s="52" t="str">
        <f t="array" ref="K16">IF(COUNTA(ADS!T28:AE28)=0,"",INDEX(ADS!T28:AE28,1,SUMPRODUCT(MAX((ADS!T28:AE28&lt;&gt;"")*(COLUMN(ADS!T28:AE28)-COLUMN(ADS!T28)+1)))))</f>
        <v/>
      </c>
      <c r="L16" s="52" t="str">
        <f>IF(AND(G16&lt;&gt;"",G16='Tổng hợp'!$C$4),MAX(L$1:L15)+1,"")</f>
        <v/>
      </c>
    </row>
    <row r="17">
      <c r="A17" s="52" t="str">
        <f>IF(ADS!C29="","","ADS")</f>
        <v>ADS</v>
      </c>
      <c r="B17" s="52" t="str">
        <f>IF(ADS!B29="","",ADS!B29)</f>
        <v>ADS-024</v>
      </c>
      <c r="C17" s="52" t="str">
        <f>IF(ADS!C29="","",ADS!C29)</f>
        <v>Kênh Tiktok</v>
      </c>
      <c r="D17" s="52" t="str">
        <f>IF(ADS!D29="","",ADS!D29)</f>
        <v/>
      </c>
      <c r="E17" s="52" t="str">
        <f>IF(ADS!E29="","",ADS!E29)</f>
        <v>Kênh Tiktok HN</v>
      </c>
      <c r="F17" s="134" t="str">
        <f>IF(ADS!F29="","",ADS!F29)</f>
        <v>https://www.tiktok.com/@apexmed_vutrongtien</v>
      </c>
      <c r="G17" s="52" t="str">
        <f>IF(ADS!G29="","",ADS!G29)</f>
        <v>PHƯƠNG VIỆT HOÀNG</v>
      </c>
      <c r="H17" s="52" t="str">
        <f>IF(ADS!J29="","",ADS!J29)</f>
        <v>Chủ sở hữu / Admin</v>
      </c>
      <c r="I17" s="52" t="str">
        <f>IF(ADS!M29="","",ADS!M29)</f>
        <v/>
      </c>
      <c r="J17" s="52" t="str">
        <f>IF(ADS!R29="","",ADS!R29)</f>
        <v>Đã bàn giao</v>
      </c>
      <c r="K17" s="52" t="str">
        <f t="array" ref="K17">IF(COUNTA(ADS!T29:AE29)=0,"",INDEX(ADS!T29:AE29,1,SUMPRODUCT(MAX((ADS!T29:AE29&lt;&gt;"")*(COLUMN(ADS!T29:AE29)-COLUMN(ADS!T29)+1)))))</f>
        <v/>
      </c>
      <c r="L17" s="52" t="str">
        <f>IF(AND(G17&lt;&gt;"",G17='Tổng hợp'!$C$4),MAX(L$1:L16)+1,"")</f>
        <v/>
      </c>
    </row>
    <row r="18">
      <c r="A18" s="52" t="str">
        <f>IF(ADS!C30="","","ADS")</f>
        <v>ADS</v>
      </c>
      <c r="B18" s="52" t="str">
        <f>IF(ADS!B30="","",ADS!B30)</f>
        <v>ADS-025</v>
      </c>
      <c r="C18" s="52" t="str">
        <f>IF(ADS!C30="","",ADS!C30)</f>
        <v>TKQC Tiktok</v>
      </c>
      <c r="D18" s="52" t="str">
        <f>IF(ADS!D30="","",ADS!D30)</f>
        <v/>
      </c>
      <c r="E18" s="52" t="str">
        <f>IF(ADS!E30="","",ADS!E30)</f>
        <v>Kênh Tiktok HN</v>
      </c>
      <c r="F18" s="134" t="str">
        <f>IF(ADS!F30="","",ADS!F30)</f>
        <v>https://www.tiktok.com/@bsvutrongtien29</v>
      </c>
      <c r="G18" s="52" t="str">
        <f>IF(ADS!G30="","",ADS!G30)</f>
        <v>PHƯƠNG VIỆT HOÀNG</v>
      </c>
      <c r="H18" s="52" t="str">
        <f>IF(ADS!J30="","",ADS!J30)</f>
        <v>Chủ sở hữu / Admin</v>
      </c>
      <c r="I18" s="52" t="str">
        <f>IF(ADS!M30="","",ADS!M30)</f>
        <v/>
      </c>
      <c r="J18" s="52" t="str">
        <f>IF(ADS!R30="","",ADS!R30)</f>
        <v>Đã bàn giao</v>
      </c>
      <c r="K18" s="52" t="str">
        <f t="array" ref="K18">IF(COUNTA(ADS!T30:AE30)=0,"",INDEX(ADS!T30:AE30,1,SUMPRODUCT(MAX((ADS!T30:AE30&lt;&gt;"")*(COLUMN(ADS!T30:AE30)-COLUMN(ADS!T30)+1)))))</f>
        <v/>
      </c>
      <c r="L18" s="52" t="str">
        <f>IF(AND(G18&lt;&gt;"",G18='Tổng hợp'!$C$4),MAX(L$1:L17)+1,"")</f>
        <v/>
      </c>
    </row>
    <row r="19">
      <c r="A19" s="52" t="str">
        <f>IF(ADS!C31="","","ADS")</f>
        <v>ADS</v>
      </c>
      <c r="B19" s="52" t="str">
        <f>IF(ADS!B31="","",ADS!B31)</f>
        <v>ADS-026</v>
      </c>
      <c r="C19" s="52" t="str">
        <f>IF(ADS!C31="","",ADS!C31)</f>
        <v>Kênh Tiktok</v>
      </c>
      <c r="D19" s="52" t="str">
        <f>IF(ADS!D31="","",ADS!D31)</f>
        <v/>
      </c>
      <c r="E19" s="52" t="str">
        <f>IF(ADS!E31="","",ADS!E31)</f>
        <v>Kênh Tiktok SG</v>
      </c>
      <c r="F19" s="134" t="str">
        <f>IF(ADS!F31="","",ADS!F31)</f>
        <v>https://www.tiktok.com/@bsvutrongtienlamdep</v>
      </c>
      <c r="G19" s="52" t="str">
        <f>IF(ADS!G31="","",ADS!G31)</f>
        <v>PHƯƠNG VIỆT HOÀNG</v>
      </c>
      <c r="H19" s="52" t="str">
        <f>IF(ADS!J31="","",ADS!J31)</f>
        <v>Chủ sở hữu / Admin</v>
      </c>
      <c r="I19" s="52" t="str">
        <f>IF(ADS!M31="","",ADS!M31)</f>
        <v/>
      </c>
      <c r="J19" s="52" t="str">
        <f>IF(ADS!R31="","",ADS!R31)</f>
        <v>Đã bàn giao</v>
      </c>
      <c r="K19" s="52" t="str">
        <f t="array" ref="K19">IF(COUNTA(ADS!T31:AE31)=0,"",INDEX(ADS!T31:AE31,1,SUMPRODUCT(MAX((ADS!T31:AE31&lt;&gt;"")*(COLUMN(ADS!T31:AE31)-COLUMN(ADS!T31)+1)))))</f>
        <v/>
      </c>
      <c r="L19" s="52" t="str">
        <f>IF(AND(G19&lt;&gt;"",G19='Tổng hợp'!$C$4),MAX(L$1:L18)+1,"")</f>
        <v/>
      </c>
    </row>
    <row r="20">
      <c r="A20" s="52" t="str">
        <f>IF(ADS!C32="","","ADS")</f>
        <v>ADS</v>
      </c>
      <c r="B20" s="52" t="str">
        <f>IF(ADS!B32="","",ADS!B32)</f>
        <v>ADS-027</v>
      </c>
      <c r="C20" s="52" t="str">
        <f>IF(ADS!C32="","",ADS!C32)</f>
        <v>Kênh Tiktok</v>
      </c>
      <c r="D20" s="52" t="str">
        <f>IF(ADS!D32="","",ADS!D32)</f>
        <v/>
      </c>
      <c r="E20" s="52" t="str">
        <f>IF(ADS!E32="","",ADS!E32)</f>
        <v>Kênh Tiktok SG</v>
      </c>
      <c r="F20" s="134" t="str">
        <f>IF(ADS!F32="","",ADS!F32)</f>
        <v>https://www.tiktok.com/@drvutrongtienlamdepeva</v>
      </c>
      <c r="G20" s="52" t="str">
        <f>IF(ADS!G32="","",ADS!G32)</f>
        <v>PHƯƠNG VIỆT HOÀNG</v>
      </c>
      <c r="H20" s="52" t="str">
        <f>IF(ADS!J32="","",ADS!J32)</f>
        <v>Chủ sở hữu / Admin</v>
      </c>
      <c r="I20" s="52" t="str">
        <f>IF(ADS!M32="","",ADS!M32)</f>
        <v/>
      </c>
      <c r="J20" s="52" t="str">
        <f>IF(ADS!R32="","",ADS!R32)</f>
        <v>Đã bàn giao</v>
      </c>
      <c r="K20" s="52" t="str">
        <f t="array" ref="K20">IF(COUNTA(ADS!T32:AE32)=0,"",INDEX(ADS!T32:AE32,1,SUMPRODUCT(MAX((ADS!T32:AE32&lt;&gt;"")*(COLUMN(ADS!T32:AE32)-COLUMN(ADS!T32)+1)))))</f>
        <v/>
      </c>
      <c r="L20" s="52" t="str">
        <f>IF(AND(G20&lt;&gt;"",G20='Tổng hợp'!$C$4),MAX(L$1:L19)+1,"")</f>
        <v/>
      </c>
    </row>
    <row r="21" ht="15.75" customHeight="1">
      <c r="A21" s="52" t="str">
        <f>IF(ADS!C89="","","ADS")</f>
        <v>ADS</v>
      </c>
      <c r="B21" s="52" t="str">
        <f>IF(ADS!B89="","",ADS!B89)</f>
        <v>ADS-084</v>
      </c>
      <c r="C21" s="52" t="str">
        <f>IF(ADS!C89="","",ADS!C89)</f>
        <v>Page</v>
      </c>
      <c r="D21" s="52" t="str">
        <f>IF(ADS!D89="","",ADS!D89)</f>
        <v/>
      </c>
      <c r="E21" s="52" t="str">
        <f>IF(ADS!E89="","",ADS!E89)</f>
        <v>Page HN</v>
      </c>
      <c r="F21" s="134" t="str">
        <f>IF(ADS!F89="","",ADS!F89)</f>
        <v>https://www.facebook.com/bacsitien.apexmed/</v>
      </c>
      <c r="G21" s="52" t="str">
        <f>IF(ADS!G89="","",ADS!G89)</f>
        <v>BÙI ĐÌNH ĐỨC</v>
      </c>
      <c r="H21" s="52" t="str">
        <f>IF(ADS!J89="","",ADS!J89)</f>
        <v>Chủ sở hữu / Admin</v>
      </c>
      <c r="I21" s="52" t="str">
        <f>IF(ADS!M89="","",ADS!M89)</f>
        <v/>
      </c>
      <c r="J21" s="52" t="str">
        <f>IF(ADS!R89="","",ADS!R89)</f>
        <v>Đã bàn giao</v>
      </c>
      <c r="K21" s="52" t="str">
        <f t="array" ref="K21">IF(COUNTA(ADS!T89:AE89)=0,"",INDEX(ADS!T89:AE89,1,SUMPRODUCT(MAX((ADS!T89:AE89&lt;&gt;"")*(COLUMN(ADS!T89:AE89)-COLUMN(ADS!T89)+1)))))</f>
        <v/>
      </c>
      <c r="L21" s="52" t="str">
        <f>IF(AND(G21&lt;&gt;"",G21='Tổng hợp'!$C$4),MAX(L$1:L20)+1,"")</f>
        <v/>
      </c>
    </row>
    <row r="22" ht="15.75" customHeight="1">
      <c r="A22" s="52" t="str">
        <f>IF(ADS!C90="","","ADS")</f>
        <v>ADS</v>
      </c>
      <c r="B22" s="52" t="str">
        <f>IF(ADS!B90="","",ADS!B90)</f>
        <v>ADS-085</v>
      </c>
      <c r="C22" s="52" t="str">
        <f>IF(ADS!C90="","",ADS!C90)</f>
        <v>Page</v>
      </c>
      <c r="D22" s="52" t="str">
        <f>IF(ADS!D90="","",ADS!D90)</f>
        <v/>
      </c>
      <c r="E22" s="52" t="str">
        <f>IF(ADS!E90="","",ADS!E90)</f>
        <v>Page HN</v>
      </c>
      <c r="F22" s="134" t="str">
        <f>IF(ADS!F90="","",ADS!F90)</f>
        <v>https://www.facebook.com/drtien.tantrangcobe103</v>
      </c>
      <c r="G22" s="52" t="str">
        <f>IF(ADS!G90="","",ADS!G90)</f>
        <v>BÙI ĐÌNH ĐỨC</v>
      </c>
      <c r="H22" s="52" t="str">
        <f>IF(ADS!J90="","",ADS!J90)</f>
        <v>Chủ sở hữu / Admin</v>
      </c>
      <c r="I22" s="52" t="str">
        <f>IF(ADS!M90="","",ADS!M90)</f>
        <v/>
      </c>
      <c r="J22" s="52" t="str">
        <f>IF(ADS!R90="","",ADS!R90)</f>
        <v>Đã bàn giao</v>
      </c>
      <c r="K22" s="52" t="str">
        <f t="array" ref="K22">IF(COUNTA(ADS!T90:AE90)=0,"",INDEX(ADS!T90:AE90,1,SUMPRODUCT(MAX((ADS!T90:AE90&lt;&gt;"")*(COLUMN(ADS!T90:AE90)-COLUMN(ADS!T90)+1)))))</f>
        <v/>
      </c>
      <c r="L22" s="52" t="str">
        <f>IF(AND(G22&lt;&gt;"",G22='Tổng hợp'!$C$4),MAX(L$1:L21)+1,"")</f>
        <v/>
      </c>
    </row>
    <row r="23" ht="15.75" customHeight="1">
      <c r="A23" s="52" t="str">
        <f>IF(ADS!C91="","","ADS")</f>
        <v/>
      </c>
      <c r="B23" s="52" t="str">
        <f>IF(ADS!B91="","",ADS!B91)</f>
        <v/>
      </c>
      <c r="C23" s="52" t="str">
        <f>IF(ADS!C91="","",ADS!C91)</f>
        <v/>
      </c>
      <c r="D23" s="52" t="str">
        <f>IF(ADS!D91="","",ADS!D91)</f>
        <v/>
      </c>
      <c r="E23" s="52" t="str">
        <f>IF(ADS!E91="","",ADS!E91)</f>
        <v/>
      </c>
      <c r="F23" s="52" t="str">
        <f>IF(ADS!F91="","",ADS!F91)</f>
        <v/>
      </c>
      <c r="G23" s="52" t="str">
        <f>IF(ADS!G91="","",ADS!G91)</f>
        <v/>
      </c>
      <c r="H23" s="52" t="str">
        <f>IF(ADS!J91="","",ADS!J91)</f>
        <v/>
      </c>
      <c r="I23" s="52" t="str">
        <f>IF(ADS!M91="","",ADS!M91)</f>
        <v/>
      </c>
      <c r="J23" s="52" t="str">
        <f>IF(ADS!R91="","",ADS!R91)</f>
        <v/>
      </c>
      <c r="K23" s="52" t="str">
        <f t="array" ref="K23">IF(COUNTA(ADS!T91:AE91)=0,"",INDEX(ADS!T91:AE91,1,SUMPRODUCT(MAX((ADS!T91:AE91&lt;&gt;"")*(COLUMN(ADS!T91:AE91)-COLUMN(ADS!T91)+1)))))</f>
        <v/>
      </c>
      <c r="L23" s="52" t="str">
        <f>IF(AND(G23&lt;&gt;"",G23='Tổng hợp'!$C$4),MAX(L$1:L22)+1,"")</f>
        <v/>
      </c>
    </row>
    <row r="24" ht="15.75" customHeight="1">
      <c r="A24" s="52" t="str">
        <f>IF(ADS!C92="","","ADS")</f>
        <v/>
      </c>
      <c r="B24" s="52" t="str">
        <f>IF(ADS!B92="","",ADS!B92)</f>
        <v/>
      </c>
      <c r="C24" s="52" t="str">
        <f>IF(ADS!C92="","",ADS!C92)</f>
        <v/>
      </c>
      <c r="D24" s="52" t="str">
        <f>IF(ADS!D92="","",ADS!D92)</f>
        <v/>
      </c>
      <c r="E24" s="52" t="str">
        <f>IF(ADS!E92="","",ADS!E92)</f>
        <v/>
      </c>
      <c r="F24" s="52" t="str">
        <f>IF(ADS!F92="","",ADS!F92)</f>
        <v/>
      </c>
      <c r="G24" s="52" t="str">
        <f>IF(ADS!G92="","",ADS!G92)</f>
        <v/>
      </c>
      <c r="H24" s="52" t="str">
        <f>IF(ADS!J92="","",ADS!J92)</f>
        <v/>
      </c>
      <c r="I24" s="52" t="str">
        <f>IF(ADS!M92="","",ADS!M92)</f>
        <v/>
      </c>
      <c r="J24" s="52" t="str">
        <f>IF(ADS!R92="","",ADS!R92)</f>
        <v/>
      </c>
      <c r="K24" s="52" t="str">
        <f t="array" ref="K24">IF(COUNTA(ADS!T92:AE92)=0,"",INDEX(ADS!T92:AE92,1,SUMPRODUCT(MAX((ADS!T92:AE92&lt;&gt;"")*(COLUMN(ADS!T92:AE92)-COLUMN(ADS!T92)+1)))))</f>
        <v/>
      </c>
      <c r="L24" s="52" t="str">
        <f>IF(AND(G24&lt;&gt;"",G24='Tổng hợp'!$C$4),MAX(L$1:L23)+1,"")</f>
        <v/>
      </c>
    </row>
    <row r="25" ht="15.75" customHeight="1">
      <c r="A25" s="52" t="str">
        <f>IF(ADS!C93="","","ADS")</f>
        <v>ADS</v>
      </c>
      <c r="B25" s="52" t="str">
        <f>IF(ADS!B93="","",ADS!B93)</f>
        <v>ADS-088</v>
      </c>
      <c r="C25" s="52" t="str">
        <f>IF(ADS!C93="","",ADS!C93)</f>
        <v>Via</v>
      </c>
      <c r="D25" s="79" t="str">
        <f>IF(ADS!D93="","",ADS!D93)</f>
        <v>61575144252391</v>
      </c>
      <c r="E25" s="52" t="str">
        <f>IF(ADS!E93="","",ADS!E93)</f>
        <v>via set ads</v>
      </c>
      <c r="F25" s="134" t="str">
        <f>IF(ADS!F93="","",ADS!F93)</f>
        <v>https://www.facebook.com/profile.php?id=61575144252391</v>
      </c>
      <c r="G25" s="52" t="str">
        <f>IF(ADS!G93="","",ADS!G93)</f>
        <v>VƯƠNG ANH ĐỨC</v>
      </c>
      <c r="H25" s="52" t="str">
        <f>IF(ADS!J93="","",ADS!J93)</f>
        <v>Chủ sở hữu / Admin</v>
      </c>
      <c r="I25" s="52" t="str">
        <f>IF(ADS!M93="","",ADS!M93)</f>
        <v/>
      </c>
      <c r="J25" s="52" t="str">
        <f>IF(ADS!R93="","",ADS!R93)</f>
        <v>Đã bàn giao</v>
      </c>
      <c r="K25" s="52" t="str">
        <f t="array" ref="K25">IF(COUNTA(ADS!T93:AE93)=0,"",INDEX(ADS!T93:AE93,1,SUMPRODUCT(MAX((ADS!T93:AE93&lt;&gt;"")*(COLUMN(ADS!T93:AE93)-COLUMN(ADS!T93)+1)))))</f>
        <v/>
      </c>
      <c r="L25" s="52" t="str">
        <f>IF(AND(G25&lt;&gt;"",G25='Tổng hợp'!$C$4),MAX(L$1:L24)+1,"")</f>
        <v/>
      </c>
    </row>
    <row r="26" ht="15.75" customHeight="1">
      <c r="A26" s="52" t="str">
        <f>IF(ADS!C94="","","ADS")</f>
        <v>ADS</v>
      </c>
      <c r="B26" s="52" t="str">
        <f>IF(ADS!B94="","",ADS!B94)</f>
        <v>ADS-089</v>
      </c>
      <c r="C26" s="52" t="str">
        <f>IF(ADS!C94="","",ADS!C94)</f>
        <v>Page</v>
      </c>
      <c r="D26" s="79" t="str">
        <f>IF(ADS!D94="","",ADS!D94)</f>
        <v>100089455893790</v>
      </c>
      <c r="E26" s="52" t="str">
        <f>IF(ADS!E94="","",ADS!E94)</f>
        <v>Page HN</v>
      </c>
      <c r="F26" s="134" t="str">
        <f>IF(ADS!F94="","",ADS!F94)</f>
        <v>https://www.facebook.com/profile.php?id=100089455893790</v>
      </c>
      <c r="G26" s="52" t="str">
        <f>IF(ADS!G94="","",ADS!G94)</f>
        <v>VƯƠNG ANH ĐỨC</v>
      </c>
      <c r="H26" s="52" t="str">
        <f>IF(ADS!J94="","",ADS!J94)</f>
        <v>Chủ sở hữu / Admin</v>
      </c>
      <c r="I26" s="52" t="str">
        <f>IF(ADS!M94="","",ADS!M94)</f>
        <v/>
      </c>
      <c r="J26" s="52" t="str">
        <f>IF(ADS!R94="","",ADS!R94)</f>
        <v>Đã bàn giao</v>
      </c>
      <c r="K26" s="52" t="str">
        <f t="array" ref="K26">IF(COUNTA(ADS!T94:AE94)=0,"",INDEX(ADS!T94:AE94,1,SUMPRODUCT(MAX((ADS!T94:AE94&lt;&gt;"")*(COLUMN(ADS!T94:AE94)-COLUMN(ADS!T94)+1)))))</f>
        <v/>
      </c>
      <c r="L26" s="52" t="str">
        <f>IF(AND(G26&lt;&gt;"",G26='Tổng hợp'!$C$4),MAX(L$1:L25)+1,"")</f>
        <v/>
      </c>
    </row>
    <row r="27" ht="15.75" customHeight="1">
      <c r="A27" s="52" t="str">
        <f>IF(ADS!C95="","","ADS")</f>
        <v>ADS</v>
      </c>
      <c r="B27" s="52" t="str">
        <f>IF(ADS!B95="","",ADS!B95)</f>
        <v>ADS-090</v>
      </c>
      <c r="C27" s="52" t="str">
        <f>IF(ADS!C95="","",ADS!C95)</f>
        <v>Page</v>
      </c>
      <c r="D27" s="79" t="str">
        <f>IF(ADS!D95="","",ADS!D95)</f>
        <v>100085131549687</v>
      </c>
      <c r="E27" s="52" t="str">
        <f>IF(ADS!E95="","",ADS!E95)</f>
        <v>Page HN</v>
      </c>
      <c r="F27" s="134" t="str">
        <f>IF(ADS!F95="","",ADS!F95)</f>
        <v>https://www.facebook.com/profile.php?id=100085131549687</v>
      </c>
      <c r="G27" s="52" t="str">
        <f>IF(ADS!G95="","",ADS!G95)</f>
        <v>VƯƠNG ANH ĐỨC</v>
      </c>
      <c r="H27" s="52" t="str">
        <f>IF(ADS!J95="","",ADS!J95)</f>
        <v>Chủ sở hữu / Admin</v>
      </c>
      <c r="I27" s="52" t="str">
        <f>IF(ADS!M95="","",ADS!M95)</f>
        <v/>
      </c>
      <c r="J27" s="52" t="str">
        <f>IF(ADS!R95="","",ADS!R95)</f>
        <v>Đã bàn giao</v>
      </c>
      <c r="K27" s="52" t="str">
        <f t="array" ref="K27">IF(COUNTA(ADS!T95:AE95)=0,"",INDEX(ADS!T95:AE95,1,SUMPRODUCT(MAX((ADS!T95:AE95&lt;&gt;"")*(COLUMN(ADS!T95:AE95)-COLUMN(ADS!T95)+1)))))</f>
        <v/>
      </c>
      <c r="L27" s="52" t="str">
        <f>IF(AND(G27&lt;&gt;"",G27='Tổng hợp'!$C$4),MAX(L$1:L26)+1,"")</f>
        <v/>
      </c>
    </row>
    <row r="28" ht="15.75" customHeight="1">
      <c r="A28" s="52" t="str">
        <f>IF(ADS!C96="","","ADS")</f>
        <v>ADS</v>
      </c>
      <c r="B28" s="52" t="str">
        <f>IF(ADS!B96="","",ADS!B96)</f>
        <v>ADS-091</v>
      </c>
      <c r="C28" s="52" t="str">
        <f>IF(ADS!C96="","",ADS!C96)</f>
        <v>Page</v>
      </c>
      <c r="D28" s="79" t="str">
        <f>IF(ADS!D96="","",ADS!D96)</f>
        <v>100089212843600</v>
      </c>
      <c r="E28" s="52" t="str">
        <f>IF(ADS!E96="","",ADS!E96)</f>
        <v>Page HN</v>
      </c>
      <c r="F28" s="134" t="str">
        <f>IF(ADS!F96="","",ADS!F96)</f>
        <v>https://www.facebook.com/profile.php?id=100089212843600</v>
      </c>
      <c r="G28" s="52" t="str">
        <f>IF(ADS!G96="","",ADS!G96)</f>
        <v>VƯƠNG ANH ĐỨC</v>
      </c>
      <c r="H28" s="52" t="str">
        <f>IF(ADS!J96="","",ADS!J96)</f>
        <v>Chủ sở hữu / Admin</v>
      </c>
      <c r="I28" s="52" t="str">
        <f>IF(ADS!M96="","",ADS!M96)</f>
        <v/>
      </c>
      <c r="J28" s="52" t="str">
        <f>IF(ADS!R96="","",ADS!R96)</f>
        <v>Đã bàn giao</v>
      </c>
      <c r="K28" s="52" t="str">
        <f t="array" ref="K28">IF(COUNTA(ADS!T96:AE96)=0,"",INDEX(ADS!T96:AE96,1,SUMPRODUCT(MAX((ADS!T96:AE96&lt;&gt;"")*(COLUMN(ADS!T96:AE96)-COLUMN(ADS!T96)+1)))))</f>
        <v/>
      </c>
      <c r="L28" s="52" t="str">
        <f>IF(AND(G28&lt;&gt;"",G28='Tổng hợp'!$C$4),MAX(L$1:L27)+1,"")</f>
        <v/>
      </c>
    </row>
    <row r="29" ht="15.75" customHeight="1">
      <c r="A29" s="52" t="str">
        <f>IF(ADS!C97="","","ADS")</f>
        <v/>
      </c>
      <c r="B29" s="52" t="str">
        <f>IF(ADS!B97="","",ADS!B97)</f>
        <v/>
      </c>
      <c r="C29" s="52" t="str">
        <f>IF(ADS!C97="","",ADS!C97)</f>
        <v/>
      </c>
      <c r="D29" s="52" t="str">
        <f>IF(ADS!D97="","",ADS!D97)</f>
        <v/>
      </c>
      <c r="E29" s="52" t="str">
        <f>IF(ADS!E97="","",ADS!E97)</f>
        <v/>
      </c>
      <c r="F29" s="52" t="str">
        <f>IF(ADS!F97="","",ADS!F97)</f>
        <v/>
      </c>
      <c r="G29" s="52" t="str">
        <f>IF(ADS!G97="","",ADS!G97)</f>
        <v/>
      </c>
      <c r="H29" s="52" t="str">
        <f>IF(ADS!J97="","",ADS!J97)</f>
        <v/>
      </c>
      <c r="I29" s="52" t="str">
        <f>IF(ADS!M97="","",ADS!M97)</f>
        <v/>
      </c>
      <c r="J29" s="52" t="str">
        <f>IF(ADS!R97="","",ADS!R97)</f>
        <v/>
      </c>
      <c r="K29" s="52" t="str">
        <f t="array" ref="K29">IF(COUNTA(ADS!T97:AE97)=0,"",INDEX(ADS!T97:AE97,1,SUMPRODUCT(MAX((ADS!T97:AE97&lt;&gt;"")*(COLUMN(ADS!T97:AE97)-COLUMN(ADS!T97)+1)))))</f>
        <v/>
      </c>
      <c r="L29" s="52" t="str">
        <f>IF(AND(G29&lt;&gt;"",G29='Tổng hợp'!$C$4),MAX(L$1:L28)+1,"")</f>
        <v/>
      </c>
    </row>
    <row r="30" ht="15.75" customHeight="1">
      <c r="A30" s="52" t="str">
        <f>IF(ADS!C98="","","ADS")</f>
        <v>ADS</v>
      </c>
      <c r="B30" s="52" t="str">
        <f>IF(ADS!B98="","",ADS!B98)</f>
        <v>ADS-093</v>
      </c>
      <c r="C30" s="52" t="str">
        <f>IF(ADS!C98="","",ADS!C98)</f>
        <v>Page</v>
      </c>
      <c r="D30" s="52" t="str">
        <f>IF(ADS!D98="","",ADS!D98)</f>
        <v/>
      </c>
      <c r="E30" s="52" t="str">
        <f>IF(ADS!E98="","",ADS!E98)</f>
        <v>Page HN</v>
      </c>
      <c r="F30" s="134" t="str">
        <f>IF(ADS!F98="","",ADS!F98)</f>
        <v>https://www.facebook.com/profile.php?id=61582889454685&amp;locale=vi_VN</v>
      </c>
      <c r="G30" s="52" t="str">
        <f>IF(ADS!G98="","",ADS!G98)</f>
        <v>NGUYỄN QUANG NGUYÊN</v>
      </c>
      <c r="H30" s="52" t="str">
        <f>IF(ADS!J98="","",ADS!J98)</f>
        <v>Chủ sở hữu / Admin</v>
      </c>
      <c r="I30" s="52" t="str">
        <f>IF(ADS!M98="","",ADS!M98)</f>
        <v/>
      </c>
      <c r="J30" s="52" t="str">
        <f>IF(ADS!R98="","",ADS!R98)</f>
        <v/>
      </c>
      <c r="K30" s="52" t="str">
        <f t="array" ref="K30">IF(COUNTA(ADS!T98:AE98)=0,"",INDEX(ADS!T98:AE98,1,SUMPRODUCT(MAX((ADS!T98:AE98&lt;&gt;"")*(COLUMN(ADS!T98:AE98)-COLUMN(ADS!T98)+1)))))</f>
        <v/>
      </c>
      <c r="L30" s="52" t="str">
        <f>IF(AND(G30&lt;&gt;"",G30='Tổng hợp'!$C$4),MAX(L$1:L29)+1,"")</f>
        <v/>
      </c>
    </row>
    <row r="31" ht="15.75" customHeight="1">
      <c r="A31" s="52" t="str">
        <f>IF(ADS!C99="","","ADS")</f>
        <v>ADS</v>
      </c>
      <c r="B31" s="52" t="str">
        <f>IF(ADS!B99="","",ADS!B99)</f>
        <v>ADS-094</v>
      </c>
      <c r="C31" s="52" t="str">
        <f>IF(ADS!C99="","",ADS!C99)</f>
        <v>Page</v>
      </c>
      <c r="D31" s="52" t="str">
        <f>IF(ADS!D99="","",ADS!D99)</f>
        <v/>
      </c>
      <c r="E31" s="52" t="str">
        <f>IF(ADS!E99="","",ADS!E99)</f>
        <v>Page HN</v>
      </c>
      <c r="F31" s="134" t="str">
        <f>IF(ADS!F99="","",ADS!F99)</f>
        <v>https://www.facebook.com/profile.php?id=61572368999279&amp;locale=vi_VN</v>
      </c>
      <c r="G31" s="52" t="str">
        <f>IF(ADS!G99="","",ADS!G99)</f>
        <v>NGUYỄN QUANG NGUYÊN</v>
      </c>
      <c r="H31" s="52" t="str">
        <f>IF(ADS!J99="","",ADS!J99)</f>
        <v>Chủ sở hữu / Admin</v>
      </c>
      <c r="I31" s="52" t="str">
        <f>IF(ADS!M99="","",ADS!M99)</f>
        <v/>
      </c>
      <c r="J31" s="52" t="str">
        <f>IF(ADS!R99="","",ADS!R99)</f>
        <v/>
      </c>
      <c r="K31" s="52" t="str">
        <f t="array" ref="K31">IF(COUNTA(ADS!T99:AE99)=0,"",INDEX(ADS!T99:AE99,1,SUMPRODUCT(MAX((ADS!T99:AE99&lt;&gt;"")*(COLUMN(ADS!T99:AE99)-COLUMN(ADS!T99)+1)))))</f>
        <v/>
      </c>
      <c r="L31" s="52" t="str">
        <f>IF(AND(G31&lt;&gt;"",G31='Tổng hợp'!$C$4),MAX(L$1:L30)+1,"")</f>
        <v/>
      </c>
    </row>
    <row r="32" ht="15.75" customHeight="1">
      <c r="A32" s="52" t="str">
        <f>IF(ADS!C100="","","ADS")</f>
        <v>ADS</v>
      </c>
      <c r="B32" s="52" t="str">
        <f>IF(ADS!B100="","",ADS!B100)</f>
        <v>ADS-095</v>
      </c>
      <c r="C32" s="52" t="str">
        <f>IF(ADS!C100="","",ADS!C100)</f>
        <v>Page</v>
      </c>
      <c r="D32" s="52" t="str">
        <f>IF(ADS!D100="","",ADS!D100)</f>
        <v/>
      </c>
      <c r="E32" s="52" t="str">
        <f>IF(ADS!E100="","",ADS!E100)</f>
        <v>Page HN</v>
      </c>
      <c r="F32" s="134" t="str">
        <f>IF(ADS!F100="","",ADS!F100)</f>
        <v>https://www.facebook.com/profile.php?id=61589769834525&amp;locale=vi_VN</v>
      </c>
      <c r="G32" s="52" t="str">
        <f>IF(ADS!G100="","",ADS!G100)</f>
        <v>NGUYỄN QUANG NGUYÊN</v>
      </c>
      <c r="H32" s="52" t="str">
        <f>IF(ADS!J100="","",ADS!J100)</f>
        <v>Chủ sở hữu / Admin</v>
      </c>
      <c r="I32" s="52" t="str">
        <f>IF(ADS!M100="","",ADS!M100)</f>
        <v/>
      </c>
      <c r="J32" s="52" t="str">
        <f>IF(ADS!R100="","",ADS!R100)</f>
        <v/>
      </c>
      <c r="K32" s="52" t="str">
        <f t="array" ref="K32">IF(COUNTA(ADS!T100:AE100)=0,"",INDEX(ADS!T100:AE100,1,SUMPRODUCT(MAX((ADS!T100:AE100&lt;&gt;"")*(COLUMN(ADS!T100:AE100)-COLUMN(ADS!T100)+1)))))</f>
        <v/>
      </c>
      <c r="L32" s="52" t="str">
        <f>IF(AND(G32&lt;&gt;"",G32='Tổng hợp'!$C$4),MAX(L$1:L31)+1,"")</f>
        <v/>
      </c>
    </row>
    <row r="33" ht="15.75" customHeight="1">
      <c r="A33" s="52" t="str">
        <f>IF(ADS!C101="","","ADS")</f>
        <v>ADS</v>
      </c>
      <c r="B33" s="52" t="str">
        <f>IF(ADS!B101="","",ADS!B101)</f>
        <v>ADS-096</v>
      </c>
      <c r="C33" s="52" t="str">
        <f>IF(ADS!C101="","",ADS!C101)</f>
        <v>Page</v>
      </c>
      <c r="D33" s="52" t="str">
        <f>IF(ADS!D101="","",ADS!D101)</f>
        <v/>
      </c>
      <c r="E33" s="52" t="str">
        <f>IF(ADS!E101="","",ADS!E101)</f>
        <v>Page HN</v>
      </c>
      <c r="F33" s="134" t="str">
        <f>IF(ADS!F101="","",ADS!F101)</f>
        <v>https://www.facebook.com/profile.php?id=61589186616873&amp;locale=vi_VN</v>
      </c>
      <c r="G33" s="52" t="str">
        <f>IF(ADS!G101="","",ADS!G101)</f>
        <v>NGUYỄN QUANG NGUYÊN</v>
      </c>
      <c r="H33" s="52" t="str">
        <f>IF(ADS!J101="","",ADS!J101)</f>
        <v>Chủ sở hữu / Admin</v>
      </c>
      <c r="I33" s="52" t="str">
        <f>IF(ADS!M101="","",ADS!M101)</f>
        <v/>
      </c>
      <c r="J33" s="52" t="str">
        <f>IF(ADS!R101="","",ADS!R101)</f>
        <v/>
      </c>
      <c r="K33" s="52" t="str">
        <f t="array" ref="K33">IF(COUNTA(ADS!T101:AE101)=0,"",INDEX(ADS!T101:AE101,1,SUMPRODUCT(MAX((ADS!T101:AE101&lt;&gt;"")*(COLUMN(ADS!T101:AE101)-COLUMN(ADS!T101)+1)))))</f>
        <v/>
      </c>
      <c r="L33" s="52" t="str">
        <f>IF(AND(G33&lt;&gt;"",G33='Tổng hợp'!$C$4),MAX(L$1:L32)+1,"")</f>
        <v/>
      </c>
    </row>
    <row r="34" ht="15.75" customHeight="1">
      <c r="A34" s="52" t="str">
        <f>IF(ADS!C102="","","ADS")</f>
        <v>ADS</v>
      </c>
      <c r="B34" s="52" t="str">
        <f>IF(ADS!B102="","",ADS!B102)</f>
        <v>ADS-097</v>
      </c>
      <c r="C34" s="52" t="str">
        <f>IF(ADS!C102="","",ADS!C102)</f>
        <v>Page</v>
      </c>
      <c r="D34" s="52" t="str">
        <f>IF(ADS!D102="","",ADS!D102)</f>
        <v/>
      </c>
      <c r="E34" s="52" t="str">
        <f>IF(ADS!E102="","",ADS!E102)</f>
        <v>Page HN</v>
      </c>
      <c r="F34" s="134" t="str">
        <f>IF(ADS!F102="","",ADS!F102)</f>
        <v>https://www.facebook.com/profile.php?id=61594800494484</v>
      </c>
      <c r="G34" s="52" t="str">
        <f>IF(ADS!G102="","",ADS!G102)</f>
        <v>NGUYỄN QUANG NGUYÊN</v>
      </c>
      <c r="H34" s="52" t="str">
        <f>IF(ADS!J102="","",ADS!J102)</f>
        <v>Chủ sở hữu / Admin</v>
      </c>
      <c r="I34" s="52" t="str">
        <f>IF(ADS!M102="","",ADS!M102)</f>
        <v/>
      </c>
      <c r="J34" s="52" t="str">
        <f>IF(ADS!R102="","",ADS!R102)</f>
        <v/>
      </c>
      <c r="K34" s="52" t="str">
        <f t="array" ref="K34">IF(COUNTA(ADS!T102:AE102)=0,"",INDEX(ADS!T102:AE102,1,SUMPRODUCT(MAX((ADS!T102:AE102&lt;&gt;"")*(COLUMN(ADS!T102:AE102)-COLUMN(ADS!T102)+1)))))</f>
        <v/>
      </c>
      <c r="L34" s="52" t="str">
        <f>IF(AND(G34&lt;&gt;"",G34='Tổng hợp'!$C$4),MAX(L$1:L33)+1,"")</f>
        <v/>
      </c>
    </row>
    <row r="35" ht="15.75" customHeight="1">
      <c r="A35" s="52" t="str">
        <f>IF(ADS!C103="","","ADS")</f>
        <v>ADS</v>
      </c>
      <c r="B35" s="52" t="str">
        <f>IF(ADS!B103="","",ADS!B103)</f>
        <v>ADS-098</v>
      </c>
      <c r="C35" s="52" t="str">
        <f>IF(ADS!C103="","",ADS!C103)</f>
        <v>Page</v>
      </c>
      <c r="D35" s="52" t="str">
        <f>IF(ADS!D103="","",ADS!D103)</f>
        <v/>
      </c>
      <c r="E35" s="52" t="str">
        <f>IF(ADS!E103="","",ADS!E103)</f>
        <v>Page HN</v>
      </c>
      <c r="F35" s="134" t="str">
        <f>IF(ADS!F103="","",ADS!F103)</f>
        <v>https://www.facebook.com/bacsitien.apexmed.Tantrangtieuevatoandien/</v>
      </c>
      <c r="G35" s="52" t="str">
        <f>IF(ADS!G103="","",ADS!G103)</f>
        <v>NGUYỄN QUANG NGUYÊN</v>
      </c>
      <c r="H35" s="52" t="str">
        <f>IF(ADS!J103="","",ADS!J103)</f>
        <v>Chủ sở hữu / Admin</v>
      </c>
      <c r="I35" s="52" t="str">
        <f>IF(ADS!M103="","",ADS!M103)</f>
        <v/>
      </c>
      <c r="J35" s="52" t="str">
        <f>IF(ADS!R103="","",ADS!R103)</f>
        <v/>
      </c>
      <c r="K35" s="52" t="str">
        <f t="array" ref="K35">IF(COUNTA(ADS!T103:AE103)=0,"",INDEX(ADS!T103:AE103,1,SUMPRODUCT(MAX((ADS!T103:AE103&lt;&gt;"")*(COLUMN(ADS!T103:AE103)-COLUMN(ADS!T103)+1)))))</f>
        <v/>
      </c>
      <c r="L35" s="52" t="str">
        <f>IF(AND(G35&lt;&gt;"",G35='Tổng hợp'!$C$4),MAX(L$1:L34)+1,"")</f>
        <v/>
      </c>
    </row>
    <row r="36" ht="15.75" customHeight="1">
      <c r="A36" s="52" t="str">
        <f>IF(ADS!C104="","","ADS")</f>
        <v>ADS</v>
      </c>
      <c r="B36" s="52" t="str">
        <f>IF(ADS!B104="","",ADS!B104)</f>
        <v>ADS-099</v>
      </c>
      <c r="C36" s="52" t="str">
        <f>IF(ADS!C104="","",ADS!C104)</f>
        <v>Via</v>
      </c>
      <c r="D36" s="79" t="str">
        <f>IF(ADS!D104="","",ADS!D104)</f>
        <v>100003841588182</v>
      </c>
      <c r="E36" s="52" t="str">
        <f>IF(ADS!E104="","",ADS!E104)</f>
        <v>via set ads</v>
      </c>
      <c r="F36" s="134" t="str">
        <f>IF(ADS!F104="","",ADS!F104)</f>
        <v>https://www.facebook.com/federico.valdezabadia/</v>
      </c>
      <c r="G36" s="52" t="str">
        <f>IF(ADS!G104="","",ADS!G104)</f>
        <v>NGUYỄN QUANG NGUYÊN</v>
      </c>
      <c r="H36" s="52" t="str">
        <f>IF(ADS!J104="","",ADS!J104)</f>
        <v>Chủ sở hữu / Admin</v>
      </c>
      <c r="I36" s="52" t="str">
        <f>IF(ADS!M104="","",ADS!M104)</f>
        <v>Có</v>
      </c>
      <c r="J36" s="52" t="str">
        <f>IF(ADS!R104="","",ADS!R104)</f>
        <v/>
      </c>
      <c r="K36" s="52" t="str">
        <f t="array" ref="K36">IF(COUNTA(ADS!T104:AE104)=0,"",INDEX(ADS!T104:AE104,1,SUMPRODUCT(MAX((ADS!T104:AE104&lt;&gt;"")*(COLUMN(ADS!T104:AE104)-COLUMN(ADS!T104)+1)))))</f>
        <v/>
      </c>
      <c r="L36" s="52" t="str">
        <f>IF(AND(G36&lt;&gt;"",G36='Tổng hợp'!$C$4),MAX(L$1:L35)+1,"")</f>
        <v/>
      </c>
    </row>
    <row r="37" ht="15.75" customHeight="1">
      <c r="A37" s="52" t="str">
        <f>IF(ADS!C105="","","ADS")</f>
        <v>ADS</v>
      </c>
      <c r="B37" s="52" t="str">
        <f>IF(ADS!B105="","",ADS!B105)</f>
        <v>ADS-100</v>
      </c>
      <c r="C37" s="52" t="str">
        <f>IF(ADS!C105="","",ADS!C105)</f>
        <v>TKQC</v>
      </c>
      <c r="D37" s="79" t="str">
        <f>IF(ADS!D105="","",ADS!D105)</f>
        <v>306029148150088</v>
      </c>
      <c r="E37" s="52" t="str">
        <f>IF(ADS!E105="","",ADS!E105)</f>
        <v>tài khoản quảng cáo</v>
      </c>
      <c r="F37" s="52" t="str">
        <f>IF(ADS!F105="","",ADS!F105)</f>
        <v/>
      </c>
      <c r="G37" s="52" t="str">
        <f>IF(ADS!G105="","",ADS!G105)</f>
        <v>NGUYỄN QUANG NGUYÊN</v>
      </c>
      <c r="H37" s="52" t="str">
        <f>IF(ADS!J105="","",ADS!J105)</f>
        <v>Nhà quảng cáo</v>
      </c>
      <c r="I37" s="52" t="str">
        <f>IF(ADS!M105="","",ADS!M105)</f>
        <v/>
      </c>
      <c r="J37" s="52" t="str">
        <f>IF(ADS!R105="","",ADS!R105)</f>
        <v/>
      </c>
      <c r="K37" s="52" t="str">
        <f t="array" ref="K37">IF(COUNTA(ADS!T105:AE105)=0,"",INDEX(ADS!T105:AE105,1,SUMPRODUCT(MAX((ADS!T105:AE105&lt;&gt;"")*(COLUMN(ADS!T105:AE105)-COLUMN(ADS!T105)+1)))))</f>
        <v/>
      </c>
      <c r="L37" s="52" t="str">
        <f>IF(AND(G37&lt;&gt;"",G37='Tổng hợp'!$C$4),MAX(L$1:L36)+1,"")</f>
        <v/>
      </c>
    </row>
    <row r="38" ht="15.75" customHeight="1">
      <c r="A38" s="52" t="str">
        <f>IF(ADS!C107="","","ADS")</f>
        <v>ADS</v>
      </c>
      <c r="B38" s="52" t="str">
        <f>IF(ADS!B107="","",ADS!B107)</f>
        <v>ADS-102</v>
      </c>
      <c r="C38" s="52" t="str">
        <f>IF(ADS!C107="","",ADS!C107)</f>
        <v>TKQC</v>
      </c>
      <c r="D38" s="79" t="str">
        <f>IF(ADS!D107="","",ADS!D107)</f>
        <v>9248821735192066</v>
      </c>
      <c r="E38" s="52" t="str">
        <f>IF(ADS!E107="","",ADS!E107)</f>
        <v>tài khoản quảng cáo</v>
      </c>
      <c r="F38" s="52" t="str">
        <f>IF(ADS!F107="","",ADS!F107)</f>
        <v/>
      </c>
      <c r="G38" s="52" t="str">
        <f>IF(ADS!G107="","",ADS!G107)</f>
        <v>NGUYỄN QUANG NGUYÊN</v>
      </c>
      <c r="H38" s="52" t="str">
        <f>IF(ADS!J107="","",ADS!J107)</f>
        <v>Nhà quảng cáo</v>
      </c>
      <c r="I38" s="52" t="str">
        <f>IF(ADS!M107="","",ADS!M107)</f>
        <v/>
      </c>
      <c r="J38" s="52" t="str">
        <f>IF(ADS!R107="","",ADS!R107)</f>
        <v/>
      </c>
      <c r="K38" s="52" t="str">
        <f t="array" ref="K38">IF(COUNTA(ADS!T107:AE107)=0,"",INDEX(ADS!T107:AE107,1,SUMPRODUCT(MAX((ADS!T107:AE107&lt;&gt;"")*(COLUMN(ADS!T107:AE107)-COLUMN(ADS!T107)+1)))))</f>
        <v/>
      </c>
      <c r="L38" s="52" t="str">
        <f>IF(AND(G38&lt;&gt;"",G38='Tổng hợp'!$C$4),MAX(L$1:L37)+1,"")</f>
        <v/>
      </c>
    </row>
    <row r="39" ht="15.75" customHeight="1">
      <c r="A39" s="52" t="str">
        <f>IF(ADS!C134="","","ADS")</f>
        <v>ADS</v>
      </c>
      <c r="B39" s="52" t="str">
        <f>IF(ADS!B134="","",ADS!B134)</f>
        <v>ADS-129</v>
      </c>
      <c r="C39" s="52" t="str">
        <f>IF(ADS!C134="","",ADS!C134)</f>
        <v>TKQC</v>
      </c>
      <c r="D39" s="135" t="str">
        <f>IF(ADS!D134="","",ADS!D134)</f>
        <v>987413660488639</v>
      </c>
      <c r="E39" s="52" t="str">
        <f>IF(ADS!E134="","",ADS!E134)</f>
        <v>TKQC</v>
      </c>
      <c r="F39" s="52" t="str">
        <f>IF(ADS!F134="","",ADS!F134)</f>
        <v/>
      </c>
      <c r="G39" s="52" t="str">
        <f>IF(ADS!G134="","",ADS!G134)</f>
        <v>VƯƠNG ANH ĐỨC</v>
      </c>
      <c r="H39" s="52" t="str">
        <f>IF(ADS!J134="","",ADS!J134)</f>
        <v>Nhà quảng cáo</v>
      </c>
      <c r="I39" s="52" t="str">
        <f>IF(ADS!M134="","",ADS!M134)</f>
        <v/>
      </c>
      <c r="J39" s="52" t="str">
        <f>IF(ADS!R134="","",ADS!R134)</f>
        <v>Đã bàn giao</v>
      </c>
      <c r="K39" s="52" t="str">
        <f t="array" ref="K39">IF(COUNTA(ADS!T134:AE134)=0,"",INDEX(ADS!T134:AE134,1,SUMPRODUCT(MAX((ADS!T134:AE134&lt;&gt;"")*(COLUMN(ADS!T134:AE134)-COLUMN(ADS!T134)+1)))))</f>
        <v/>
      </c>
      <c r="L39" s="52" t="str">
        <f>IF(AND(G39&lt;&gt;"",G39='Tổng hợp'!$C$4),MAX(L$1:L38)+1,"")</f>
        <v/>
      </c>
    </row>
    <row r="40" ht="15.75" customHeight="1">
      <c r="A40" s="52" t="str">
        <f>IF(ADS!C135="","","ADS")</f>
        <v>ADS</v>
      </c>
      <c r="B40" s="52" t="str">
        <f>IF(ADS!B135="","",ADS!B135)</f>
        <v>ADS-130</v>
      </c>
      <c r="C40" s="52" t="str">
        <f>IF(ADS!C135="","",ADS!C135)</f>
        <v>TKQC</v>
      </c>
      <c r="D40" s="135" t="str">
        <f>IF(ADS!D135="","",ADS!D135)</f>
        <v>1984972729077134</v>
      </c>
      <c r="E40" s="52" t="str">
        <f>IF(ADS!E135="","",ADS!E135)</f>
        <v>TKQC</v>
      </c>
      <c r="F40" s="52" t="str">
        <f>IF(ADS!F135="","",ADS!F135)</f>
        <v/>
      </c>
      <c r="G40" s="52" t="str">
        <f>IF(ADS!G135="","",ADS!G135)</f>
        <v>VƯƠNG ANH ĐỨC</v>
      </c>
      <c r="H40" s="52" t="str">
        <f>IF(ADS!J135="","",ADS!J135)</f>
        <v>Nhà quảng cáo</v>
      </c>
      <c r="I40" s="52" t="str">
        <f>IF(ADS!M135="","",ADS!M135)</f>
        <v/>
      </c>
      <c r="J40" s="52" t="str">
        <f>IF(ADS!R135="","",ADS!R135)</f>
        <v>Đã bàn giao</v>
      </c>
      <c r="K40" s="52" t="str">
        <f t="array" ref="K40">IF(COUNTA(ADS!T135:AE135)=0,"",INDEX(ADS!T135:AE135,1,SUMPRODUCT(MAX((ADS!T135:AE135&lt;&gt;"")*(COLUMN(ADS!T135:AE135)-COLUMN(ADS!T135)+1)))))</f>
        <v/>
      </c>
      <c r="L40" s="52" t="str">
        <f>IF(AND(G40&lt;&gt;"",G40='Tổng hợp'!$C$4),MAX(L$1:L39)+1,"")</f>
        <v/>
      </c>
    </row>
    <row r="41" ht="15.75" customHeight="1">
      <c r="A41" s="52" t="str">
        <f>IF(ADS!C136="","","ADS")</f>
        <v>ADS</v>
      </c>
      <c r="B41" s="52" t="str">
        <f>IF(ADS!B136="","",ADS!B136)</f>
        <v>ADS-131</v>
      </c>
      <c r="C41" s="52" t="str">
        <f>IF(ADS!C136="","",ADS!C136)</f>
        <v>TKQC</v>
      </c>
      <c r="D41" s="135" t="str">
        <f>IF(ADS!D136="","",ADS!D136)</f>
        <v>1495921985598132</v>
      </c>
      <c r="E41" s="52" t="str">
        <f>IF(ADS!E136="","",ADS!E136)</f>
        <v>TKQC</v>
      </c>
      <c r="F41" s="52" t="str">
        <f>IF(ADS!F136="","",ADS!F136)</f>
        <v/>
      </c>
      <c r="G41" s="52" t="str">
        <f>IF(ADS!G136="","",ADS!G136)</f>
        <v>VƯƠNG ANH ĐỨC</v>
      </c>
      <c r="H41" s="52" t="str">
        <f>IF(ADS!J136="","",ADS!J136)</f>
        <v>Nhà quảng cáo</v>
      </c>
      <c r="I41" s="52" t="str">
        <f>IF(ADS!M136="","",ADS!M136)</f>
        <v/>
      </c>
      <c r="J41" s="52" t="str">
        <f>IF(ADS!R136="","",ADS!R136)</f>
        <v>Đã bàn giao</v>
      </c>
      <c r="K41" s="52" t="str">
        <f t="array" ref="K41">IF(COUNTA(ADS!T136:AE136)=0,"",INDEX(ADS!T136:AE136,1,SUMPRODUCT(MAX((ADS!T136:AE136&lt;&gt;"")*(COLUMN(ADS!T136:AE136)-COLUMN(ADS!T136)+1)))))</f>
        <v/>
      </c>
      <c r="L41" s="52" t="str">
        <f>IF(AND(G41&lt;&gt;"",G41='Tổng hợp'!$C$4),MAX(L$1:L40)+1,"")</f>
        <v/>
      </c>
    </row>
    <row r="42" ht="15.75" customHeight="1">
      <c r="A42" s="52" t="str">
        <f>IF(ADS!C137="","","ADS")</f>
        <v>ADS</v>
      </c>
      <c r="B42" s="52" t="str">
        <f>IF(ADS!B137="","",ADS!B137)</f>
        <v>ADS-132</v>
      </c>
      <c r="C42" s="52" t="str">
        <f>IF(ADS!C137="","",ADS!C137)</f>
        <v>TKQC</v>
      </c>
      <c r="D42" s="135" t="str">
        <f>IF(ADS!D137="","",ADS!D137)</f>
        <v>4449588958664026</v>
      </c>
      <c r="E42" s="52" t="str">
        <f>IF(ADS!E137="","",ADS!E137)</f>
        <v>TKQC</v>
      </c>
      <c r="F42" s="52" t="str">
        <f>IF(ADS!F137="","",ADS!F137)</f>
        <v/>
      </c>
      <c r="G42" s="52" t="str">
        <f>IF(ADS!G137="","",ADS!G137)</f>
        <v>VƯƠNG ANH ĐỨC</v>
      </c>
      <c r="H42" s="52" t="str">
        <f>IF(ADS!J137="","",ADS!J137)</f>
        <v>Nhà quảng cáo</v>
      </c>
      <c r="I42" s="52" t="str">
        <f>IF(ADS!M137="","",ADS!M137)</f>
        <v/>
      </c>
      <c r="J42" s="52" t="str">
        <f>IF(ADS!R137="","",ADS!R137)</f>
        <v>Đã bàn giao</v>
      </c>
      <c r="K42" s="52" t="str">
        <f t="array" ref="K42">IF(COUNTA(ADS!T137:AE137)=0,"",INDEX(ADS!T137:AE137,1,SUMPRODUCT(MAX((ADS!T137:AE137&lt;&gt;"")*(COLUMN(ADS!T137:AE137)-COLUMN(ADS!T137)+1)))))</f>
        <v/>
      </c>
      <c r="L42" s="52" t="str">
        <f>IF(AND(G42&lt;&gt;"",G42='Tổng hợp'!$C$4),MAX(L$1:L41)+1,"")</f>
        <v/>
      </c>
    </row>
    <row r="43" ht="15.75" customHeight="1">
      <c r="A43" s="52" t="str">
        <f>IF(ADS!C138="","","ADS")</f>
        <v>ADS</v>
      </c>
      <c r="B43" s="52" t="str">
        <f>IF(ADS!B138="","",ADS!B138)</f>
        <v>ADS-133</v>
      </c>
      <c r="C43" s="52" t="str">
        <f>IF(ADS!C138="","",ADS!C138)</f>
        <v>TKQC</v>
      </c>
      <c r="D43" s="135" t="str">
        <f>IF(ADS!D138="","",ADS!D138)</f>
        <v>2156723278448283</v>
      </c>
      <c r="E43" s="52" t="str">
        <f>IF(ADS!E138="","",ADS!E138)</f>
        <v>TKQC</v>
      </c>
      <c r="F43" s="52" t="str">
        <f>IF(ADS!F138="","",ADS!F138)</f>
        <v/>
      </c>
      <c r="G43" s="52" t="str">
        <f>IF(ADS!G138="","",ADS!G138)</f>
        <v>VƯƠNG ANH ĐỨC</v>
      </c>
      <c r="H43" s="52" t="str">
        <f>IF(ADS!J138="","",ADS!J138)</f>
        <v>Nhà quảng cáo</v>
      </c>
      <c r="I43" s="52" t="str">
        <f>IF(ADS!M138="","",ADS!M138)</f>
        <v/>
      </c>
      <c r="J43" s="52" t="str">
        <f>IF(ADS!R138="","",ADS!R138)</f>
        <v>Đã bàn giao</v>
      </c>
      <c r="K43" s="52" t="str">
        <f t="array" ref="K43">IF(COUNTA(ADS!T138:AE138)=0,"",INDEX(ADS!T138:AE138,1,SUMPRODUCT(MAX((ADS!T138:AE138&lt;&gt;"")*(COLUMN(ADS!T138:AE138)-COLUMN(ADS!T138)+1)))))</f>
        <v/>
      </c>
      <c r="L43" s="52" t="str">
        <f>IF(AND(G43&lt;&gt;"",G43='Tổng hợp'!$C$4),MAX(L$1:L42)+1,"")</f>
        <v/>
      </c>
    </row>
    <row r="44" ht="15.75" customHeight="1">
      <c r="A44" s="52" t="str">
        <f>IF(ADS!C139="","","ADS")</f>
        <v>ADS</v>
      </c>
      <c r="B44" s="52" t="str">
        <f>IF(ADS!B139="","",ADS!B139)</f>
        <v>ADS-134</v>
      </c>
      <c r="C44" s="52" t="str">
        <f>IF(ADS!C139="","",ADS!C139)</f>
        <v>TKQC</v>
      </c>
      <c r="D44" s="135" t="str">
        <f>IF(ADS!D139="","",ADS!D139)</f>
        <v>715901224938045</v>
      </c>
      <c r="E44" s="52" t="str">
        <f>IF(ADS!E139="","",ADS!E139)</f>
        <v>TKQC</v>
      </c>
      <c r="F44" s="52" t="str">
        <f>IF(ADS!F139="","",ADS!F139)</f>
        <v/>
      </c>
      <c r="G44" s="52" t="str">
        <f>IF(ADS!G139="","",ADS!G139)</f>
        <v>VƯƠNG ANH ĐỨC</v>
      </c>
      <c r="H44" s="52" t="str">
        <f>IF(ADS!J139="","",ADS!J139)</f>
        <v>Nhà quảng cáo</v>
      </c>
      <c r="I44" s="52" t="str">
        <f>IF(ADS!M139="","",ADS!M139)</f>
        <v/>
      </c>
      <c r="J44" s="52" t="str">
        <f>IF(ADS!R139="","",ADS!R139)</f>
        <v>Đã bàn giao</v>
      </c>
      <c r="K44" s="52" t="str">
        <f t="array" ref="K44">IF(COUNTA(ADS!T139:AE139)=0,"",INDEX(ADS!T139:AE139,1,SUMPRODUCT(MAX((ADS!T139:AE139&lt;&gt;"")*(COLUMN(ADS!T139:AE139)-COLUMN(ADS!T139)+1)))))</f>
        <v/>
      </c>
      <c r="L44" s="52" t="str">
        <f>IF(AND(G44&lt;&gt;"",G44='Tổng hợp'!$C$4),MAX(L$1:L43)+1,"")</f>
        <v/>
      </c>
    </row>
    <row r="45" ht="15.75" customHeight="1">
      <c r="A45" s="52" t="str">
        <f>IF(ADS!C140="","","ADS")</f>
        <v>ADS</v>
      </c>
      <c r="B45" s="52" t="str">
        <f>IF(ADS!B140="","",ADS!B140)</f>
        <v>ADS-135</v>
      </c>
      <c r="C45" s="52" t="str">
        <f>IF(ADS!C140="","",ADS!C140)</f>
        <v>TKQC</v>
      </c>
      <c r="D45" s="135" t="str">
        <f>IF(ADS!D140="","",ADS!D140)</f>
        <v>976703574818930</v>
      </c>
      <c r="E45" s="52" t="str">
        <f>IF(ADS!E140="","",ADS!E140)</f>
        <v>TKQC</v>
      </c>
      <c r="F45" s="52" t="str">
        <f>IF(ADS!F140="","",ADS!F140)</f>
        <v/>
      </c>
      <c r="G45" s="52" t="str">
        <f>IF(ADS!G140="","",ADS!G140)</f>
        <v>VƯƠNG ANH ĐỨC</v>
      </c>
      <c r="H45" s="52" t="str">
        <f>IF(ADS!J140="","",ADS!J140)</f>
        <v>Nhà quảng cáo</v>
      </c>
      <c r="I45" s="52" t="str">
        <f>IF(ADS!M140="","",ADS!M140)</f>
        <v/>
      </c>
      <c r="J45" s="52" t="str">
        <f>IF(ADS!R140="","",ADS!R140)</f>
        <v>Đã bàn giao</v>
      </c>
      <c r="K45" s="52" t="str">
        <f t="array" ref="K45">IF(COUNTA(ADS!T140:AE140)=0,"",INDEX(ADS!T140:AE140,1,SUMPRODUCT(MAX((ADS!T140:AE140&lt;&gt;"")*(COLUMN(ADS!T140:AE140)-COLUMN(ADS!T140)+1)))))</f>
        <v/>
      </c>
      <c r="L45" s="52" t="str">
        <f>IF(AND(G45&lt;&gt;"",G45='Tổng hợp'!$C$4),MAX(L$1:L44)+1,"")</f>
        <v/>
      </c>
    </row>
    <row r="46" ht="15.75" customHeight="1">
      <c r="A46" s="52" t="str">
        <f>IF(ADS!C141="","","ADS")</f>
        <v>ADS</v>
      </c>
      <c r="B46" s="52" t="str">
        <f>IF(ADS!B141="","",ADS!B141)</f>
        <v>ADS-136</v>
      </c>
      <c r="C46" s="52" t="str">
        <f>IF(ADS!C141="","",ADS!C141)</f>
        <v>TKQC</v>
      </c>
      <c r="D46" s="135" t="str">
        <f>IF(ADS!D141="","",ADS!D141)</f>
        <v>1331330779051258</v>
      </c>
      <c r="E46" s="52" t="str">
        <f>IF(ADS!E141="","",ADS!E141)</f>
        <v>TKQC</v>
      </c>
      <c r="F46" s="52" t="str">
        <f>IF(ADS!F141="","",ADS!F141)</f>
        <v/>
      </c>
      <c r="G46" s="52" t="str">
        <f>IF(ADS!G141="","",ADS!G141)</f>
        <v>VƯƠNG ANH ĐỨC</v>
      </c>
      <c r="H46" s="52" t="str">
        <f>IF(ADS!J141="","",ADS!J141)</f>
        <v>Nhà quảng cáo</v>
      </c>
      <c r="I46" s="52" t="str">
        <f>IF(ADS!M141="","",ADS!M141)</f>
        <v/>
      </c>
      <c r="J46" s="52" t="str">
        <f>IF(ADS!R141="","",ADS!R141)</f>
        <v>Đã bàn giao</v>
      </c>
      <c r="K46" s="52" t="str">
        <f t="array" ref="K46">IF(COUNTA(ADS!T141:AE141)=0,"",INDEX(ADS!T141:AE141,1,SUMPRODUCT(MAX((ADS!T141:AE141&lt;&gt;"")*(COLUMN(ADS!T141:AE141)-COLUMN(ADS!T141)+1)))))</f>
        <v/>
      </c>
      <c r="L46" s="52" t="str">
        <f>IF(AND(G46&lt;&gt;"",G46='Tổng hợp'!$C$4),MAX(L$1:L45)+1,"")</f>
        <v/>
      </c>
    </row>
    <row r="47" ht="15.75" customHeight="1">
      <c r="A47" s="52" t="str">
        <f>IF(ADS!C142="","","ADS")</f>
        <v>ADS</v>
      </c>
      <c r="B47" s="52" t="str">
        <f>IF(ADS!B142="","",ADS!B142)</f>
        <v>ADS-137</v>
      </c>
      <c r="C47" s="52" t="str">
        <f>IF(ADS!C142="","",ADS!C142)</f>
        <v>TKQC</v>
      </c>
      <c r="D47" s="135" t="str">
        <f>IF(ADS!D142="","",ADS!D142)</f>
        <v>951236487511331</v>
      </c>
      <c r="E47" s="52" t="str">
        <f>IF(ADS!E142="","",ADS!E142)</f>
        <v>TKQC</v>
      </c>
      <c r="F47" s="52" t="str">
        <f>IF(ADS!F142="","",ADS!F142)</f>
        <v/>
      </c>
      <c r="G47" s="52" t="str">
        <f>IF(ADS!G142="","",ADS!G142)</f>
        <v>VƯƠNG ANH ĐỨC</v>
      </c>
      <c r="H47" s="52" t="str">
        <f>IF(ADS!J142="","",ADS!J142)</f>
        <v>Nhà quảng cáo</v>
      </c>
      <c r="I47" s="52" t="str">
        <f>IF(ADS!M142="","",ADS!M142)</f>
        <v/>
      </c>
      <c r="J47" s="52" t="str">
        <f>IF(ADS!R142="","",ADS!R142)</f>
        <v>Đã bàn giao</v>
      </c>
      <c r="K47" s="52" t="str">
        <f t="array" ref="K47">IF(COUNTA(ADS!T142:AE142)=0,"",INDEX(ADS!T142:AE142,1,SUMPRODUCT(MAX((ADS!T142:AE142&lt;&gt;"")*(COLUMN(ADS!T142:AE142)-COLUMN(ADS!T142)+1)))))</f>
        <v/>
      </c>
      <c r="L47" s="52" t="str">
        <f>IF(AND(G47&lt;&gt;"",G47='Tổng hợp'!$C$4),MAX(L$1:L46)+1,"")</f>
        <v/>
      </c>
    </row>
    <row r="48" ht="15.75" customHeight="1">
      <c r="A48" s="52" t="str">
        <f>IF(ADS!C143="","","ADS")</f>
        <v>ADS</v>
      </c>
      <c r="B48" s="52" t="str">
        <f>IF(ADS!B143="","",ADS!B143)</f>
        <v>ADS-138</v>
      </c>
      <c r="C48" s="52" t="str">
        <f>IF(ADS!C143="","",ADS!C143)</f>
        <v>TKQC</v>
      </c>
      <c r="D48" s="135" t="str">
        <f>IF(ADS!D143="","",ADS!D143)</f>
        <v>765562334327117</v>
      </c>
      <c r="E48" s="52" t="str">
        <f>IF(ADS!E143="","",ADS!E143)</f>
        <v>TKQC</v>
      </c>
      <c r="F48" s="52" t="str">
        <f>IF(ADS!F143="","",ADS!F143)</f>
        <v/>
      </c>
      <c r="G48" s="52" t="str">
        <f>IF(ADS!G143="","",ADS!G143)</f>
        <v>VƯƠNG ANH ĐỨC</v>
      </c>
      <c r="H48" s="52" t="str">
        <f>IF(ADS!J143="","",ADS!J143)</f>
        <v>Nhà quảng cáo</v>
      </c>
      <c r="I48" s="52" t="str">
        <f>IF(ADS!M143="","",ADS!M143)</f>
        <v/>
      </c>
      <c r="J48" s="52" t="str">
        <f>IF(ADS!R143="","",ADS!R143)</f>
        <v>Đã bàn giao</v>
      </c>
      <c r="K48" s="52" t="str">
        <f t="array" ref="K48">IF(COUNTA(ADS!T143:AE143)=0,"",INDEX(ADS!T143:AE143,1,SUMPRODUCT(MAX((ADS!T143:AE143&lt;&gt;"")*(COLUMN(ADS!T143:AE143)-COLUMN(ADS!T143)+1)))))</f>
        <v/>
      </c>
      <c r="L48" s="52" t="str">
        <f>IF(AND(G48&lt;&gt;"",G48='Tổng hợp'!$C$4),MAX(L$1:L47)+1,"")</f>
        <v/>
      </c>
    </row>
    <row r="49" ht="15.75" customHeight="1">
      <c r="A49" s="52" t="str">
        <f>IF(ADS!C144="","","ADS")</f>
        <v>ADS</v>
      </c>
      <c r="B49" s="52" t="str">
        <f>IF(ADS!B144="","",ADS!B144)</f>
        <v>ADS-139</v>
      </c>
      <c r="C49" s="52" t="str">
        <f>IF(ADS!C144="","",ADS!C144)</f>
        <v>TKQC</v>
      </c>
      <c r="D49" s="135" t="str">
        <f>IF(ADS!D144="","",ADS!D144)</f>
        <v>1013377462576693</v>
      </c>
      <c r="E49" s="52" t="str">
        <f>IF(ADS!E144="","",ADS!E144)</f>
        <v>TKQC</v>
      </c>
      <c r="F49" s="52" t="str">
        <f>IF(ADS!F144="","",ADS!F144)</f>
        <v/>
      </c>
      <c r="G49" s="52" t="str">
        <f>IF(ADS!G144="","",ADS!G144)</f>
        <v>VƯƠNG ANH ĐỨC</v>
      </c>
      <c r="H49" s="52" t="str">
        <f>IF(ADS!J144="","",ADS!J144)</f>
        <v>Nhà quảng cáo</v>
      </c>
      <c r="I49" s="52" t="str">
        <f>IF(ADS!M144="","",ADS!M144)</f>
        <v/>
      </c>
      <c r="J49" s="52" t="str">
        <f>IF(ADS!R144="","",ADS!R144)</f>
        <v>Đã bàn giao</v>
      </c>
      <c r="K49" s="52" t="str">
        <f t="array" ref="K49">IF(COUNTA(ADS!T144:AE144)=0,"",INDEX(ADS!T144:AE144,1,SUMPRODUCT(MAX((ADS!T144:AE144&lt;&gt;"")*(COLUMN(ADS!T144:AE144)-COLUMN(ADS!T144)+1)))))</f>
        <v/>
      </c>
      <c r="L49" s="52" t="str">
        <f>IF(AND(G49&lt;&gt;"",G49='Tổng hợp'!$C$4),MAX(L$1:L48)+1,"")</f>
        <v/>
      </c>
    </row>
    <row r="50" ht="15.75" customHeight="1">
      <c r="A50" s="52" t="str">
        <f>IF(ADS!C145="","","ADS")</f>
        <v>ADS</v>
      </c>
      <c r="B50" s="52" t="str">
        <f>IF(ADS!B145="","",ADS!B145)</f>
        <v>ADS-140</v>
      </c>
      <c r="C50" s="52" t="str">
        <f>IF(ADS!C145="","",ADS!C145)</f>
        <v>TKQC</v>
      </c>
      <c r="D50" s="135" t="str">
        <f>IF(ADS!D145="","",ADS!D145)</f>
        <v>264827642275664</v>
      </c>
      <c r="E50" s="52" t="str">
        <f>IF(ADS!E145="","",ADS!E145)</f>
        <v>TKQC</v>
      </c>
      <c r="F50" s="52" t="str">
        <f>IF(ADS!F145="","",ADS!F145)</f>
        <v/>
      </c>
      <c r="G50" s="52" t="str">
        <f>IF(ADS!G145="","",ADS!G145)</f>
        <v>VƯƠNG ANH ĐỨC</v>
      </c>
      <c r="H50" s="52" t="str">
        <f>IF(ADS!J145="","",ADS!J145)</f>
        <v>Nhà quảng cáo</v>
      </c>
      <c r="I50" s="52" t="str">
        <f>IF(ADS!M145="","",ADS!M145)</f>
        <v/>
      </c>
      <c r="J50" s="52" t="str">
        <f>IF(ADS!R145="","",ADS!R145)</f>
        <v>Đã bàn giao</v>
      </c>
      <c r="K50" s="52" t="str">
        <f t="array" ref="K50">IF(COUNTA(ADS!T145:AE145)=0,"",INDEX(ADS!T145:AE145,1,SUMPRODUCT(MAX((ADS!T145:AE145&lt;&gt;"")*(COLUMN(ADS!T145:AE145)-COLUMN(ADS!T145)+1)))))</f>
        <v/>
      </c>
      <c r="L50" s="52" t="str">
        <f>IF(AND(G50&lt;&gt;"",G50='Tổng hợp'!$C$4),MAX(L$1:L49)+1,"")</f>
        <v/>
      </c>
    </row>
    <row r="51" ht="15.75" customHeight="1">
      <c r="A51" s="52" t="str">
        <f>IF(ADS!C146="","","ADS")</f>
        <v>ADS</v>
      </c>
      <c r="B51" s="52" t="str">
        <f>IF(ADS!B146="","",ADS!B146)</f>
        <v>ADS-141</v>
      </c>
      <c r="C51" s="52" t="str">
        <f>IF(ADS!C146="","",ADS!C146)</f>
        <v>TKQC</v>
      </c>
      <c r="D51" s="135" t="str">
        <f>IF(ADS!D146="","",ADS!D146)</f>
        <v>667954984336454</v>
      </c>
      <c r="E51" s="52" t="str">
        <f>IF(ADS!E146="","",ADS!E146)</f>
        <v>TKQC</v>
      </c>
      <c r="F51" s="52" t="str">
        <f>IF(ADS!F146="","",ADS!F146)</f>
        <v/>
      </c>
      <c r="G51" s="52" t="str">
        <f>IF(ADS!G146="","",ADS!G146)</f>
        <v>VƯƠNG ANH ĐỨC</v>
      </c>
      <c r="H51" s="52" t="str">
        <f>IF(ADS!J146="","",ADS!J146)</f>
        <v>Nhà quảng cáo</v>
      </c>
      <c r="I51" s="52" t="str">
        <f>IF(ADS!M146="","",ADS!M146)</f>
        <v/>
      </c>
      <c r="J51" s="52" t="str">
        <f>IF(ADS!R146="","",ADS!R146)</f>
        <v>Đã bàn giao</v>
      </c>
      <c r="K51" s="52" t="str">
        <f t="array" ref="K51">IF(COUNTA(ADS!T146:AE146)=0,"",INDEX(ADS!T146:AE146,1,SUMPRODUCT(MAX((ADS!T146:AE146&lt;&gt;"")*(COLUMN(ADS!T146:AE146)-COLUMN(ADS!T146)+1)))))</f>
        <v/>
      </c>
      <c r="L51" s="52" t="str">
        <f>IF(AND(G51&lt;&gt;"",G51='Tổng hợp'!$C$4),MAX(L$1:L50)+1,"")</f>
        <v/>
      </c>
    </row>
    <row r="52" ht="15.75" customHeight="1">
      <c r="A52" s="52" t="str">
        <f>IF(ADS!C147="","","ADS")</f>
        <v>ADS</v>
      </c>
      <c r="B52" s="52" t="str">
        <f>IF(ADS!B147="","",ADS!B147)</f>
        <v>ADS-142</v>
      </c>
      <c r="C52" s="52" t="str">
        <f>IF(ADS!C147="","",ADS!C147)</f>
        <v>TKQC</v>
      </c>
      <c r="D52" s="135" t="str">
        <f>IF(ADS!D147="","",ADS!D147)</f>
        <v>1896075683909053</v>
      </c>
      <c r="E52" s="52" t="str">
        <f>IF(ADS!E147="","",ADS!E147)</f>
        <v/>
      </c>
      <c r="F52" s="52" t="str">
        <f>IF(ADS!F147="","",ADS!F147)</f>
        <v/>
      </c>
      <c r="G52" s="52" t="str">
        <f>IF(ADS!G147="","",ADS!G147)</f>
        <v>VƯƠNG ANH ĐỨC</v>
      </c>
      <c r="H52" s="52" t="str">
        <f>IF(ADS!J147="","",ADS!J147)</f>
        <v>Nhà quảng cáo</v>
      </c>
      <c r="I52" s="52" t="str">
        <f>IF(ADS!M147="","",ADS!M147)</f>
        <v/>
      </c>
      <c r="J52" s="52" t="str">
        <f>IF(ADS!R147="","",ADS!R147)</f>
        <v>Đã bàn giao</v>
      </c>
      <c r="K52" s="52" t="str">
        <f t="array" ref="K52">IF(COUNTA(ADS!T147:AE147)=0,"",INDEX(ADS!T147:AE147,1,SUMPRODUCT(MAX((ADS!T147:AE147&lt;&gt;"")*(COLUMN(ADS!T147:AE147)-COLUMN(ADS!T147)+1)))))</f>
        <v/>
      </c>
      <c r="L52" s="52" t="str">
        <f>IF(AND(G52&lt;&gt;"",G52='Tổng hợp'!$C$4),MAX(L$1:L51)+1,"")</f>
        <v/>
      </c>
    </row>
    <row r="53" ht="15.75" customHeight="1">
      <c r="A53" s="52" t="str">
        <f>IF(ADS!C148="","","ADS")</f>
        <v>ADS</v>
      </c>
      <c r="B53" s="52" t="str">
        <f>IF(ADS!B148="","",ADS!B148)</f>
        <v>ADS-143</v>
      </c>
      <c r="C53" s="52" t="str">
        <f>IF(ADS!C148="","",ADS!C148)</f>
        <v>TKQC</v>
      </c>
      <c r="D53" s="79" t="str">
        <f>IF(ADS!D148="","",ADS!D148)</f>
        <v>1771231467617312</v>
      </c>
      <c r="E53" s="52" t="str">
        <f>IF(ADS!E148="","",ADS!E148)</f>
        <v>TKQC</v>
      </c>
      <c r="F53" s="52" t="str">
        <f>IF(ADS!F148="","",ADS!F148)</f>
        <v/>
      </c>
      <c r="G53" s="52" t="str">
        <f>IF(ADS!G148="","",ADS!G148)</f>
        <v>BÙI ĐÌNH ĐỨC</v>
      </c>
      <c r="H53" s="52" t="str">
        <f>IF(ADS!J148="","",ADS!J148)</f>
        <v>Nhà quảng cáo</v>
      </c>
      <c r="I53" s="52" t="str">
        <f>IF(ADS!M148="","",ADS!M148)</f>
        <v/>
      </c>
      <c r="J53" s="52" t="str">
        <f>IF(ADS!R148="","",ADS!R148)</f>
        <v>Đã bàn giao</v>
      </c>
      <c r="K53" s="52" t="str">
        <f t="array" ref="K53">IF(COUNTA(ADS!T148:AE148)=0,"",INDEX(ADS!T148:AE148,1,SUMPRODUCT(MAX((ADS!T148:AE148&lt;&gt;"")*(COLUMN(ADS!T148:AE148)-COLUMN(ADS!T148)+1)))))</f>
        <v/>
      </c>
      <c r="L53" s="52" t="str">
        <f>IF(AND(G53&lt;&gt;"",G53='Tổng hợp'!$C$4),MAX(L$1:L52)+1,"")</f>
        <v/>
      </c>
    </row>
    <row r="54" ht="15.75" customHeight="1">
      <c r="A54" s="52" t="str">
        <f>IF(ADS!C149="","","ADS")</f>
        <v>ADS</v>
      </c>
      <c r="B54" s="52" t="str">
        <f>IF(ADS!B149="","",ADS!B149)</f>
        <v>ADS-144</v>
      </c>
      <c r="C54" s="52" t="str">
        <f>IF(ADS!C149="","",ADS!C149)</f>
        <v>TKQC</v>
      </c>
      <c r="D54" s="79" t="str">
        <f>IF(ADS!D149="","",ADS!D149)</f>
        <v>2396481360778887</v>
      </c>
      <c r="E54" s="52" t="str">
        <f>IF(ADS!E149="","",ADS!E149)</f>
        <v>TKQC</v>
      </c>
      <c r="F54" s="52" t="str">
        <f>IF(ADS!F149="","",ADS!F149)</f>
        <v/>
      </c>
      <c r="G54" s="52" t="str">
        <f>IF(ADS!G149="","",ADS!G149)</f>
        <v>BÙI ĐÌNH ĐỨC</v>
      </c>
      <c r="H54" s="52" t="str">
        <f>IF(ADS!J149="","",ADS!J149)</f>
        <v>Nhà quảng cáo</v>
      </c>
      <c r="I54" s="52" t="str">
        <f>IF(ADS!M149="","",ADS!M149)</f>
        <v/>
      </c>
      <c r="J54" s="52" t="str">
        <f>IF(ADS!R149="","",ADS!R149)</f>
        <v>Đã bàn giao</v>
      </c>
      <c r="K54" s="52" t="str">
        <f t="array" ref="K54">IF(COUNTA(ADS!T149:AE149)=0,"",INDEX(ADS!T149:AE149,1,SUMPRODUCT(MAX((ADS!T149:AE149&lt;&gt;"")*(COLUMN(ADS!T149:AE149)-COLUMN(ADS!T149)+1)))))</f>
        <v/>
      </c>
      <c r="L54" s="52" t="str">
        <f>IF(AND(G54&lt;&gt;"",G54='Tổng hợp'!$C$4),MAX(L$1:L53)+1,"")</f>
        <v/>
      </c>
    </row>
    <row r="55" ht="15.75" customHeight="1">
      <c r="A55" s="52" t="str">
        <f>IF(ADS!C150="","","ADS")</f>
        <v>ADS</v>
      </c>
      <c r="B55" s="52" t="str">
        <f>IF(ADS!B150="","",ADS!B150)</f>
        <v>ADS-145</v>
      </c>
      <c r="C55" s="52" t="str">
        <f>IF(ADS!C150="","",ADS!C150)</f>
        <v>TKQC</v>
      </c>
      <c r="D55" s="79" t="str">
        <f>IF(ADS!D150="","",ADS!D150)</f>
        <v>1277953457779163</v>
      </c>
      <c r="E55" s="52" t="str">
        <f>IF(ADS!E150="","",ADS!E150)</f>
        <v>TKQC</v>
      </c>
      <c r="F55" s="52" t="str">
        <f>IF(ADS!F150="","",ADS!F150)</f>
        <v/>
      </c>
      <c r="G55" s="52" t="str">
        <f>IF(ADS!G150="","",ADS!G150)</f>
        <v>BÙI ĐÌNH ĐỨC</v>
      </c>
      <c r="H55" s="52" t="str">
        <f>IF(ADS!J150="","",ADS!J150)</f>
        <v>Nhà quảng cáo</v>
      </c>
      <c r="I55" s="52" t="str">
        <f>IF(ADS!M150="","",ADS!M150)</f>
        <v/>
      </c>
      <c r="J55" s="52" t="str">
        <f>IF(ADS!R150="","",ADS!R150)</f>
        <v>Đã bàn giao</v>
      </c>
      <c r="K55" s="52" t="str">
        <f t="array" ref="K55">IF(COUNTA(ADS!T150:AE150)=0,"",INDEX(ADS!T150:AE150,1,SUMPRODUCT(MAX((ADS!T150:AE150&lt;&gt;"")*(COLUMN(ADS!T150:AE150)-COLUMN(ADS!T150)+1)))))</f>
        <v/>
      </c>
      <c r="L55" s="52" t="str">
        <f>IF(AND(G55&lt;&gt;"",G55='Tổng hợp'!$C$4),MAX(L$1:L54)+1,"")</f>
        <v/>
      </c>
    </row>
    <row r="56" ht="15.75" customHeight="1">
      <c r="A56" s="52" t="str">
        <f>IF(ADS!C151="","","ADS")</f>
        <v>ADS</v>
      </c>
      <c r="B56" s="52" t="str">
        <f>IF(ADS!B151="","",ADS!B151)</f>
        <v>ADS-146</v>
      </c>
      <c r="C56" s="52" t="str">
        <f>IF(ADS!C151="","",ADS!C151)</f>
        <v>TKQC</v>
      </c>
      <c r="D56" s="79" t="str">
        <f>IF(ADS!D151="","",ADS!D151)</f>
        <v>2383492288838182</v>
      </c>
      <c r="E56" s="52" t="str">
        <f>IF(ADS!E151="","",ADS!E151)</f>
        <v>TKQC</v>
      </c>
      <c r="F56" s="52" t="str">
        <f>IF(ADS!F151="","",ADS!F151)</f>
        <v/>
      </c>
      <c r="G56" s="52" t="str">
        <f>IF(ADS!G151="","",ADS!G151)</f>
        <v>BÙI ĐÌNH ĐỨC</v>
      </c>
      <c r="H56" s="52" t="str">
        <f>IF(ADS!J151="","",ADS!J151)</f>
        <v>Nhà quảng cáo</v>
      </c>
      <c r="I56" s="52" t="str">
        <f>IF(ADS!M151="","",ADS!M151)</f>
        <v/>
      </c>
      <c r="J56" s="52" t="str">
        <f>IF(ADS!R151="","",ADS!R151)</f>
        <v>Đã bàn giao</v>
      </c>
      <c r="K56" s="52" t="str">
        <f t="array" ref="K56">IF(COUNTA(ADS!T151:AE151)=0,"",INDEX(ADS!T151:AE151,1,SUMPRODUCT(MAX((ADS!T151:AE151&lt;&gt;"")*(COLUMN(ADS!T151:AE151)-COLUMN(ADS!T151)+1)))))</f>
        <v/>
      </c>
      <c r="L56" s="52" t="str">
        <f>IF(AND(G56&lt;&gt;"",G56='Tổng hợp'!$C$4),MAX(L$1:L55)+1,"")</f>
        <v/>
      </c>
    </row>
    <row r="57" ht="15.75" customHeight="1">
      <c r="A57" s="52" t="str">
        <f>IF(ADS!C152="","","ADS")</f>
        <v>ADS</v>
      </c>
      <c r="B57" s="52" t="str">
        <f>IF(ADS!B152="","",ADS!B152)</f>
        <v>ADS-147</v>
      </c>
      <c r="C57" s="52" t="str">
        <f>IF(ADS!C152="","",ADS!C152)</f>
        <v>TKQC</v>
      </c>
      <c r="D57" s="79" t="str">
        <f>IF(ADS!D152="","",ADS!D152)</f>
        <v>1644169636695508</v>
      </c>
      <c r="E57" s="52" t="str">
        <f>IF(ADS!E152="","",ADS!E152)</f>
        <v>TKQC</v>
      </c>
      <c r="F57" s="52" t="str">
        <f>IF(ADS!F152="","",ADS!F152)</f>
        <v/>
      </c>
      <c r="G57" s="52" t="str">
        <f>IF(ADS!G152="","",ADS!G152)</f>
        <v>BÙI ĐÌNH ĐỨC</v>
      </c>
      <c r="H57" s="52" t="str">
        <f>IF(ADS!J152="","",ADS!J152)</f>
        <v>Nhà quảng cáo</v>
      </c>
      <c r="I57" s="52" t="str">
        <f>IF(ADS!M152="","",ADS!M152)</f>
        <v/>
      </c>
      <c r="J57" s="52" t="str">
        <f>IF(ADS!R152="","",ADS!R152)</f>
        <v>Đã bàn giao</v>
      </c>
      <c r="K57" s="52" t="str">
        <f t="array" ref="K57">IF(COUNTA(ADS!T152:AE152)=0,"",INDEX(ADS!T152:AE152,1,SUMPRODUCT(MAX((ADS!T152:AE152&lt;&gt;"")*(COLUMN(ADS!T152:AE152)-COLUMN(ADS!T152)+1)))))</f>
        <v/>
      </c>
      <c r="L57" s="52" t="str">
        <f>IF(AND(G57&lt;&gt;"",G57='Tổng hợp'!$C$4),MAX(L$1:L56)+1,"")</f>
        <v/>
      </c>
    </row>
    <row r="58" ht="15.75" customHeight="1">
      <c r="A58" s="52" t="str">
        <f>IF(ADS!C153="","","ADS")</f>
        <v>ADS</v>
      </c>
      <c r="B58" s="52" t="str">
        <f>IF(ADS!B153="","",ADS!B153)</f>
        <v>ADS-148</v>
      </c>
      <c r="C58" s="52" t="str">
        <f>IF(ADS!C153="","",ADS!C153)</f>
        <v>TKQC</v>
      </c>
      <c r="D58" s="79" t="str">
        <f>IF(ADS!D153="","",ADS!D153)</f>
        <v>936216455707259</v>
      </c>
      <c r="E58" s="52" t="str">
        <f>IF(ADS!E153="","",ADS!E153)</f>
        <v>TKQC</v>
      </c>
      <c r="F58" s="52" t="str">
        <f>IF(ADS!F153="","",ADS!F153)</f>
        <v/>
      </c>
      <c r="G58" s="52" t="str">
        <f>IF(ADS!G153="","",ADS!G153)</f>
        <v>BÙI ĐÌNH ĐỨC</v>
      </c>
      <c r="H58" s="52" t="str">
        <f>IF(ADS!J153="","",ADS!J153)</f>
        <v>Nhà quảng cáo</v>
      </c>
      <c r="I58" s="52" t="str">
        <f>IF(ADS!M153="","",ADS!M153)</f>
        <v/>
      </c>
      <c r="J58" s="52" t="str">
        <f>IF(ADS!R153="","",ADS!R153)</f>
        <v>Đã bàn giao</v>
      </c>
      <c r="K58" s="52" t="str">
        <f t="array" ref="K58">IF(COUNTA(ADS!T153:AE153)=0,"",INDEX(ADS!T153:AE153,1,SUMPRODUCT(MAX((ADS!T153:AE153&lt;&gt;"")*(COLUMN(ADS!T153:AE153)-COLUMN(ADS!T153)+1)))))</f>
        <v/>
      </c>
      <c r="L58" s="52" t="str">
        <f>IF(AND(G58&lt;&gt;"",G58='Tổng hợp'!$C$4),MAX(L$1:L57)+1,"")</f>
        <v/>
      </c>
    </row>
    <row r="59" ht="15.75" customHeight="1">
      <c r="A59" s="52" t="str">
        <f>IF(ADS!C154="","","ADS")</f>
        <v>ADS</v>
      </c>
      <c r="B59" s="52" t="str">
        <f>IF(ADS!B154="","",ADS!B154)</f>
        <v>ADS-149</v>
      </c>
      <c r="C59" s="52" t="str">
        <f>IF(ADS!C154="","",ADS!C154)</f>
        <v>TKQC</v>
      </c>
      <c r="D59" s="79" t="str">
        <f>IF(ADS!D154="","",ADS!D154)</f>
        <v>842328301674483</v>
      </c>
      <c r="E59" s="52" t="str">
        <f>IF(ADS!E154="","",ADS!E154)</f>
        <v>TKQC</v>
      </c>
      <c r="F59" s="52" t="str">
        <f>IF(ADS!F154="","",ADS!F154)</f>
        <v/>
      </c>
      <c r="G59" s="52" t="str">
        <f>IF(ADS!G154="","",ADS!G154)</f>
        <v>BÙI ĐÌNH ĐỨC</v>
      </c>
      <c r="H59" s="52" t="str">
        <f>IF(ADS!J154="","",ADS!J154)</f>
        <v>Nhà quảng cáo</v>
      </c>
      <c r="I59" s="52" t="str">
        <f>IF(ADS!M154="","",ADS!M154)</f>
        <v/>
      </c>
      <c r="J59" s="52" t="str">
        <f>IF(ADS!R154="","",ADS!R154)</f>
        <v>Đã bàn giao</v>
      </c>
      <c r="K59" s="52" t="str">
        <f t="array" ref="K59">IF(COUNTA(ADS!T154:AE154)=0,"",INDEX(ADS!T154:AE154,1,SUMPRODUCT(MAX((ADS!T154:AE154&lt;&gt;"")*(COLUMN(ADS!T154:AE154)-COLUMN(ADS!T154)+1)))))</f>
        <v/>
      </c>
      <c r="L59" s="52" t="str">
        <f>IF(AND(G59&lt;&gt;"",G59='Tổng hợp'!$C$4),MAX(L$1:L58)+1,"")</f>
        <v/>
      </c>
    </row>
    <row r="60" ht="15.75" customHeight="1">
      <c r="A60" s="52" t="str">
        <f>IF(ADS!C155="","","ADS")</f>
        <v>ADS</v>
      </c>
      <c r="B60" s="52" t="str">
        <f>IF(ADS!B155="","",ADS!B155)</f>
        <v>ADS-150</v>
      </c>
      <c r="C60" s="52" t="str">
        <f>IF(ADS!C155="","",ADS!C155)</f>
        <v>TKQC</v>
      </c>
      <c r="D60" s="79" t="str">
        <f>IF(ADS!D155="","",ADS!D155)</f>
        <v>993427390295302</v>
      </c>
      <c r="E60" s="52" t="str">
        <f>IF(ADS!E155="","",ADS!E155)</f>
        <v>TKQC</v>
      </c>
      <c r="F60" s="52" t="str">
        <f>IF(ADS!F155="","",ADS!F155)</f>
        <v/>
      </c>
      <c r="G60" s="52" t="str">
        <f>IF(ADS!G155="","",ADS!G155)</f>
        <v>BÙI ĐÌNH ĐỨC</v>
      </c>
      <c r="H60" s="52" t="str">
        <f>IF(ADS!J155="","",ADS!J155)</f>
        <v>Nhà quảng cáo</v>
      </c>
      <c r="I60" s="52" t="str">
        <f>IF(ADS!M155="","",ADS!M155)</f>
        <v/>
      </c>
      <c r="J60" s="52" t="str">
        <f>IF(ADS!R155="","",ADS!R155)</f>
        <v>Đã bàn giao</v>
      </c>
      <c r="K60" s="52" t="str">
        <f t="array" ref="K60">IF(COUNTA(ADS!T155:AE155)=0,"",INDEX(ADS!T155:AE155,1,SUMPRODUCT(MAX((ADS!T155:AE155&lt;&gt;"")*(COLUMN(ADS!T155:AE155)-COLUMN(ADS!T155)+1)))))</f>
        <v/>
      </c>
      <c r="L60" s="52" t="str">
        <f>IF(AND(G60&lt;&gt;"",G60='Tổng hợp'!$C$4),MAX(L$1:L59)+1,"")</f>
        <v/>
      </c>
    </row>
    <row r="61" ht="15.75" customHeight="1">
      <c r="A61" s="52" t="str">
        <f>IF(ADS!C156="","","ADS")</f>
        <v>ADS</v>
      </c>
      <c r="B61" s="52" t="str">
        <f>IF(ADS!B156="","",ADS!B156)</f>
        <v>ADS-151</v>
      </c>
      <c r="C61" s="52" t="str">
        <f>IF(ADS!C156="","",ADS!C156)</f>
        <v>TKQC</v>
      </c>
      <c r="D61" s="79" t="str">
        <f>IF(ADS!D156="","",ADS!D156)</f>
        <v>1342897044361786</v>
      </c>
      <c r="E61" s="52" t="str">
        <f>IF(ADS!E156="","",ADS!E156)</f>
        <v>TKQC</v>
      </c>
      <c r="F61" s="52" t="str">
        <f>IF(ADS!F156="","",ADS!F156)</f>
        <v/>
      </c>
      <c r="G61" s="52" t="str">
        <f>IF(ADS!G156="","",ADS!G156)</f>
        <v>BÙI ĐÌNH ĐỨC</v>
      </c>
      <c r="H61" s="52" t="str">
        <f>IF(ADS!J156="","",ADS!J156)</f>
        <v>Nhà quảng cáo</v>
      </c>
      <c r="I61" s="52" t="str">
        <f>IF(ADS!M156="","",ADS!M156)</f>
        <v/>
      </c>
      <c r="J61" s="52" t="str">
        <f>IF(ADS!R156="","",ADS!R156)</f>
        <v>Đã bàn giao</v>
      </c>
      <c r="K61" s="52" t="str">
        <f t="array" ref="K61">IF(COUNTA(ADS!T156:AE156)=0,"",INDEX(ADS!T156:AE156,1,SUMPRODUCT(MAX((ADS!T156:AE156&lt;&gt;"")*(COLUMN(ADS!T156:AE156)-COLUMN(ADS!T156)+1)))))</f>
        <v/>
      </c>
      <c r="L61" s="52" t="str">
        <f>IF(AND(G61&lt;&gt;"",G61='Tổng hợp'!$C$4),MAX(L$1:L60)+1,"")</f>
        <v/>
      </c>
    </row>
    <row r="62" ht="15.75" customHeight="1">
      <c r="A62" s="52" t="str">
        <f>IF(ADS!C157="","","ADS")</f>
        <v>ADS</v>
      </c>
      <c r="B62" s="52" t="str">
        <f>IF(ADS!B157="","",ADS!B157)</f>
        <v>ADS-152</v>
      </c>
      <c r="C62" s="52" t="str">
        <f>IF(ADS!C157="","",ADS!C157)</f>
        <v>TKQC</v>
      </c>
      <c r="D62" s="79" t="str">
        <f>IF(ADS!D157="","",ADS!D157)</f>
        <v>1748871503152054</v>
      </c>
      <c r="E62" s="52" t="str">
        <f>IF(ADS!E157="","",ADS!E157)</f>
        <v>TKQC</v>
      </c>
      <c r="F62" s="52" t="str">
        <f>IF(ADS!F157="","",ADS!F157)</f>
        <v/>
      </c>
      <c r="G62" s="52" t="str">
        <f>IF(ADS!G157="","",ADS!G157)</f>
        <v>BÙI ĐÌNH ĐỨC</v>
      </c>
      <c r="H62" s="52" t="str">
        <f>IF(ADS!J157="","",ADS!J157)</f>
        <v>Nhà quảng cáo</v>
      </c>
      <c r="I62" s="52" t="str">
        <f>IF(ADS!M157="","",ADS!M157)</f>
        <v/>
      </c>
      <c r="J62" s="52" t="str">
        <f>IF(ADS!R157="","",ADS!R157)</f>
        <v>Đã bàn giao</v>
      </c>
      <c r="K62" s="52" t="str">
        <f t="array" ref="K62">IF(COUNTA(ADS!T157:AE157)=0,"",INDEX(ADS!T157:AE157,1,SUMPRODUCT(MAX((ADS!T157:AE157&lt;&gt;"")*(COLUMN(ADS!T157:AE157)-COLUMN(ADS!T157)+1)))))</f>
        <v/>
      </c>
      <c r="L62" s="52" t="str">
        <f>IF(AND(G62&lt;&gt;"",G62='Tổng hợp'!$C$4),MAX(L$1:L61)+1,"")</f>
        <v/>
      </c>
    </row>
    <row r="63" ht="15.75" customHeight="1">
      <c r="A63" s="52" t="str">
        <f>IF(ADS!C158="","","ADS")</f>
        <v>ADS</v>
      </c>
      <c r="B63" s="52" t="str">
        <f>IF(ADS!B158="","",ADS!B158)</f>
        <v>ADS-153</v>
      </c>
      <c r="C63" s="52" t="str">
        <f>IF(ADS!C158="","",ADS!C158)</f>
        <v>TKQC</v>
      </c>
      <c r="D63" s="79" t="str">
        <f>IF(ADS!D158="","",ADS!D158)</f>
        <v>1671349624139898</v>
      </c>
      <c r="E63" s="52" t="str">
        <f>IF(ADS!E158="","",ADS!E158)</f>
        <v>TKQC</v>
      </c>
      <c r="F63" s="52" t="str">
        <f>IF(ADS!F158="","",ADS!F158)</f>
        <v/>
      </c>
      <c r="G63" s="52" t="str">
        <f>IF(ADS!G158="","",ADS!G158)</f>
        <v>BÙI ĐÌNH ĐỨC</v>
      </c>
      <c r="H63" s="52" t="str">
        <f>IF(ADS!J158="","",ADS!J158)</f>
        <v>Nhà quảng cáo</v>
      </c>
      <c r="I63" s="52" t="str">
        <f>IF(ADS!M158="","",ADS!M158)</f>
        <v/>
      </c>
      <c r="J63" s="52" t="str">
        <f>IF(ADS!R158="","",ADS!R158)</f>
        <v>Đã bàn giao</v>
      </c>
      <c r="K63" s="52" t="str">
        <f t="array" ref="K63">IF(COUNTA(ADS!T158:AE158)=0,"",INDEX(ADS!T158:AE158,1,SUMPRODUCT(MAX((ADS!T158:AE158&lt;&gt;"")*(COLUMN(ADS!T158:AE158)-COLUMN(ADS!T158)+1)))))</f>
        <v/>
      </c>
      <c r="L63" s="52" t="str">
        <f>IF(AND(G63&lt;&gt;"",G63='Tổng hợp'!$C$4),MAX(L$1:L62)+1,"")</f>
        <v/>
      </c>
    </row>
    <row r="64" ht="15.75" customHeight="1">
      <c r="A64" s="52" t="str">
        <f>IF(ADS!C159="","","ADS")</f>
        <v>ADS</v>
      </c>
      <c r="B64" s="52" t="str">
        <f>IF(ADS!B159="","",ADS!B159)</f>
        <v>ADS-154</v>
      </c>
      <c r="C64" s="52" t="str">
        <f>IF(ADS!C159="","",ADS!C159)</f>
        <v>TKQC</v>
      </c>
      <c r="D64" s="79" t="str">
        <f>IF(ADS!D159="","",ADS!D159)</f>
        <v>1362282789286137</v>
      </c>
      <c r="E64" s="52" t="str">
        <f>IF(ADS!E159="","",ADS!E159)</f>
        <v>TKQC</v>
      </c>
      <c r="F64" s="52" t="str">
        <f>IF(ADS!F159="","",ADS!F159)</f>
        <v/>
      </c>
      <c r="G64" s="52" t="str">
        <f>IF(ADS!G159="","",ADS!G159)</f>
        <v>BÙI ĐÌNH ĐỨC</v>
      </c>
      <c r="H64" s="52" t="str">
        <f>IF(ADS!J159="","",ADS!J159)</f>
        <v>Nhà quảng cáo</v>
      </c>
      <c r="I64" s="52" t="str">
        <f>IF(ADS!M159="","",ADS!M159)</f>
        <v/>
      </c>
      <c r="J64" s="52" t="str">
        <f>IF(ADS!R159="","",ADS!R159)</f>
        <v>Đã bàn giao</v>
      </c>
      <c r="K64" s="52" t="str">
        <f t="array" ref="K64">IF(COUNTA(ADS!T159:AE159)=0,"",INDEX(ADS!T159:AE159,1,SUMPRODUCT(MAX((ADS!T159:AE159&lt;&gt;"")*(COLUMN(ADS!T159:AE159)-COLUMN(ADS!T159)+1)))))</f>
        <v/>
      </c>
      <c r="L64" s="52" t="str">
        <f>IF(AND(G64&lt;&gt;"",G64='Tổng hợp'!$C$4),MAX(L$1:L63)+1,"")</f>
        <v/>
      </c>
    </row>
    <row r="65" ht="15.75" customHeight="1">
      <c r="A65" s="52" t="str">
        <f>IF(ADS!C160="","","ADS")</f>
        <v>ADS</v>
      </c>
      <c r="B65" s="52" t="str">
        <f>IF(ADS!B160="","",ADS!B160)</f>
        <v>ADS-155</v>
      </c>
      <c r="C65" s="52" t="str">
        <f>IF(ADS!C160="","",ADS!C160)</f>
        <v>TKQC</v>
      </c>
      <c r="D65" s="79" t="str">
        <f>IF(ADS!D160="","",ADS!D160)</f>
        <v>3075150186218527</v>
      </c>
      <c r="E65" s="52" t="str">
        <f>IF(ADS!E160="","",ADS!E160)</f>
        <v>TKQC</v>
      </c>
      <c r="F65" s="52" t="str">
        <f>IF(ADS!F160="","",ADS!F160)</f>
        <v/>
      </c>
      <c r="G65" s="52" t="str">
        <f>IF(ADS!G160="","",ADS!G160)</f>
        <v>BÙI ĐÌNH ĐỨC</v>
      </c>
      <c r="H65" s="52" t="str">
        <f>IF(ADS!J160="","",ADS!J160)</f>
        <v>Nhà quảng cáo</v>
      </c>
      <c r="I65" s="52" t="str">
        <f>IF(ADS!M160="","",ADS!M160)</f>
        <v/>
      </c>
      <c r="J65" s="52" t="str">
        <f>IF(ADS!R160="","",ADS!R160)</f>
        <v>Đã bàn giao</v>
      </c>
      <c r="K65" s="52" t="str">
        <f t="array" ref="K65">IF(COUNTA(ADS!T160:AE160)=0,"",INDEX(ADS!T160:AE160,1,SUMPRODUCT(MAX((ADS!T160:AE160&lt;&gt;"")*(COLUMN(ADS!T160:AE160)-COLUMN(ADS!T160)+1)))))</f>
        <v/>
      </c>
      <c r="L65" s="52" t="str">
        <f>IF(AND(G65&lt;&gt;"",G65='Tổng hợp'!$C$4),MAX(L$1:L64)+1,"")</f>
        <v/>
      </c>
    </row>
    <row r="66" ht="15.75" customHeight="1">
      <c r="A66" s="52" t="str">
        <f>IF(ADS!C161="","","ADS")</f>
        <v>ADS</v>
      </c>
      <c r="B66" s="52" t="str">
        <f>IF(ADS!B161="","",ADS!B161)</f>
        <v>ADS-156</v>
      </c>
      <c r="C66" s="52" t="str">
        <f>IF(ADS!C161="","",ADS!C161)</f>
        <v>TKQC</v>
      </c>
      <c r="D66" s="79" t="str">
        <f>IF(ADS!D161="","",ADS!D161)</f>
        <v>1692188108792231</v>
      </c>
      <c r="E66" s="52" t="str">
        <f>IF(ADS!E161="","",ADS!E161)</f>
        <v>TKQC</v>
      </c>
      <c r="F66" s="52" t="str">
        <f>IF(ADS!F161="","",ADS!F161)</f>
        <v/>
      </c>
      <c r="G66" s="52" t="str">
        <f>IF(ADS!G161="","",ADS!G161)</f>
        <v>BÙI ĐÌNH ĐỨC</v>
      </c>
      <c r="H66" s="52" t="str">
        <f>IF(ADS!J161="","",ADS!J161)</f>
        <v>Nhà quảng cáo</v>
      </c>
      <c r="I66" s="52" t="str">
        <f>IF(ADS!M161="","",ADS!M161)</f>
        <v/>
      </c>
      <c r="J66" s="52" t="str">
        <f>IF(ADS!R161="","",ADS!R161)</f>
        <v>Đã bàn giao</v>
      </c>
      <c r="K66" s="52" t="str">
        <f t="array" ref="K66">IF(COUNTA(ADS!T161:AE161)=0,"",INDEX(ADS!T161:AE161,1,SUMPRODUCT(MAX((ADS!T161:AE161&lt;&gt;"")*(COLUMN(ADS!T161:AE161)-COLUMN(ADS!T161)+1)))))</f>
        <v/>
      </c>
      <c r="L66" s="52" t="str">
        <f>IF(AND(G66&lt;&gt;"",G66='Tổng hợp'!$C$4),MAX(L$1:L65)+1,"")</f>
        <v/>
      </c>
    </row>
    <row r="67" ht="15.75" customHeight="1">
      <c r="A67" s="52" t="str">
        <f>IF(ADS!C162="","","ADS")</f>
        <v>ADS</v>
      </c>
      <c r="B67" s="52" t="str">
        <f>IF(ADS!B162="","",ADS!B162)</f>
        <v>ADS-157</v>
      </c>
      <c r="C67" s="52" t="str">
        <f>IF(ADS!C162="","",ADS!C162)</f>
        <v>TKQC</v>
      </c>
      <c r="D67" s="79">
        <f>IF(ADS!D162="","",ADS!D162)</f>
        <v>983135607502690</v>
      </c>
      <c r="E67" s="52" t="str">
        <f>IF(ADS!E162="","",ADS!E162)</f>
        <v>TKQC</v>
      </c>
      <c r="F67" s="52" t="str">
        <f>IF(ADS!F162="","",ADS!F162)</f>
        <v/>
      </c>
      <c r="G67" s="52" t="str">
        <f>IF(ADS!G162="","",ADS!G162)</f>
        <v>BÙI ĐÌNH ĐỨC</v>
      </c>
      <c r="H67" s="52" t="str">
        <f>IF(ADS!J162="","",ADS!J162)</f>
        <v>Nhà quảng cáo</v>
      </c>
      <c r="I67" s="52" t="str">
        <f>IF(ADS!M162="","",ADS!M162)</f>
        <v/>
      </c>
      <c r="J67" s="52" t="str">
        <f>IF(ADS!R162="","",ADS!R162)</f>
        <v>Đã bàn giao</v>
      </c>
      <c r="K67" s="52" t="str">
        <f t="array" ref="K67">IF(COUNTA(ADS!T162:AE162)=0,"",INDEX(ADS!T162:AE162,1,SUMPRODUCT(MAX((ADS!T162:AE162&lt;&gt;"")*(COLUMN(ADS!T162:AE162)-COLUMN(ADS!T162)+1)))))</f>
        <v/>
      </c>
      <c r="L67" s="52" t="str">
        <f>IF(AND(G67&lt;&gt;"",G67='Tổng hợp'!$C$4),MAX(L$1:L66)+1,"")</f>
        <v/>
      </c>
    </row>
    <row r="68" ht="15.75" customHeight="1">
      <c r="A68" s="52" t="str">
        <f>IF(ADS!C163="","","ADS")</f>
        <v>ADS</v>
      </c>
      <c r="B68" s="52" t="str">
        <f>IF(ADS!B163="","",ADS!B163)</f>
        <v>ADS-158</v>
      </c>
      <c r="C68" s="52" t="str">
        <f>IF(ADS!C163="","",ADS!C163)</f>
        <v>TKQC</v>
      </c>
      <c r="D68" s="79" t="str">
        <f>IF(ADS!D163="","",ADS!D163)</f>
        <v>3190091027862994</v>
      </c>
      <c r="E68" s="52" t="str">
        <f>IF(ADS!E163="","",ADS!E163)</f>
        <v>TKQC</v>
      </c>
      <c r="F68" s="52" t="str">
        <f>IF(ADS!F163="","",ADS!F163)</f>
        <v/>
      </c>
      <c r="G68" s="52" t="str">
        <f>IF(ADS!G163="","",ADS!G163)</f>
        <v>BÙI ĐÌNH ĐỨC</v>
      </c>
      <c r="H68" s="52" t="str">
        <f>IF(ADS!J163="","",ADS!J163)</f>
        <v>Nhà quảng cáo</v>
      </c>
      <c r="I68" s="52" t="str">
        <f>IF(ADS!M163="","",ADS!M163)</f>
        <v/>
      </c>
      <c r="J68" s="52" t="str">
        <f>IF(ADS!R163="","",ADS!R163)</f>
        <v>Đã bàn giao</v>
      </c>
      <c r="K68" s="52" t="str">
        <f t="array" ref="K68">IF(COUNTA(ADS!T163:AE163)=0,"",INDEX(ADS!T163:AE163,1,SUMPRODUCT(MAX((ADS!T163:AE163&lt;&gt;"")*(COLUMN(ADS!T163:AE163)-COLUMN(ADS!T163)+1)))))</f>
        <v/>
      </c>
      <c r="L68" s="52" t="str">
        <f>IF(AND(G68&lt;&gt;"",G68='Tổng hợp'!$C$4),MAX(L$1:L67)+1,"")</f>
        <v/>
      </c>
    </row>
    <row r="69" ht="15.75" customHeight="1">
      <c r="A69" s="52" t="str">
        <f>IF(ADS!C164="","","ADS")</f>
        <v>ADS</v>
      </c>
      <c r="B69" s="52" t="str">
        <f>IF(ADS!B164="","",ADS!B164)</f>
        <v>ADS-159</v>
      </c>
      <c r="C69" s="52" t="str">
        <f>IF(ADS!C164="","",ADS!C164)</f>
        <v>TKQC</v>
      </c>
      <c r="D69" s="79" t="str">
        <f>IF(ADS!D164="","",ADS!D164)</f>
        <v>1272320171282261</v>
      </c>
      <c r="E69" s="52" t="str">
        <f>IF(ADS!E164="","",ADS!E164)</f>
        <v>TKQC</v>
      </c>
      <c r="F69" s="52" t="str">
        <f>IF(ADS!F164="","",ADS!F164)</f>
        <v/>
      </c>
      <c r="G69" s="52" t="str">
        <f>IF(ADS!G164="","",ADS!G164)</f>
        <v>BÙI ĐÌNH ĐỨC</v>
      </c>
      <c r="H69" s="52" t="str">
        <f>IF(ADS!J164="","",ADS!J164)</f>
        <v>Nhà quảng cáo</v>
      </c>
      <c r="I69" s="52" t="str">
        <f>IF(ADS!M164="","",ADS!M164)</f>
        <v/>
      </c>
      <c r="J69" s="52" t="str">
        <f>IF(ADS!R164="","",ADS!R164)</f>
        <v>Đã bàn giao</v>
      </c>
      <c r="K69" s="52" t="str">
        <f t="array" ref="K69">IF(COUNTA(ADS!T164:AE164)=0,"",INDEX(ADS!T164:AE164,1,SUMPRODUCT(MAX((ADS!T164:AE164&lt;&gt;"")*(COLUMN(ADS!T164:AE164)-COLUMN(ADS!T164)+1)))))</f>
        <v/>
      </c>
      <c r="L69" s="52" t="str">
        <f>IF(AND(G69&lt;&gt;"",G69='Tổng hợp'!$C$4),MAX(L$1:L68)+1,"")</f>
        <v/>
      </c>
    </row>
    <row r="70" ht="15.75" customHeight="1">
      <c r="A70" s="52" t="str">
        <f>IF(ADS!C165="","","ADS")</f>
        <v>ADS</v>
      </c>
      <c r="B70" s="52" t="str">
        <f>IF(ADS!B165="","",ADS!B165)</f>
        <v>ADS-160</v>
      </c>
      <c r="C70" s="52" t="str">
        <f>IF(ADS!C165="","",ADS!C165)</f>
        <v>TKQC</v>
      </c>
      <c r="D70" s="79" t="str">
        <f>IF(ADS!D165="","",ADS!D165)</f>
        <v>1981148082583113</v>
      </c>
      <c r="E70" s="52" t="str">
        <f>IF(ADS!E165="","",ADS!E165)</f>
        <v>TKQC</v>
      </c>
      <c r="F70" s="52" t="str">
        <f>IF(ADS!F165="","",ADS!F165)</f>
        <v/>
      </c>
      <c r="G70" s="52" t="str">
        <f>IF(ADS!G165="","",ADS!G165)</f>
        <v>BÙI ĐÌNH ĐỨC</v>
      </c>
      <c r="H70" s="52" t="str">
        <f>IF(ADS!J165="","",ADS!J165)</f>
        <v>Nhà quảng cáo</v>
      </c>
      <c r="I70" s="52" t="str">
        <f>IF(ADS!M165="","",ADS!M165)</f>
        <v/>
      </c>
      <c r="J70" s="52" t="str">
        <f>IF(ADS!R165="","",ADS!R165)</f>
        <v>Đã bàn giao</v>
      </c>
      <c r="K70" s="52" t="str">
        <f t="array" ref="K70">IF(COUNTA(ADS!T165:AE165)=0,"",INDEX(ADS!T165:AE165,1,SUMPRODUCT(MAX((ADS!T165:AE165&lt;&gt;"")*(COLUMN(ADS!T165:AE165)-COLUMN(ADS!T165)+1)))))</f>
        <v/>
      </c>
      <c r="L70" s="52" t="str">
        <f>IF(AND(G70&lt;&gt;"",G70='Tổng hợp'!$C$4),MAX(L$1:L69)+1,"")</f>
        <v/>
      </c>
    </row>
    <row r="71" ht="15.75" customHeight="1">
      <c r="A71" s="52" t="str">
        <f>IF(ADS!C166="","","ADS")</f>
        <v>ADS</v>
      </c>
      <c r="B71" s="52" t="str">
        <f>IF(ADS!B166="","",ADS!B166)</f>
        <v>ADS-161</v>
      </c>
      <c r="C71" s="52" t="str">
        <f>IF(ADS!C166="","",ADS!C166)</f>
        <v>TKQC</v>
      </c>
      <c r="D71" s="79" t="str">
        <f>IF(ADS!D166="","",ADS!D166)</f>
        <v>4521224554869137</v>
      </c>
      <c r="E71" s="52" t="str">
        <f>IF(ADS!E166="","",ADS!E166)</f>
        <v>TKQC</v>
      </c>
      <c r="F71" s="52" t="str">
        <f>IF(ADS!F166="","",ADS!F166)</f>
        <v/>
      </c>
      <c r="G71" s="52" t="str">
        <f>IF(ADS!G166="","",ADS!G166)</f>
        <v>BÙI ĐÌNH ĐỨC</v>
      </c>
      <c r="H71" s="52" t="str">
        <f>IF(ADS!J166="","",ADS!J166)</f>
        <v>Nhà quảng cáo</v>
      </c>
      <c r="I71" s="52" t="str">
        <f>IF(ADS!M166="","",ADS!M166)</f>
        <v/>
      </c>
      <c r="J71" s="52" t="str">
        <f>IF(ADS!R166="","",ADS!R166)</f>
        <v>Đã bàn giao</v>
      </c>
      <c r="K71" s="52" t="str">
        <f t="array" ref="K71">IF(COUNTA(ADS!T166:AE166)=0,"",INDEX(ADS!T166:AE166,1,SUMPRODUCT(MAX((ADS!T166:AE166&lt;&gt;"")*(COLUMN(ADS!T166:AE166)-COLUMN(ADS!T166)+1)))))</f>
        <v/>
      </c>
      <c r="L71" s="52" t="str">
        <f>IF(AND(G71&lt;&gt;"",G71='Tổng hợp'!$C$4),MAX(L$1:L70)+1,"")</f>
        <v/>
      </c>
    </row>
    <row r="72" ht="15.75" customHeight="1">
      <c r="A72" s="52" t="str">
        <f>IF(ADS!C167="","","ADS")</f>
        <v>ADS</v>
      </c>
      <c r="B72" s="52" t="str">
        <f>IF(ADS!B167="","",ADS!B167)</f>
        <v>ADS-162</v>
      </c>
      <c r="C72" s="52" t="str">
        <f>IF(ADS!C167="","",ADS!C167)</f>
        <v>TKQC</v>
      </c>
      <c r="D72" s="79" t="str">
        <f>IF(ADS!D167="","",ADS!D167)</f>
        <v>1040444155098932</v>
      </c>
      <c r="E72" s="52" t="str">
        <f>IF(ADS!E167="","",ADS!E167)</f>
        <v>TKQC</v>
      </c>
      <c r="F72" s="52" t="str">
        <f>IF(ADS!F167="","",ADS!F167)</f>
        <v/>
      </c>
      <c r="G72" s="52" t="str">
        <f>IF(ADS!G167="","",ADS!G167)</f>
        <v>BÙI ĐÌNH ĐỨC</v>
      </c>
      <c r="H72" s="52" t="str">
        <f>IF(ADS!J167="","",ADS!J167)</f>
        <v>Nhà quảng cáo</v>
      </c>
      <c r="I72" s="52" t="str">
        <f>IF(ADS!M167="","",ADS!M167)</f>
        <v/>
      </c>
      <c r="J72" s="52" t="str">
        <f>IF(ADS!R167="","",ADS!R167)</f>
        <v>Đã bàn giao</v>
      </c>
      <c r="K72" s="52" t="str">
        <f t="array" ref="K72">IF(COUNTA(ADS!T167:AE167)=0,"",INDEX(ADS!T167:AE167,1,SUMPRODUCT(MAX((ADS!T167:AE167&lt;&gt;"")*(COLUMN(ADS!T167:AE167)-COLUMN(ADS!T167)+1)))))</f>
        <v/>
      </c>
      <c r="L72" s="52" t="str">
        <f>IF(AND(G72&lt;&gt;"",G72='Tổng hợp'!$C$4),MAX(L$1:L71)+1,"")</f>
        <v/>
      </c>
    </row>
    <row r="73" ht="15.75" customHeight="1">
      <c r="A73" s="52" t="str">
        <f>IF(ADS!C168="","","ADS")</f>
        <v>ADS</v>
      </c>
      <c r="B73" s="52" t="str">
        <f>IF(ADS!B168="","",ADS!B168)</f>
        <v>ADS-163</v>
      </c>
      <c r="C73" s="52" t="str">
        <f>IF(ADS!C168="","",ADS!C168)</f>
        <v>TKQC</v>
      </c>
      <c r="D73" s="79">
        <f>IF(ADS!D168="","",ADS!D168)</f>
        <v>951841204358012</v>
      </c>
      <c r="E73" s="52" t="str">
        <f>IF(ADS!E168="","",ADS!E168)</f>
        <v>TKQC</v>
      </c>
      <c r="F73" s="52" t="str">
        <f>IF(ADS!F168="","",ADS!F168)</f>
        <v/>
      </c>
      <c r="G73" s="52" t="str">
        <f>IF(ADS!G168="","",ADS!G168)</f>
        <v>BÙI ĐÌNH ĐỨC</v>
      </c>
      <c r="H73" s="52" t="str">
        <f>IF(ADS!J168="","",ADS!J168)</f>
        <v>Nhà quảng cáo</v>
      </c>
      <c r="I73" s="52" t="str">
        <f>IF(ADS!M168="","",ADS!M168)</f>
        <v/>
      </c>
      <c r="J73" s="52" t="str">
        <f>IF(ADS!R168="","",ADS!R168)</f>
        <v>Đã bàn giao</v>
      </c>
      <c r="K73" s="52" t="str">
        <f t="array" ref="K73">IF(COUNTA(ADS!T168:AE168)=0,"",INDEX(ADS!T168:AE168,1,SUMPRODUCT(MAX((ADS!T168:AE168&lt;&gt;"")*(COLUMN(ADS!T168:AE168)-COLUMN(ADS!T168)+1)))))</f>
        <v/>
      </c>
      <c r="L73" s="52" t="str">
        <f>IF(AND(G73&lt;&gt;"",G73='Tổng hợp'!$C$4),MAX(L$1:L72)+1,"")</f>
        <v/>
      </c>
    </row>
    <row r="74" ht="15.75" customHeight="1">
      <c r="A74" s="52" t="str">
        <f>IF(ADS!C169="","","ADS")</f>
        <v>ADS</v>
      </c>
      <c r="B74" s="52" t="str">
        <f>IF(ADS!B169="","",ADS!B169)</f>
        <v>ADS-164</v>
      </c>
      <c r="C74" s="52" t="str">
        <f>IF(ADS!C169="","",ADS!C169)</f>
        <v>TKQC</v>
      </c>
      <c r="D74" s="79" t="str">
        <f>IF(ADS!D169="","",ADS!D169)</f>
        <v>2184143572350136</v>
      </c>
      <c r="E74" s="52" t="str">
        <f>IF(ADS!E169="","",ADS!E169)</f>
        <v>TKQC</v>
      </c>
      <c r="F74" s="52" t="str">
        <f>IF(ADS!F169="","",ADS!F169)</f>
        <v/>
      </c>
      <c r="G74" s="52" t="str">
        <f>IF(ADS!G169="","",ADS!G169)</f>
        <v>BÙI ĐÌNH ĐỨC</v>
      </c>
      <c r="H74" s="52" t="str">
        <f>IF(ADS!J169="","",ADS!J169)</f>
        <v>Nhà quảng cáo</v>
      </c>
      <c r="I74" s="52" t="str">
        <f>IF(ADS!M169="","",ADS!M169)</f>
        <v/>
      </c>
      <c r="J74" s="52" t="str">
        <f>IF(ADS!R169="","",ADS!R169)</f>
        <v>Đã bàn giao</v>
      </c>
      <c r="K74" s="52" t="str">
        <f t="array" ref="K74">IF(COUNTA(ADS!T169:AE169)=0,"",INDEX(ADS!T169:AE169,1,SUMPRODUCT(MAX((ADS!T169:AE169&lt;&gt;"")*(COLUMN(ADS!T169:AE169)-COLUMN(ADS!T169)+1)))))</f>
        <v/>
      </c>
      <c r="L74" s="52" t="str">
        <f>IF(AND(G74&lt;&gt;"",G74='Tổng hợp'!$C$4),MAX(L$1:L73)+1,"")</f>
        <v/>
      </c>
    </row>
    <row r="75" ht="15.75" customHeight="1">
      <c r="A75" s="52" t="str">
        <f>IF(ADS!C170="","","ADS")</f>
        <v>ADS</v>
      </c>
      <c r="B75" s="52" t="str">
        <f>IF(ADS!B170="","",ADS!B170)</f>
        <v>ADS-165</v>
      </c>
      <c r="C75" s="52" t="str">
        <f>IF(ADS!C170="","",ADS!C170)</f>
        <v>Via</v>
      </c>
      <c r="D75" s="79" t="str">
        <f>IF(ADS!D170="","",ADS!D170)</f>
        <v>61594005624399</v>
      </c>
      <c r="E75" s="52" t="str">
        <f>IF(ADS!E170="","",ADS!E170)</f>
        <v>TKQC</v>
      </c>
      <c r="F75" s="52" t="str">
        <f>IF(ADS!F170="","",ADS!F170)</f>
        <v/>
      </c>
      <c r="G75" s="52" t="str">
        <f>IF(ADS!G170="","",ADS!G170)</f>
        <v>BÙI ĐÌNH ĐỨC</v>
      </c>
      <c r="H75" s="52" t="str">
        <f>IF(ADS!J170="","",ADS!J170)</f>
        <v>Chủ tài khoản (Via/AI)</v>
      </c>
      <c r="I75" s="52" t="str">
        <f>IF(ADS!M170="","",ADS!M170)</f>
        <v/>
      </c>
      <c r="J75" s="52" t="str">
        <f>IF(ADS!R170="","",ADS!R170)</f>
        <v>Đã bàn giao</v>
      </c>
      <c r="K75" s="52" t="str">
        <f t="array" ref="K75">IF(COUNTA(ADS!T170:AE170)=0,"",INDEX(ADS!T170:AE170,1,SUMPRODUCT(MAX((ADS!T170:AE170&lt;&gt;"")*(COLUMN(ADS!T170:AE170)-COLUMN(ADS!T170)+1)))))</f>
        <v/>
      </c>
      <c r="L75" s="52" t="str">
        <f>IF(AND(G75&lt;&gt;"",G75='Tổng hợp'!$C$4),MAX(L$1:L74)+1,"")</f>
        <v/>
      </c>
    </row>
    <row r="76" ht="15.75" customHeight="1">
      <c r="A76" s="52" t="str">
        <f>IF(ADS!C171="","","ADS")</f>
        <v>ADS</v>
      </c>
      <c r="B76" s="52" t="str">
        <f>IF(ADS!B171="","",ADS!B171)</f>
        <v>ADS-166</v>
      </c>
      <c r="C76" s="52" t="str">
        <f>IF(ADS!C171="","",ADS!C171)</f>
        <v>TKQC</v>
      </c>
      <c r="D76" s="135" t="str">
        <f>IF(ADS!D171="","",ADS!D171)</f>
        <v>893709490378791</v>
      </c>
      <c r="E76" s="52" t="str">
        <f>IF(ADS!E171="","",ADS!E171)</f>
        <v>TKQC</v>
      </c>
      <c r="F76" s="52" t="str">
        <f>IF(ADS!F171="","",ADS!F171)</f>
        <v/>
      </c>
      <c r="G76" s="52" t="str">
        <f>IF(ADS!G171="","",ADS!G171)</f>
        <v>NGUYỄN XUÂN DŨNG</v>
      </c>
      <c r="H76" s="52" t="str">
        <f>IF(ADS!J171="","",ADS!J171)</f>
        <v>Thành viên</v>
      </c>
      <c r="I76" s="52" t="str">
        <f>IF(ADS!M171="","",ADS!M171)</f>
        <v/>
      </c>
      <c r="J76" s="52" t="str">
        <f>IF(ADS!R171="","",ADS!R171)</f>
        <v>Đã bàn giao</v>
      </c>
      <c r="K76" s="52" t="str">
        <f t="array" ref="K76">IF(COUNTA(ADS!T171:AE171)=0,"",INDEX(ADS!T171:AE171,1,SUMPRODUCT(MAX((ADS!T171:AE171&lt;&gt;"")*(COLUMN(ADS!T171:AE171)-COLUMN(ADS!T171)+1)))))</f>
        <v/>
      </c>
      <c r="L76" s="52" t="str">
        <f>IF(AND(G76&lt;&gt;"",G76='Tổng hợp'!$C$4),MAX(L$1:L75)+1,"")</f>
        <v/>
      </c>
    </row>
    <row r="77" ht="15.75" customHeight="1">
      <c r="A77" s="52" t="str">
        <f>IF(ADS!C172="","","ADS")</f>
        <v>ADS</v>
      </c>
      <c r="B77" s="52" t="str">
        <f>IF(ADS!B172="","",ADS!B172)</f>
        <v>ADS-167</v>
      </c>
      <c r="C77" s="52" t="str">
        <f>IF(ADS!C172="","",ADS!C172)</f>
        <v>TKQC</v>
      </c>
      <c r="D77" s="135" t="str">
        <f>IF(ADS!D172="","",ADS!D172)</f>
        <v>1528550945274922</v>
      </c>
      <c r="E77" s="52" t="str">
        <f>IF(ADS!E172="","",ADS!E172)</f>
        <v>TKQC</v>
      </c>
      <c r="F77" s="52" t="str">
        <f>IF(ADS!F172="","",ADS!F172)</f>
        <v/>
      </c>
      <c r="G77" s="52" t="str">
        <f>IF(ADS!G172="","",ADS!G172)</f>
        <v>NGUYỄN XUÂN DŨNG</v>
      </c>
      <c r="H77" s="52" t="str">
        <f>IF(ADS!J172="","",ADS!J172)</f>
        <v>Thành viên</v>
      </c>
      <c r="I77" s="52" t="str">
        <f>IF(ADS!M172="","",ADS!M172)</f>
        <v/>
      </c>
      <c r="J77" s="52" t="str">
        <f>IF(ADS!R172="","",ADS!R172)</f>
        <v>Đã bàn giao</v>
      </c>
      <c r="K77" s="52" t="str">
        <f t="array" ref="K77">IF(COUNTA(ADS!T172:AE172)=0,"",INDEX(ADS!T172:AE172,1,SUMPRODUCT(MAX((ADS!T172:AE172&lt;&gt;"")*(COLUMN(ADS!T172:AE172)-COLUMN(ADS!T172)+1)))))</f>
        <v/>
      </c>
      <c r="L77" s="52" t="str">
        <f>IF(AND(G77&lt;&gt;"",G77='Tổng hợp'!$C$4),MAX(L$1:L76)+1,"")</f>
        <v/>
      </c>
    </row>
    <row r="78" ht="15.75" customHeight="1">
      <c r="A78" s="52" t="str">
        <f>IF(ADS!C173="","","ADS")</f>
        <v>ADS</v>
      </c>
      <c r="B78" s="52" t="str">
        <f>IF(ADS!B173="","",ADS!B173)</f>
        <v>ADS-168</v>
      </c>
      <c r="C78" s="52" t="str">
        <f>IF(ADS!C173="","",ADS!C173)</f>
        <v>TKQC</v>
      </c>
      <c r="D78" s="135" t="str">
        <f>IF(ADS!D173="","",ADS!D173)</f>
        <v>1007233328546945</v>
      </c>
      <c r="E78" s="52" t="str">
        <f>IF(ADS!E173="","",ADS!E173)</f>
        <v>TKQC</v>
      </c>
      <c r="F78" s="52" t="str">
        <f>IF(ADS!F173="","",ADS!F173)</f>
        <v/>
      </c>
      <c r="G78" s="52" t="str">
        <f>IF(ADS!G173="","",ADS!G173)</f>
        <v>NGUYỄN XUÂN DŨNG</v>
      </c>
      <c r="H78" s="52" t="str">
        <f>IF(ADS!J173="","",ADS!J173)</f>
        <v>Thành viên</v>
      </c>
      <c r="I78" s="52" t="str">
        <f>IF(ADS!M173="","",ADS!M173)</f>
        <v/>
      </c>
      <c r="J78" s="52" t="str">
        <f>IF(ADS!R173="","",ADS!R173)</f>
        <v>Đã bàn giao</v>
      </c>
      <c r="K78" s="52" t="str">
        <f t="array" ref="K78">IF(COUNTA(ADS!T173:AE173)=0,"",INDEX(ADS!T173:AE173,1,SUMPRODUCT(MAX((ADS!T173:AE173&lt;&gt;"")*(COLUMN(ADS!T173:AE173)-COLUMN(ADS!T173)+1)))))</f>
        <v/>
      </c>
      <c r="L78" s="52" t="str">
        <f>IF(AND(G78&lt;&gt;"",G78='Tổng hợp'!$C$4),MAX(L$1:L77)+1,"")</f>
        <v/>
      </c>
    </row>
    <row r="79" ht="15.75" customHeight="1">
      <c r="A79" s="52" t="str">
        <f>IF(ADS!C174="","","ADS")</f>
        <v>ADS</v>
      </c>
      <c r="B79" s="52" t="str">
        <f>IF(ADS!B174="","",ADS!B174)</f>
        <v>ADS-169</v>
      </c>
      <c r="C79" s="52" t="str">
        <f>IF(ADS!C174="","",ADS!C174)</f>
        <v>TKQC</v>
      </c>
      <c r="D79" s="135" t="str">
        <f>IF(ADS!D174="","",ADS!D174)</f>
        <v>255900709994361</v>
      </c>
      <c r="E79" s="52" t="str">
        <f>IF(ADS!E174="","",ADS!E174)</f>
        <v>TKQC</v>
      </c>
      <c r="F79" s="52" t="str">
        <f>IF(ADS!F174="","",ADS!F174)</f>
        <v/>
      </c>
      <c r="G79" s="52" t="str">
        <f>IF(ADS!G174="","",ADS!G174)</f>
        <v>NGUYỄN XUÂN DŨNG</v>
      </c>
      <c r="H79" s="52" t="str">
        <f>IF(ADS!J174="","",ADS!J174)</f>
        <v>Thành viên</v>
      </c>
      <c r="I79" s="52" t="str">
        <f>IF(ADS!M174="","",ADS!M174)</f>
        <v/>
      </c>
      <c r="J79" s="52" t="str">
        <f>IF(ADS!R174="","",ADS!R174)</f>
        <v>Đã bàn giao</v>
      </c>
      <c r="K79" s="52" t="str">
        <f t="array" ref="K79">IF(COUNTA(ADS!T174:AE174)=0,"",INDEX(ADS!T174:AE174,1,SUMPRODUCT(MAX((ADS!T174:AE174&lt;&gt;"")*(COLUMN(ADS!T174:AE174)-COLUMN(ADS!T174)+1)))))</f>
        <v/>
      </c>
      <c r="L79" s="52" t="str">
        <f>IF(AND(G79&lt;&gt;"",G79='Tổng hợp'!$C$4),MAX(L$1:L78)+1,"")</f>
        <v/>
      </c>
    </row>
    <row r="80" ht="15.75" customHeight="1">
      <c r="A80" s="52" t="str">
        <f>IF(ADS!C175="","","ADS")</f>
        <v>ADS</v>
      </c>
      <c r="B80" s="52" t="str">
        <f>IF(ADS!B175="","",ADS!B175)</f>
        <v>ADS-170</v>
      </c>
      <c r="C80" s="52" t="str">
        <f>IF(ADS!C175="","",ADS!C175)</f>
        <v>TKQC</v>
      </c>
      <c r="D80" s="135" t="str">
        <f>IF(ADS!D175="","",ADS!D175)</f>
        <v>643906930144525</v>
      </c>
      <c r="E80" s="52" t="str">
        <f>IF(ADS!E175="","",ADS!E175)</f>
        <v>TKQC</v>
      </c>
      <c r="F80" s="52" t="str">
        <f>IF(ADS!F175="","",ADS!F175)</f>
        <v/>
      </c>
      <c r="G80" s="52" t="str">
        <f>IF(ADS!G175="","",ADS!G175)</f>
        <v>NGUYỄN XUÂN DŨNG</v>
      </c>
      <c r="H80" s="52" t="str">
        <f>IF(ADS!J175="","",ADS!J175)</f>
        <v>Thành viên</v>
      </c>
      <c r="I80" s="52" t="str">
        <f>IF(ADS!M175="","",ADS!M175)</f>
        <v/>
      </c>
      <c r="J80" s="52" t="str">
        <f>IF(ADS!R175="","",ADS!R175)</f>
        <v>Đã bàn giao</v>
      </c>
      <c r="K80" s="52" t="str">
        <f t="array" ref="K80">IF(COUNTA(ADS!T175:AE175)=0,"",INDEX(ADS!T175:AE175,1,SUMPRODUCT(MAX((ADS!T175:AE175&lt;&gt;"")*(COLUMN(ADS!T175:AE175)-COLUMN(ADS!T175)+1)))))</f>
        <v/>
      </c>
      <c r="L80" s="52" t="str">
        <f>IF(AND(G80&lt;&gt;"",G80='Tổng hợp'!$C$4),MAX(L$1:L79)+1,"")</f>
        <v/>
      </c>
    </row>
    <row r="81" ht="15.75" customHeight="1">
      <c r="A81" s="52" t="str">
        <f>IF(ADS!C176="","","ADS")</f>
        <v>ADS</v>
      </c>
      <c r="B81" s="52" t="str">
        <f>IF(ADS!B176="","",ADS!B176)</f>
        <v>ADS-171</v>
      </c>
      <c r="C81" s="52" t="str">
        <f>IF(ADS!C176="","",ADS!C176)</f>
        <v>TKQC</v>
      </c>
      <c r="D81" s="135" t="str">
        <f>IF(ADS!D176="","",ADS!D176)</f>
        <v>2483761658751177</v>
      </c>
      <c r="E81" s="52" t="str">
        <f>IF(ADS!E176="","",ADS!E176)</f>
        <v>TKQC</v>
      </c>
      <c r="F81" s="52" t="str">
        <f>IF(ADS!F176="","",ADS!F176)</f>
        <v/>
      </c>
      <c r="G81" s="52" t="str">
        <f>IF(ADS!G176="","",ADS!G176)</f>
        <v>NGUYỄN XUÂN DŨNG</v>
      </c>
      <c r="H81" s="52" t="str">
        <f>IF(ADS!J176="","",ADS!J176)</f>
        <v>Thành viên</v>
      </c>
      <c r="I81" s="52" t="str">
        <f>IF(ADS!M176="","",ADS!M176)</f>
        <v/>
      </c>
      <c r="J81" s="52" t="str">
        <f>IF(ADS!R176="","",ADS!R176)</f>
        <v>Đã bàn giao</v>
      </c>
      <c r="K81" s="52" t="str">
        <f t="array" ref="K81">IF(COUNTA(ADS!T176:AE176)=0,"",INDEX(ADS!T176:AE176,1,SUMPRODUCT(MAX((ADS!T176:AE176&lt;&gt;"")*(COLUMN(ADS!T176:AE176)-COLUMN(ADS!T176)+1)))))</f>
        <v/>
      </c>
      <c r="L81" s="52" t="str">
        <f>IF(AND(G81&lt;&gt;"",G81='Tổng hợp'!$C$4),MAX(L$1:L80)+1,"")</f>
        <v/>
      </c>
    </row>
    <row r="82" ht="15.75" customHeight="1">
      <c r="A82" s="52" t="str">
        <f>IF(ADS!C177="","","ADS")</f>
        <v>ADS</v>
      </c>
      <c r="B82" s="52" t="str">
        <f>IF(ADS!B177="","",ADS!B177)</f>
        <v>ADS-172</v>
      </c>
      <c r="C82" s="52" t="str">
        <f>IF(ADS!C177="","",ADS!C177)</f>
        <v>TKQC</v>
      </c>
      <c r="D82" s="135" t="str">
        <f>IF(ADS!D177="","",ADS!D177)</f>
        <v>1880801102119711</v>
      </c>
      <c r="E82" s="52" t="str">
        <f>IF(ADS!E177="","",ADS!E177)</f>
        <v>TKQC</v>
      </c>
      <c r="F82" s="52" t="str">
        <f>IF(ADS!F177="","",ADS!F177)</f>
        <v/>
      </c>
      <c r="G82" s="52" t="str">
        <f>IF(ADS!G177="","",ADS!G177)</f>
        <v>NGUYỄN XUÂN DŨNG</v>
      </c>
      <c r="H82" s="52" t="str">
        <f>IF(ADS!J177="","",ADS!J177)</f>
        <v>Thành viên</v>
      </c>
      <c r="I82" s="52" t="str">
        <f>IF(ADS!M177="","",ADS!M177)</f>
        <v/>
      </c>
      <c r="J82" s="52" t="str">
        <f>IF(ADS!R177="","",ADS!R177)</f>
        <v>Đã bàn giao</v>
      </c>
      <c r="K82" s="52" t="str">
        <f t="array" ref="K82">IF(COUNTA(ADS!T177:AE177)=0,"",INDEX(ADS!T177:AE177,1,SUMPRODUCT(MAX((ADS!T177:AE177&lt;&gt;"")*(COLUMN(ADS!T177:AE177)-COLUMN(ADS!T177)+1)))))</f>
        <v/>
      </c>
      <c r="L82" s="52" t="str">
        <f>IF(AND(G82&lt;&gt;"",G82='Tổng hợp'!$C$4),MAX(L$1:L81)+1,"")</f>
        <v/>
      </c>
    </row>
    <row r="83" ht="15.75" customHeight="1">
      <c r="A83" s="52" t="str">
        <f>IF(ADS!C178="","","ADS")</f>
        <v>ADS</v>
      </c>
      <c r="B83" s="52" t="str">
        <f>IF(ADS!B178="","",ADS!B178)</f>
        <v>ADS-173</v>
      </c>
      <c r="C83" s="52" t="str">
        <f>IF(ADS!C178="","",ADS!C178)</f>
        <v>TKQC</v>
      </c>
      <c r="D83" s="135" t="str">
        <f>IF(ADS!D178="","",ADS!D178)</f>
        <v>1292302393099935</v>
      </c>
      <c r="E83" s="52" t="str">
        <f>IF(ADS!E178="","",ADS!E178)</f>
        <v>TKQC</v>
      </c>
      <c r="F83" s="52" t="str">
        <f>IF(ADS!F178="","",ADS!F178)</f>
        <v/>
      </c>
      <c r="G83" s="52" t="str">
        <f>IF(ADS!G178="","",ADS!G178)</f>
        <v>NGUYỄN XUÂN DŨNG</v>
      </c>
      <c r="H83" s="52" t="str">
        <f>IF(ADS!J178="","",ADS!J178)</f>
        <v>Thành viên</v>
      </c>
      <c r="I83" s="52" t="str">
        <f>IF(ADS!M178="","",ADS!M178)</f>
        <v/>
      </c>
      <c r="J83" s="52" t="str">
        <f>IF(ADS!R178="","",ADS!R178)</f>
        <v>Đã bàn giao</v>
      </c>
      <c r="K83" s="52" t="str">
        <f t="array" ref="K83">IF(COUNTA(ADS!T178:AE178)=0,"",INDEX(ADS!T178:AE178,1,SUMPRODUCT(MAX((ADS!T178:AE178&lt;&gt;"")*(COLUMN(ADS!T178:AE178)-COLUMN(ADS!T178)+1)))))</f>
        <v/>
      </c>
      <c r="L83" s="52" t="str">
        <f>IF(AND(G83&lt;&gt;"",G83='Tổng hợp'!$C$4),MAX(L$1:L82)+1,"")</f>
        <v/>
      </c>
    </row>
    <row r="84" ht="15.75" customHeight="1">
      <c r="A84" s="52" t="str">
        <f>IF(ADS!C179="","","ADS")</f>
        <v>ADS</v>
      </c>
      <c r="B84" s="52" t="str">
        <f>IF(ADS!B179="","",ADS!B179)</f>
        <v>ADS-174</v>
      </c>
      <c r="C84" s="52" t="str">
        <f>IF(ADS!C179="","",ADS!C179)</f>
        <v>TKQC</v>
      </c>
      <c r="D84" s="135" t="str">
        <f>IF(ADS!D179="","",ADS!D179)</f>
        <v>1673869220311164</v>
      </c>
      <c r="E84" s="52" t="str">
        <f>IF(ADS!E179="","",ADS!E179)</f>
        <v>TKQC</v>
      </c>
      <c r="F84" s="52" t="str">
        <f>IF(ADS!F179="","",ADS!F179)</f>
        <v/>
      </c>
      <c r="G84" s="52" t="str">
        <f>IF(ADS!G179="","",ADS!G179)</f>
        <v>NGUYỄN XUÂN DŨNG</v>
      </c>
      <c r="H84" s="52" t="str">
        <f>IF(ADS!J179="","",ADS!J179)</f>
        <v>Thành viên</v>
      </c>
      <c r="I84" s="52" t="str">
        <f>IF(ADS!M179="","",ADS!M179)</f>
        <v/>
      </c>
      <c r="J84" s="52" t="str">
        <f>IF(ADS!R179="","",ADS!R179)</f>
        <v>Đã bàn giao</v>
      </c>
      <c r="K84" s="52" t="str">
        <f t="array" ref="K84">IF(COUNTA(ADS!T179:AE179)=0,"",INDEX(ADS!T179:AE179,1,SUMPRODUCT(MAX((ADS!T179:AE179&lt;&gt;"")*(COLUMN(ADS!T179:AE179)-COLUMN(ADS!T179)+1)))))</f>
        <v/>
      </c>
      <c r="L84" s="52" t="str">
        <f>IF(AND(G84&lt;&gt;"",G84='Tổng hợp'!$C$4),MAX(L$1:L83)+1,"")</f>
        <v/>
      </c>
    </row>
    <row r="85" ht="15.75" customHeight="1">
      <c r="A85" s="52" t="str">
        <f>IF(ADS!C180="","","ADS")</f>
        <v>ADS</v>
      </c>
      <c r="B85" s="52" t="str">
        <f>IF(ADS!B180="","",ADS!B180)</f>
        <v>ADS-175</v>
      </c>
      <c r="C85" s="52" t="str">
        <f>IF(ADS!C180="","",ADS!C180)</f>
        <v>TKQC</v>
      </c>
      <c r="D85" s="135" t="str">
        <f>IF(ADS!D180="","",ADS!D180)</f>
        <v>2989122741310682</v>
      </c>
      <c r="E85" s="52" t="str">
        <f>IF(ADS!E180="","",ADS!E180)</f>
        <v>TKQC</v>
      </c>
      <c r="F85" s="52" t="str">
        <f>IF(ADS!F180="","",ADS!F180)</f>
        <v/>
      </c>
      <c r="G85" s="52" t="str">
        <f>IF(ADS!G180="","",ADS!G180)</f>
        <v>NGUYỄN XUÂN DŨNG</v>
      </c>
      <c r="H85" s="52" t="str">
        <f>IF(ADS!J180="","",ADS!J180)</f>
        <v>Thành viên</v>
      </c>
      <c r="I85" s="52" t="str">
        <f>IF(ADS!M180="","",ADS!M180)</f>
        <v/>
      </c>
      <c r="J85" s="52" t="str">
        <f>IF(ADS!R180="","",ADS!R180)</f>
        <v>Đã bàn giao</v>
      </c>
      <c r="K85" s="52" t="str">
        <f t="array" ref="K85">IF(COUNTA(ADS!T180:AE180)=0,"",INDEX(ADS!T180:AE180,1,SUMPRODUCT(MAX((ADS!T180:AE180&lt;&gt;"")*(COLUMN(ADS!T180:AE180)-COLUMN(ADS!T180)+1)))))</f>
        <v/>
      </c>
      <c r="L85" s="52" t="str">
        <f>IF(AND(G85&lt;&gt;"",G85='Tổng hợp'!$C$4),MAX(L$1:L84)+1,"")</f>
        <v/>
      </c>
    </row>
    <row r="86" ht="15.75" customHeight="1">
      <c r="A86" s="52" t="str">
        <f>IF(ADS!C181="","","ADS")</f>
        <v>ADS</v>
      </c>
      <c r="B86" s="52" t="str">
        <f>IF(ADS!B181="","",ADS!B181)</f>
        <v>ADS-176</v>
      </c>
      <c r="C86" s="52" t="str">
        <f>IF(ADS!C181="","",ADS!C181)</f>
        <v>TKQC</v>
      </c>
      <c r="D86" s="135" t="str">
        <f>IF(ADS!D181="","",ADS!D181)</f>
        <v>458611848980447</v>
      </c>
      <c r="E86" s="52" t="str">
        <f>IF(ADS!E181="","",ADS!E181)</f>
        <v>TKQC</v>
      </c>
      <c r="F86" s="52" t="str">
        <f>IF(ADS!F181="","",ADS!F181)</f>
        <v/>
      </c>
      <c r="G86" s="52" t="str">
        <f>IF(ADS!G181="","",ADS!G181)</f>
        <v>NGUYỄN XUÂN DŨNG</v>
      </c>
      <c r="H86" s="52" t="str">
        <f>IF(ADS!J181="","",ADS!J181)</f>
        <v>Thành viên</v>
      </c>
      <c r="I86" s="52" t="str">
        <f>IF(ADS!M181="","",ADS!M181)</f>
        <v/>
      </c>
      <c r="J86" s="52" t="str">
        <f>IF(ADS!R181="","",ADS!R181)</f>
        <v>Đã bàn giao</v>
      </c>
      <c r="K86" s="52" t="str">
        <f t="array" ref="K86">IF(COUNTA(ADS!T181:AE181)=0,"",INDEX(ADS!T181:AE181,1,SUMPRODUCT(MAX((ADS!T181:AE181&lt;&gt;"")*(COLUMN(ADS!T181:AE181)-COLUMN(ADS!T181)+1)))))</f>
        <v/>
      </c>
      <c r="L86" s="52" t="str">
        <f>IF(AND(G86&lt;&gt;"",G86='Tổng hợp'!$C$4),MAX(L$1:L85)+1,"")</f>
        <v/>
      </c>
    </row>
    <row r="87" ht="15.75" customHeight="1">
      <c r="A87" s="52" t="str">
        <f>IF(ADS!C182="","","ADS")</f>
        <v>ADS</v>
      </c>
      <c r="B87" s="52" t="str">
        <f>IF(ADS!B182="","",ADS!B182)</f>
        <v>ADS-177</v>
      </c>
      <c r="C87" s="52" t="str">
        <f>IF(ADS!C182="","",ADS!C182)</f>
        <v>TKQC</v>
      </c>
      <c r="D87" s="135" t="str">
        <f>IF(ADS!D182="","",ADS!D182)</f>
        <v>603507060749563</v>
      </c>
      <c r="E87" s="52" t="str">
        <f>IF(ADS!E182="","",ADS!E182)</f>
        <v>TKQC</v>
      </c>
      <c r="F87" s="52" t="str">
        <f>IF(ADS!F182="","",ADS!F182)</f>
        <v/>
      </c>
      <c r="G87" s="52" t="str">
        <f>IF(ADS!G182="","",ADS!G182)</f>
        <v>NGUYỄN XUÂN DŨNG</v>
      </c>
      <c r="H87" s="52" t="str">
        <f>IF(ADS!J182="","",ADS!J182)</f>
        <v>Thành viên</v>
      </c>
      <c r="I87" s="52" t="str">
        <f>IF(ADS!M182="","",ADS!M182)</f>
        <v/>
      </c>
      <c r="J87" s="52" t="str">
        <f>IF(ADS!R182="","",ADS!R182)</f>
        <v>Đã bàn giao</v>
      </c>
      <c r="K87" s="52" t="str">
        <f t="array" ref="K87">IF(COUNTA(ADS!T182:AE182)=0,"",INDEX(ADS!T182:AE182,1,SUMPRODUCT(MAX((ADS!T182:AE182&lt;&gt;"")*(COLUMN(ADS!T182:AE182)-COLUMN(ADS!T182)+1)))))</f>
        <v/>
      </c>
      <c r="L87" s="52" t="str">
        <f>IF(AND(G87&lt;&gt;"",G87='Tổng hợp'!$C$4),MAX(L$1:L86)+1,"")</f>
        <v/>
      </c>
    </row>
    <row r="88" ht="15.75" customHeight="1">
      <c r="A88" s="52" t="str">
        <f>IF(ADS!C183="","","ADS")</f>
        <v>ADS</v>
      </c>
      <c r="B88" s="52" t="str">
        <f>IF(ADS!B183="","",ADS!B183)</f>
        <v>ADS-178</v>
      </c>
      <c r="C88" s="52" t="str">
        <f>IF(ADS!C183="","",ADS!C183)</f>
        <v>TKQC</v>
      </c>
      <c r="D88" s="135" t="str">
        <f>IF(ADS!D183="","",ADS!D183)</f>
        <v>302127241868373</v>
      </c>
      <c r="E88" s="52" t="str">
        <f>IF(ADS!E183="","",ADS!E183)</f>
        <v>TKQC</v>
      </c>
      <c r="F88" s="52" t="str">
        <f>IF(ADS!F183="","",ADS!F183)</f>
        <v/>
      </c>
      <c r="G88" s="52" t="str">
        <f>IF(ADS!G183="","",ADS!G183)</f>
        <v>NGUYỄN XUÂN DŨNG</v>
      </c>
      <c r="H88" s="52" t="str">
        <f>IF(ADS!J183="","",ADS!J183)</f>
        <v>Thành viên</v>
      </c>
      <c r="I88" s="52" t="str">
        <f>IF(ADS!M183="","",ADS!M183)</f>
        <v/>
      </c>
      <c r="J88" s="52" t="str">
        <f>IF(ADS!R183="","",ADS!R183)</f>
        <v>Đã bàn giao</v>
      </c>
      <c r="K88" s="52" t="str">
        <f t="array" ref="K88">IF(COUNTA(ADS!T183:AE183)=0,"",INDEX(ADS!T183:AE183,1,SUMPRODUCT(MAX((ADS!T183:AE183&lt;&gt;"")*(COLUMN(ADS!T183:AE183)-COLUMN(ADS!T183)+1)))))</f>
        <v/>
      </c>
      <c r="L88" s="52" t="str">
        <f>IF(AND(G88&lt;&gt;"",G88='Tổng hợp'!$C$4),MAX(L$1:L87)+1,"")</f>
        <v/>
      </c>
    </row>
    <row r="89" ht="15.75" customHeight="1">
      <c r="A89" s="52" t="str">
        <f>IF(ADS!C184="","","ADS")</f>
        <v>ADS</v>
      </c>
      <c r="B89" s="52" t="str">
        <f>IF(ADS!B184="","",ADS!B184)</f>
        <v>ADS-179</v>
      </c>
      <c r="C89" s="52" t="str">
        <f>IF(ADS!C184="","",ADS!C184)</f>
        <v>TKQC</v>
      </c>
      <c r="D89" s="135" t="str">
        <f>IF(ADS!D184="","",ADS!D184)</f>
        <v>1201540907040896</v>
      </c>
      <c r="E89" s="52" t="str">
        <f>IF(ADS!E184="","",ADS!E184)</f>
        <v>TKQC</v>
      </c>
      <c r="F89" s="52" t="str">
        <f>IF(ADS!F184="","",ADS!F184)</f>
        <v/>
      </c>
      <c r="G89" s="52" t="str">
        <f>IF(ADS!G184="","",ADS!G184)</f>
        <v>NGUYỄN XUÂN DŨNG</v>
      </c>
      <c r="H89" s="52" t="str">
        <f>IF(ADS!J184="","",ADS!J184)</f>
        <v>Thành viên</v>
      </c>
      <c r="I89" s="52" t="str">
        <f>IF(ADS!M184="","",ADS!M184)</f>
        <v/>
      </c>
      <c r="J89" s="52" t="str">
        <f>IF(ADS!R184="","",ADS!R184)</f>
        <v>Đã bàn giao</v>
      </c>
      <c r="K89" s="52" t="str">
        <f t="array" ref="K89">IF(COUNTA(ADS!T184:AE184)=0,"",INDEX(ADS!T184:AE184,1,SUMPRODUCT(MAX((ADS!T184:AE184&lt;&gt;"")*(COLUMN(ADS!T184:AE184)-COLUMN(ADS!T184)+1)))))</f>
        <v/>
      </c>
      <c r="L89" s="52" t="str">
        <f>IF(AND(G89&lt;&gt;"",G89='Tổng hợp'!$C$4),MAX(L$1:L88)+1,"")</f>
        <v/>
      </c>
    </row>
    <row r="90" ht="15.75" customHeight="1">
      <c r="A90" s="52" t="str">
        <f>IF(ADS!C185="","","ADS")</f>
        <v>ADS</v>
      </c>
      <c r="B90" s="52" t="str">
        <f>IF(ADS!B185="","",ADS!B185)</f>
        <v>ADS-180</v>
      </c>
      <c r="C90" s="52" t="str">
        <f>IF(ADS!C185="","",ADS!C185)</f>
        <v>TKQC</v>
      </c>
      <c r="D90" s="135" t="str">
        <f>IF(ADS!D185="","",ADS!D185)</f>
        <v>2076672173200597</v>
      </c>
      <c r="E90" s="52" t="str">
        <f>IF(ADS!E185="","",ADS!E185)</f>
        <v>TKQC</v>
      </c>
      <c r="F90" s="52" t="str">
        <f>IF(ADS!F185="","",ADS!F185)</f>
        <v/>
      </c>
      <c r="G90" s="52" t="str">
        <f>IF(ADS!G185="","",ADS!G185)</f>
        <v>NGUYỄN XUÂN DŨNG</v>
      </c>
      <c r="H90" s="52" t="str">
        <f>IF(ADS!J185="","",ADS!J185)</f>
        <v>Thành viên</v>
      </c>
      <c r="I90" s="52" t="str">
        <f>IF(ADS!M185="","",ADS!M185)</f>
        <v/>
      </c>
      <c r="J90" s="52" t="str">
        <f>IF(ADS!R185="","",ADS!R185)</f>
        <v>Đã bàn giao</v>
      </c>
      <c r="K90" s="52" t="str">
        <f t="array" ref="K90">IF(COUNTA(ADS!T185:AE185)=0,"",INDEX(ADS!T185:AE185,1,SUMPRODUCT(MAX((ADS!T185:AE185&lt;&gt;"")*(COLUMN(ADS!T185:AE185)-COLUMN(ADS!T185)+1)))))</f>
        <v/>
      </c>
      <c r="L90" s="52" t="str">
        <f>IF(AND(G90&lt;&gt;"",G90='Tổng hợp'!$C$4),MAX(L$1:L89)+1,"")</f>
        <v/>
      </c>
    </row>
    <row r="91" ht="15.75" customHeight="1">
      <c r="A91" s="52" t="str">
        <f>IF(ADS!C186="","","ADS")</f>
        <v>ADS</v>
      </c>
      <c r="B91" s="52" t="str">
        <f>IF(ADS!B186="","",ADS!B186)</f>
        <v>ADS-181</v>
      </c>
      <c r="C91" s="52" t="str">
        <f>IF(ADS!C186="","",ADS!C186)</f>
        <v>TKQC</v>
      </c>
      <c r="D91" s="135" t="str">
        <f>IF(ADS!D186="","",ADS!D186)</f>
        <v>1608429462852825</v>
      </c>
      <c r="E91" s="52" t="str">
        <f>IF(ADS!E186="","",ADS!E186)</f>
        <v>TKQC</v>
      </c>
      <c r="F91" s="52" t="str">
        <f>IF(ADS!F186="","",ADS!F186)</f>
        <v/>
      </c>
      <c r="G91" s="52" t="str">
        <f>IF(ADS!G186="","",ADS!G186)</f>
        <v>NGUYỄN XUÂN DŨNG</v>
      </c>
      <c r="H91" s="52" t="str">
        <f>IF(ADS!J186="","",ADS!J186)</f>
        <v>Thành viên</v>
      </c>
      <c r="I91" s="52" t="str">
        <f>IF(ADS!M186="","",ADS!M186)</f>
        <v/>
      </c>
      <c r="J91" s="52" t="str">
        <f>IF(ADS!R186="","",ADS!R186)</f>
        <v>Đã bàn giao</v>
      </c>
      <c r="K91" s="52" t="str">
        <f t="array" ref="K91">IF(COUNTA(ADS!T186:AE186)=0,"",INDEX(ADS!T186:AE186,1,SUMPRODUCT(MAX((ADS!T186:AE186&lt;&gt;"")*(COLUMN(ADS!T186:AE186)-COLUMN(ADS!T186)+1)))))</f>
        <v/>
      </c>
      <c r="L91" s="52" t="str">
        <f>IF(AND(G91&lt;&gt;"",G91='Tổng hợp'!$C$4),MAX(L$1:L90)+1,"")</f>
        <v/>
      </c>
    </row>
    <row r="92" ht="15.75" customHeight="1">
      <c r="A92" s="52" t="str">
        <f>IF(ADS!C187="","","ADS")</f>
        <v>ADS</v>
      </c>
      <c r="B92" s="52" t="str">
        <f>IF(ADS!B187="","",ADS!B187)</f>
        <v>ADS-182</v>
      </c>
      <c r="C92" s="52" t="str">
        <f>IF(ADS!C187="","",ADS!C187)</f>
        <v>TKQC</v>
      </c>
      <c r="D92" s="135" t="str">
        <f>IF(ADS!D187="","",ADS!D187)</f>
        <v>632462691384065</v>
      </c>
      <c r="E92" s="52" t="str">
        <f>IF(ADS!E187="","",ADS!E187)</f>
        <v>TKQC</v>
      </c>
      <c r="F92" s="52" t="str">
        <f>IF(ADS!F187="","",ADS!F187)</f>
        <v/>
      </c>
      <c r="G92" s="52" t="str">
        <f>IF(ADS!G187="","",ADS!G187)</f>
        <v>NGUYỄN XUÂN DŨNG</v>
      </c>
      <c r="H92" s="52" t="str">
        <f>IF(ADS!J187="","",ADS!J187)</f>
        <v>Thành viên</v>
      </c>
      <c r="I92" s="52" t="str">
        <f>IF(ADS!M187="","",ADS!M187)</f>
        <v/>
      </c>
      <c r="J92" s="52" t="str">
        <f>IF(ADS!R187="","",ADS!R187)</f>
        <v>Đã bàn giao</v>
      </c>
      <c r="K92" s="52" t="str">
        <f t="array" ref="K92">IF(COUNTA(ADS!T187:AE187)=0,"",INDEX(ADS!T187:AE187,1,SUMPRODUCT(MAX((ADS!T187:AE187&lt;&gt;"")*(COLUMN(ADS!T187:AE187)-COLUMN(ADS!T187)+1)))))</f>
        <v/>
      </c>
      <c r="L92" s="52" t="str">
        <f>IF(AND(G92&lt;&gt;"",G92='Tổng hợp'!$C$4),MAX(L$1:L91)+1,"")</f>
        <v/>
      </c>
    </row>
    <row r="93" ht="15.75" customHeight="1">
      <c r="A93" s="52" t="str">
        <f>IF(ADS!C188="","","ADS")</f>
        <v>ADS</v>
      </c>
      <c r="B93" s="52" t="str">
        <f>IF(ADS!B188="","",ADS!B188)</f>
        <v>ADS-183</v>
      </c>
      <c r="C93" s="52" t="str">
        <f>IF(ADS!C188="","",ADS!C188)</f>
        <v>TKQC</v>
      </c>
      <c r="D93" s="135" t="str">
        <f>IF(ADS!D188="","",ADS!D188)</f>
        <v>433488741847869</v>
      </c>
      <c r="E93" s="52" t="str">
        <f>IF(ADS!E188="","",ADS!E188)</f>
        <v>TKQC</v>
      </c>
      <c r="F93" s="52" t="str">
        <f>IF(ADS!F188="","",ADS!F188)</f>
        <v/>
      </c>
      <c r="G93" s="52" t="str">
        <f>IF(ADS!G188="","",ADS!G188)</f>
        <v>NGUYỄN XUÂN DŨNG</v>
      </c>
      <c r="H93" s="52" t="str">
        <f>IF(ADS!J188="","",ADS!J188)</f>
        <v>Thành viên</v>
      </c>
      <c r="I93" s="52" t="str">
        <f>IF(ADS!M188="","",ADS!M188)</f>
        <v/>
      </c>
      <c r="J93" s="52" t="str">
        <f>IF(ADS!R188="","",ADS!R188)</f>
        <v>Đã bàn giao</v>
      </c>
      <c r="K93" s="52" t="str">
        <f t="array" ref="K93">IF(COUNTA(ADS!T188:AE188)=0,"",INDEX(ADS!T188:AE188,1,SUMPRODUCT(MAX((ADS!T188:AE188&lt;&gt;"")*(COLUMN(ADS!T188:AE188)-COLUMN(ADS!T188)+1)))))</f>
        <v/>
      </c>
      <c r="L93" s="52" t="str">
        <f>IF(AND(G93&lt;&gt;"",G93='Tổng hợp'!$C$4),MAX(L$1:L92)+1,"")</f>
        <v/>
      </c>
    </row>
    <row r="94" ht="15.75" customHeight="1">
      <c r="A94" s="52" t="str">
        <f>IF(ADS!C189="","","ADS")</f>
        <v>ADS</v>
      </c>
      <c r="B94" s="52" t="str">
        <f>IF(ADS!B189="","",ADS!B189)</f>
        <v>ADS-184</v>
      </c>
      <c r="C94" s="52" t="str">
        <f>IF(ADS!C189="","",ADS!C189)</f>
        <v>TKQC</v>
      </c>
      <c r="D94" s="135" t="str">
        <f>IF(ADS!D189="","",ADS!D189)</f>
        <v>333785041979094</v>
      </c>
      <c r="E94" s="52" t="str">
        <f>IF(ADS!E189="","",ADS!E189)</f>
        <v>TKQC</v>
      </c>
      <c r="F94" s="52" t="str">
        <f>IF(ADS!F189="","",ADS!F189)</f>
        <v/>
      </c>
      <c r="G94" s="52" t="str">
        <f>IF(ADS!G189="","",ADS!G189)</f>
        <v>NGUYỄN XUÂN DŨNG</v>
      </c>
      <c r="H94" s="52" t="str">
        <f>IF(ADS!J189="","",ADS!J189)</f>
        <v>Thành viên</v>
      </c>
      <c r="I94" s="52" t="str">
        <f>IF(ADS!M189="","",ADS!M189)</f>
        <v/>
      </c>
      <c r="J94" s="52" t="str">
        <f>IF(ADS!R189="","",ADS!R189)</f>
        <v>Đã bàn giao</v>
      </c>
      <c r="K94" s="52" t="str">
        <f t="array" ref="K94">IF(COUNTA(ADS!T189:AE189)=0,"",INDEX(ADS!T189:AE189,1,SUMPRODUCT(MAX((ADS!T189:AE189&lt;&gt;"")*(COLUMN(ADS!T189:AE189)-COLUMN(ADS!T189)+1)))))</f>
        <v/>
      </c>
      <c r="L94" s="52" t="str">
        <f>IF(AND(G94&lt;&gt;"",G94='Tổng hợp'!$C$4),MAX(L$1:L93)+1,"")</f>
        <v/>
      </c>
    </row>
    <row r="95" ht="15.75" customHeight="1">
      <c r="A95" s="52" t="str">
        <f>IF(ADS!C190="","","ADS")</f>
        <v>ADS</v>
      </c>
      <c r="B95" s="52" t="str">
        <f>IF(ADS!B190="","",ADS!B190)</f>
        <v>ADS-185</v>
      </c>
      <c r="C95" s="52" t="str">
        <f>IF(ADS!C190="","",ADS!C190)</f>
        <v>TKQC</v>
      </c>
      <c r="D95" s="135" t="str">
        <f>IF(ADS!D190="","",ADS!D190)</f>
        <v>1698925651297955</v>
      </c>
      <c r="E95" s="52" t="str">
        <f>IF(ADS!E190="","",ADS!E190)</f>
        <v>TKQC</v>
      </c>
      <c r="F95" s="52" t="str">
        <f>IF(ADS!F190="","",ADS!F190)</f>
        <v/>
      </c>
      <c r="G95" s="52" t="str">
        <f>IF(ADS!G190="","",ADS!G190)</f>
        <v>NGUYỄN XUÂN DŨNG</v>
      </c>
      <c r="H95" s="52" t="str">
        <f>IF(ADS!J190="","",ADS!J190)</f>
        <v>Thành viên</v>
      </c>
      <c r="I95" s="52" t="str">
        <f>IF(ADS!M190="","",ADS!M190)</f>
        <v/>
      </c>
      <c r="J95" s="52" t="str">
        <f>IF(ADS!R190="","",ADS!R190)</f>
        <v>Đã bàn giao</v>
      </c>
      <c r="K95" s="52" t="str">
        <f t="array" ref="K95">IF(COUNTA(ADS!T190:AE190)=0,"",INDEX(ADS!T190:AE190,1,SUMPRODUCT(MAX((ADS!T190:AE190&lt;&gt;"")*(COLUMN(ADS!T190:AE190)-COLUMN(ADS!T190)+1)))))</f>
        <v/>
      </c>
      <c r="L95" s="52" t="str">
        <f>IF(AND(G95&lt;&gt;"",G95='Tổng hợp'!$C$4),MAX(L$1:L94)+1,"")</f>
        <v/>
      </c>
    </row>
    <row r="96" ht="15.75" customHeight="1">
      <c r="A96" s="52" t="str">
        <f>IF(ADS!C191="","","ADS")</f>
        <v>ADS</v>
      </c>
      <c r="B96" s="52" t="str">
        <f>IF(ADS!B191="","",ADS!B191)</f>
        <v>ADS-186</v>
      </c>
      <c r="C96" s="52" t="str">
        <f>IF(ADS!C191="","",ADS!C191)</f>
        <v>TKQC</v>
      </c>
      <c r="D96" s="79" t="str">
        <f>IF(ADS!D191="","",ADS!D191)</f>
        <v>1842371175949919</v>
      </c>
      <c r="E96" s="52" t="str">
        <f>IF(ADS!E191="","",ADS!E191)</f>
        <v>TKQC</v>
      </c>
      <c r="F96" s="52" t="str">
        <f>IF(ADS!F191="","",ADS!F191)</f>
        <v/>
      </c>
      <c r="G96" s="52" t="str">
        <f>IF(ADS!G191="","",ADS!G191)</f>
        <v>NGUYỄN XUÂN DŨNG</v>
      </c>
      <c r="H96" s="52" t="str">
        <f>IF(ADS!J191="","",ADS!J191)</f>
        <v>Thành viên</v>
      </c>
      <c r="I96" s="52" t="str">
        <f>IF(ADS!M191="","",ADS!M191)</f>
        <v/>
      </c>
      <c r="J96" s="52" t="str">
        <f>IF(ADS!R191="","",ADS!R191)</f>
        <v>Đã bàn giao</v>
      </c>
      <c r="K96" s="52" t="str">
        <f t="array" ref="K96">IF(COUNTA(ADS!T191:AE191)=0,"",INDEX(ADS!T191:AE191,1,SUMPRODUCT(MAX((ADS!T191:AE191&lt;&gt;"")*(COLUMN(ADS!T191:AE191)-COLUMN(ADS!T191)+1)))))</f>
        <v/>
      </c>
      <c r="L96" s="52" t="str">
        <f>IF(AND(G96&lt;&gt;"",G96='Tổng hợp'!$C$4),MAX(L$1:L95)+1,"")</f>
        <v/>
      </c>
    </row>
    <row r="97" ht="15.75" customHeight="1">
      <c r="A97" s="52" t="str">
        <f>IF(ADS!C192="","","ADS")</f>
        <v>ADS</v>
      </c>
      <c r="B97" s="52" t="str">
        <f>IF(ADS!B192="","",ADS!B192)</f>
        <v>ADS-187</v>
      </c>
      <c r="C97" s="52" t="str">
        <f>IF(ADS!C192="","",ADS!C192)</f>
        <v>TKQC</v>
      </c>
      <c r="D97" s="79" t="str">
        <f>IF(ADS!D192="","",ADS!D192)</f>
        <v>451829453087843</v>
      </c>
      <c r="E97" s="52" t="str">
        <f>IF(ADS!E192="","",ADS!E192)</f>
        <v>TKQC</v>
      </c>
      <c r="F97" s="52" t="str">
        <f>IF(ADS!F192="","",ADS!F192)</f>
        <v/>
      </c>
      <c r="G97" s="52" t="str">
        <f>IF(ADS!G192="","",ADS!G192)</f>
        <v>NGUYỄN XUÂN DŨNG</v>
      </c>
      <c r="H97" s="52" t="str">
        <f>IF(ADS!J192="","",ADS!J192)</f>
        <v>Thành viên</v>
      </c>
      <c r="I97" s="52" t="str">
        <f>IF(ADS!M192="","",ADS!M192)</f>
        <v/>
      </c>
      <c r="J97" s="52" t="str">
        <f>IF(ADS!R192="","",ADS!R192)</f>
        <v>Đã bàn giao</v>
      </c>
      <c r="K97" s="52" t="str">
        <f t="array" ref="K97">IF(COUNTA(ADS!T192:AE192)=0,"",INDEX(ADS!T192:AE192,1,SUMPRODUCT(MAX((ADS!T192:AE192&lt;&gt;"")*(COLUMN(ADS!T192:AE192)-COLUMN(ADS!T192)+1)))))</f>
        <v/>
      </c>
      <c r="L97" s="52" t="str">
        <f>IF(AND(G97&lt;&gt;"",G97='Tổng hợp'!$C$4),MAX(L$1:L96)+1,"")</f>
        <v/>
      </c>
    </row>
    <row r="98" ht="15.75" customHeight="1">
      <c r="A98" s="52" t="str">
        <f>IF(ADS!C193="","","ADS")</f>
        <v>ADS</v>
      </c>
      <c r="B98" s="52" t="str">
        <f>IF(ADS!B193="","",ADS!B193)</f>
        <v>ADS-188</v>
      </c>
      <c r="C98" s="52" t="str">
        <f>IF(ADS!C193="","",ADS!C193)</f>
        <v>TKQC</v>
      </c>
      <c r="D98" s="79" t="str">
        <f>IF(ADS!D193="","",ADS!D193)</f>
        <v>646775883035281</v>
      </c>
      <c r="E98" s="52" t="str">
        <f>IF(ADS!E193="","",ADS!E193)</f>
        <v>TKQC</v>
      </c>
      <c r="F98" s="52" t="str">
        <f>IF(ADS!F193="","",ADS!F193)</f>
        <v/>
      </c>
      <c r="G98" s="52" t="str">
        <f>IF(ADS!G193="","",ADS!G193)</f>
        <v>NGUYỄN XUÂN DŨNG</v>
      </c>
      <c r="H98" s="52" t="str">
        <f>IF(ADS!J193="","",ADS!J193)</f>
        <v>Thành viên</v>
      </c>
      <c r="I98" s="52" t="str">
        <f>IF(ADS!M193="","",ADS!M193)</f>
        <v/>
      </c>
      <c r="J98" s="52" t="str">
        <f>IF(ADS!R193="","",ADS!R193)</f>
        <v>Đã bàn giao</v>
      </c>
      <c r="K98" s="52" t="str">
        <f t="array" ref="K98">IF(COUNTA(ADS!T193:AE193)=0,"",INDEX(ADS!T193:AE193,1,SUMPRODUCT(MAX((ADS!T193:AE193&lt;&gt;"")*(COLUMN(ADS!T193:AE193)-COLUMN(ADS!T193)+1)))))</f>
        <v/>
      </c>
      <c r="L98" s="52" t="str">
        <f>IF(AND(G98&lt;&gt;"",G98='Tổng hợp'!$C$4),MAX(L$1:L97)+1,"")</f>
        <v/>
      </c>
    </row>
    <row r="99" ht="15.75" customHeight="1">
      <c r="A99" s="52" t="str">
        <f>IF(ADS!C194="","","ADS")</f>
        <v>ADS</v>
      </c>
      <c r="B99" s="52" t="str">
        <f>IF(ADS!B194="","",ADS!B194)</f>
        <v>ADS-189</v>
      </c>
      <c r="C99" s="52" t="str">
        <f>IF(ADS!C194="","",ADS!C194)</f>
        <v>TKQC</v>
      </c>
      <c r="D99" s="79" t="str">
        <f>IF(ADS!D194="","",ADS!D194)</f>
        <v>274527044748224</v>
      </c>
      <c r="E99" s="52" t="str">
        <f>IF(ADS!E194="","",ADS!E194)</f>
        <v>TKQC</v>
      </c>
      <c r="F99" s="52" t="str">
        <f>IF(ADS!F194="","",ADS!F194)</f>
        <v/>
      </c>
      <c r="G99" s="52" t="str">
        <f>IF(ADS!G194="","",ADS!G194)</f>
        <v>NGUYỄN XUÂN DŨNG</v>
      </c>
      <c r="H99" s="52" t="str">
        <f>IF(ADS!J194="","",ADS!J194)</f>
        <v>Thành viên</v>
      </c>
      <c r="I99" s="52" t="str">
        <f>IF(ADS!M194="","",ADS!M194)</f>
        <v/>
      </c>
      <c r="J99" s="52" t="str">
        <f>IF(ADS!R194="","",ADS!R194)</f>
        <v>Đã bàn giao</v>
      </c>
      <c r="K99" s="52" t="str">
        <f t="array" ref="K99">IF(COUNTA(ADS!T194:AE194)=0,"",INDEX(ADS!T194:AE194,1,SUMPRODUCT(MAX((ADS!T194:AE194&lt;&gt;"")*(COLUMN(ADS!T194:AE194)-COLUMN(ADS!T194)+1)))))</f>
        <v/>
      </c>
      <c r="L99" s="52" t="str">
        <f>IF(AND(G99&lt;&gt;"",G99='Tổng hợp'!$C$4),MAX(L$1:L98)+1,"")</f>
        <v/>
      </c>
    </row>
    <row r="100" ht="15.75" customHeight="1">
      <c r="A100" s="52" t="str">
        <f>IF(ADS!C195="","","ADS")</f>
        <v>ADS</v>
      </c>
      <c r="B100" s="52" t="str">
        <f>IF(ADS!B195="","",ADS!B195)</f>
        <v>ADS-190</v>
      </c>
      <c r="C100" s="52" t="str">
        <f>IF(ADS!C195="","",ADS!C195)</f>
        <v>TKQC</v>
      </c>
      <c r="D100" s="79" t="str">
        <f>IF(ADS!D195="","",ADS!D195)</f>
        <v>3016005675268976</v>
      </c>
      <c r="E100" s="52" t="str">
        <f>IF(ADS!E195="","",ADS!E195)</f>
        <v>TKQC</v>
      </c>
      <c r="F100" s="52" t="str">
        <f>IF(ADS!F195="","",ADS!F195)</f>
        <v/>
      </c>
      <c r="G100" s="52" t="str">
        <f>IF(ADS!G195="","",ADS!G195)</f>
        <v>NGUYỄN XUÂN DŨNG</v>
      </c>
      <c r="H100" s="52" t="str">
        <f>IF(ADS!J195="","",ADS!J195)</f>
        <v>Thành viên</v>
      </c>
      <c r="I100" s="52" t="str">
        <f>IF(ADS!M195="","",ADS!M195)</f>
        <v/>
      </c>
      <c r="J100" s="52" t="str">
        <f>IF(ADS!R195="","",ADS!R195)</f>
        <v>Đã bàn giao</v>
      </c>
      <c r="K100" s="52" t="str">
        <f t="array" ref="K100">IF(COUNTA(ADS!T195:AE195)=0,"",INDEX(ADS!T195:AE195,1,SUMPRODUCT(MAX((ADS!T195:AE195&lt;&gt;"")*(COLUMN(ADS!T195:AE195)-COLUMN(ADS!T195)+1)))))</f>
        <v/>
      </c>
      <c r="L100" s="52" t="str">
        <f>IF(AND(G100&lt;&gt;"",G100='Tổng hợp'!$C$4),MAX(L$1:L99)+1,"")</f>
        <v/>
      </c>
    </row>
    <row r="101" ht="15.75" customHeight="1">
      <c r="A101" s="52" t="str">
        <f>IF(ADS!C196="","","ADS")</f>
        <v>ADS</v>
      </c>
      <c r="B101" s="52" t="str">
        <f>IF(ADS!B196="","",ADS!B196)</f>
        <v>ADS-191</v>
      </c>
      <c r="C101" s="52" t="str">
        <f>IF(ADS!C196="","",ADS!C196)</f>
        <v>TKQC</v>
      </c>
      <c r="D101" s="79" t="str">
        <f>IF(ADS!D196="","",ADS!D196)</f>
        <v>1605135593881565</v>
      </c>
      <c r="E101" s="52" t="str">
        <f>IF(ADS!E196="","",ADS!E196)</f>
        <v>TKQC</v>
      </c>
      <c r="F101" s="52" t="str">
        <f>IF(ADS!F196="","",ADS!F196)</f>
        <v/>
      </c>
      <c r="G101" s="52" t="str">
        <f>IF(ADS!G196="","",ADS!G196)</f>
        <v>NGUYỄN XUÂN DŨNG</v>
      </c>
      <c r="H101" s="52" t="str">
        <f>IF(ADS!J196="","",ADS!J196)</f>
        <v>Thành viên</v>
      </c>
      <c r="I101" s="52" t="str">
        <f>IF(ADS!M196="","",ADS!M196)</f>
        <v/>
      </c>
      <c r="J101" s="52" t="str">
        <f>IF(ADS!R196="","",ADS!R196)</f>
        <v>Đã bàn giao</v>
      </c>
      <c r="K101" s="52" t="str">
        <f t="array" ref="K101">IF(COUNTA(ADS!T196:AE196)=0,"",INDEX(ADS!T196:AE196,1,SUMPRODUCT(MAX((ADS!T196:AE196&lt;&gt;"")*(COLUMN(ADS!T196:AE196)-COLUMN(ADS!T196)+1)))))</f>
        <v/>
      </c>
      <c r="L101" s="52" t="str">
        <f>IF(AND(G101&lt;&gt;"",G101='Tổng hợp'!$C$4),MAX(L$1:L100)+1,"")</f>
        <v/>
      </c>
    </row>
    <row r="102" ht="15.75" customHeight="1">
      <c r="A102" s="52" t="str">
        <f>IF(ADS!C197="","","ADS")</f>
        <v/>
      </c>
      <c r="B102" s="52" t="str">
        <f>IF(ADS!B197="","",ADS!B197)</f>
        <v/>
      </c>
      <c r="C102" s="52" t="str">
        <f>IF(ADS!C197="","",ADS!C197)</f>
        <v/>
      </c>
      <c r="D102" s="52" t="str">
        <f>IF(ADS!D197="","",ADS!D197)</f>
        <v/>
      </c>
      <c r="E102" s="52" t="str">
        <f>IF(ADS!E197="","",ADS!E197)</f>
        <v/>
      </c>
      <c r="F102" s="52" t="str">
        <f>IF(ADS!F197="","",ADS!F197)</f>
        <v/>
      </c>
      <c r="G102" s="52" t="str">
        <f>IF(ADS!G197="","",ADS!G197)</f>
        <v/>
      </c>
      <c r="H102" s="52" t="str">
        <f>IF(ADS!J197="","",ADS!J197)</f>
        <v/>
      </c>
      <c r="I102" s="52" t="str">
        <f>IF(ADS!M197="","",ADS!M197)</f>
        <v/>
      </c>
      <c r="J102" s="52" t="str">
        <f>IF(ADS!R197="","",ADS!R197)</f>
        <v/>
      </c>
      <c r="K102" s="52" t="str">
        <f t="array" ref="K102">IF(COUNTA(ADS!T197:AE197)=0,"",INDEX(ADS!T197:AE197,1,SUMPRODUCT(MAX((ADS!T197:AE197&lt;&gt;"")*(COLUMN(ADS!T197:AE197)-COLUMN(ADS!T197)+1)))))</f>
        <v/>
      </c>
      <c r="L102" s="52" t="str">
        <f>IF(AND(G102&lt;&gt;"",G102='Tổng hợp'!$C$4),MAX(L$1:L101)+1,"")</f>
        <v/>
      </c>
    </row>
    <row r="103" ht="15.75" customHeight="1">
      <c r="A103" s="52" t="str">
        <f>IF(ADS!C198="","","ADS")</f>
        <v/>
      </c>
      <c r="B103" s="52" t="str">
        <f>IF(ADS!B198="","",ADS!B198)</f>
        <v/>
      </c>
      <c r="C103" s="52" t="str">
        <f>IF(ADS!C198="","",ADS!C198)</f>
        <v/>
      </c>
      <c r="D103" s="52" t="str">
        <f>IF(ADS!D198="","",ADS!D198)</f>
        <v/>
      </c>
      <c r="E103" s="52" t="str">
        <f>IF(ADS!E198="","",ADS!E198)</f>
        <v/>
      </c>
      <c r="F103" s="52" t="str">
        <f>IF(ADS!F198="","",ADS!F198)</f>
        <v/>
      </c>
      <c r="G103" s="52" t="str">
        <f>IF(ADS!G198="","",ADS!G198)</f>
        <v/>
      </c>
      <c r="H103" s="52" t="str">
        <f>IF(ADS!J198="","",ADS!J198)</f>
        <v/>
      </c>
      <c r="I103" s="52" t="str">
        <f>IF(ADS!M198="","",ADS!M198)</f>
        <v/>
      </c>
      <c r="J103" s="52" t="str">
        <f>IF(ADS!R198="","",ADS!R198)</f>
        <v/>
      </c>
      <c r="K103" s="52" t="str">
        <f t="array" ref="K103">IF(COUNTA(ADS!T198:AE198)=0,"",INDEX(ADS!T198:AE198,1,SUMPRODUCT(MAX((ADS!T198:AE198&lt;&gt;"")*(COLUMN(ADS!T198:AE198)-COLUMN(ADS!T198)+1)))))</f>
        <v/>
      </c>
      <c r="L103" s="52" t="str">
        <f>IF(AND(G103&lt;&gt;"",G103='Tổng hợp'!$C$4),MAX(L$1:L102)+1,"")</f>
        <v/>
      </c>
    </row>
    <row r="104" ht="15.75" customHeight="1">
      <c r="A104" s="52" t="str">
        <f>IF(ADS!C199="","","ADS")</f>
        <v/>
      </c>
      <c r="B104" s="52" t="str">
        <f>IF(ADS!B199="","",ADS!B199)</f>
        <v/>
      </c>
      <c r="C104" s="52" t="str">
        <f>IF(ADS!C199="","",ADS!C199)</f>
        <v/>
      </c>
      <c r="D104" s="52" t="str">
        <f>IF(ADS!D199="","",ADS!D199)</f>
        <v/>
      </c>
      <c r="E104" s="52" t="str">
        <f>IF(ADS!E199="","",ADS!E199)</f>
        <v/>
      </c>
      <c r="F104" s="52" t="str">
        <f>IF(ADS!F199="","",ADS!F199)</f>
        <v/>
      </c>
      <c r="G104" s="52" t="str">
        <f>IF(ADS!G199="","",ADS!G199)</f>
        <v/>
      </c>
      <c r="H104" s="52" t="str">
        <f>IF(ADS!J199="","",ADS!J199)</f>
        <v/>
      </c>
      <c r="I104" s="52" t="str">
        <f>IF(ADS!M199="","",ADS!M199)</f>
        <v/>
      </c>
      <c r="J104" s="52" t="str">
        <f>IF(ADS!R199="","",ADS!R199)</f>
        <v/>
      </c>
      <c r="K104" s="52" t="str">
        <f t="array" ref="K104">IF(COUNTA(ADS!T199:AE199)=0,"",INDEX(ADS!T199:AE199,1,SUMPRODUCT(MAX((ADS!T199:AE199&lt;&gt;"")*(COLUMN(ADS!T199:AE199)-COLUMN(ADS!T199)+1)))))</f>
        <v/>
      </c>
      <c r="L104" s="52" t="str">
        <f>IF(AND(G104&lt;&gt;"",G104='Tổng hợp'!$C$4),MAX(L$1:L103)+1,"")</f>
        <v/>
      </c>
    </row>
    <row r="105" ht="15.75" customHeight="1">
      <c r="A105" s="52" t="str">
        <f>IF(ADS!C200="","","ADS")</f>
        <v/>
      </c>
      <c r="B105" s="52" t="str">
        <f>IF(ADS!B200="","",ADS!B200)</f>
        <v/>
      </c>
      <c r="C105" s="52" t="str">
        <f>IF(ADS!C200="","",ADS!C200)</f>
        <v/>
      </c>
      <c r="D105" s="52" t="str">
        <f>IF(ADS!D200="","",ADS!D200)</f>
        <v/>
      </c>
      <c r="E105" s="52" t="str">
        <f>IF(ADS!E200="","",ADS!E200)</f>
        <v/>
      </c>
      <c r="F105" s="52" t="str">
        <f>IF(ADS!F200="","",ADS!F200)</f>
        <v/>
      </c>
      <c r="G105" s="52" t="str">
        <f>IF(ADS!G200="","",ADS!G200)</f>
        <v/>
      </c>
      <c r="H105" s="52" t="str">
        <f>IF(ADS!J200="","",ADS!J200)</f>
        <v/>
      </c>
      <c r="I105" s="52" t="str">
        <f>IF(ADS!M200="","",ADS!M200)</f>
        <v/>
      </c>
      <c r="J105" s="52" t="str">
        <f>IF(ADS!R200="","",ADS!R200)</f>
        <v/>
      </c>
      <c r="K105" s="52" t="str">
        <f t="array" ref="K105">IF(COUNTA(ADS!T200:AE200)=0,"",INDEX(ADS!T200:AE200,1,SUMPRODUCT(MAX((ADS!T200:AE200&lt;&gt;"")*(COLUMN(ADS!T200:AE200)-COLUMN(ADS!T200)+1)))))</f>
        <v/>
      </c>
      <c r="L105" s="52" t="str">
        <f>IF(AND(G105&lt;&gt;"",G105='Tổng hợp'!$C$4),MAX(L$1:L104)+1,"")</f>
        <v/>
      </c>
    </row>
    <row r="106" ht="15.75" customHeight="1">
      <c r="A106" s="52" t="str">
        <f>IF(ADS!C201="","","ADS")</f>
        <v/>
      </c>
      <c r="B106" s="52" t="str">
        <f>IF(ADS!B201="","",ADS!B201)</f>
        <v/>
      </c>
      <c r="C106" s="52" t="str">
        <f>IF(ADS!C201="","",ADS!C201)</f>
        <v/>
      </c>
      <c r="D106" s="52" t="str">
        <f>IF(ADS!D201="","",ADS!D201)</f>
        <v/>
      </c>
      <c r="E106" s="52" t="str">
        <f>IF(ADS!E201="","",ADS!E201)</f>
        <v/>
      </c>
      <c r="F106" s="52" t="str">
        <f>IF(ADS!F201="","",ADS!F201)</f>
        <v/>
      </c>
      <c r="G106" s="52" t="str">
        <f>IF(ADS!G201="","",ADS!G201)</f>
        <v/>
      </c>
      <c r="H106" s="52" t="str">
        <f>IF(ADS!J201="","",ADS!J201)</f>
        <v/>
      </c>
      <c r="I106" s="52" t="str">
        <f>IF(ADS!M201="","",ADS!M201)</f>
        <v/>
      </c>
      <c r="J106" s="52" t="str">
        <f>IF(ADS!R201="","",ADS!R201)</f>
        <v/>
      </c>
      <c r="K106" s="52" t="str">
        <f t="array" ref="K106">IF(COUNTA(ADS!T201:AE201)=0,"",INDEX(ADS!T201:AE201,1,SUMPRODUCT(MAX((ADS!T201:AE201&lt;&gt;"")*(COLUMN(ADS!T201:AE201)-COLUMN(ADS!T201)+1)))))</f>
        <v/>
      </c>
      <c r="L106" s="52" t="str">
        <f>IF(AND(G106&lt;&gt;"",G106='Tổng hợp'!$C$4),MAX(L$1:L105)+1,"")</f>
        <v/>
      </c>
    </row>
    <row r="107" ht="15.75" customHeight="1">
      <c r="A107" s="52" t="str">
        <f>IF(ADS!C202="","","ADS")</f>
        <v/>
      </c>
      <c r="B107" s="52" t="str">
        <f>IF(ADS!B202="","",ADS!B202)</f>
        <v/>
      </c>
      <c r="C107" s="52" t="str">
        <f>IF(ADS!C202="","",ADS!C202)</f>
        <v/>
      </c>
      <c r="D107" s="52" t="str">
        <f>IF(ADS!D202="","",ADS!D202)</f>
        <v/>
      </c>
      <c r="E107" s="52" t="str">
        <f>IF(ADS!E202="","",ADS!E202)</f>
        <v/>
      </c>
      <c r="F107" s="52" t="str">
        <f>IF(ADS!F202="","",ADS!F202)</f>
        <v/>
      </c>
      <c r="G107" s="52" t="str">
        <f>IF(ADS!G202="","",ADS!G202)</f>
        <v/>
      </c>
      <c r="H107" s="52" t="str">
        <f>IF(ADS!J202="","",ADS!J202)</f>
        <v/>
      </c>
      <c r="I107" s="52" t="str">
        <f>IF(ADS!M202="","",ADS!M202)</f>
        <v/>
      </c>
      <c r="J107" s="52" t="str">
        <f>IF(ADS!R202="","",ADS!R202)</f>
        <v/>
      </c>
      <c r="K107" s="52" t="str">
        <f t="array" ref="K107">IF(COUNTA(ADS!T202:AE202)=0,"",INDEX(ADS!T202:AE202,1,SUMPRODUCT(MAX((ADS!T202:AE202&lt;&gt;"")*(COLUMN(ADS!T202:AE202)-COLUMN(ADS!T202)+1)))))</f>
        <v/>
      </c>
      <c r="L107" s="52" t="str">
        <f>IF(AND(G107&lt;&gt;"",G107='Tổng hợp'!$C$4),MAX(L$1:L106)+1,"")</f>
        <v/>
      </c>
    </row>
    <row r="108" ht="15.75" customHeight="1">
      <c r="A108" s="52" t="str">
        <f>IF(ADS!C203="","","ADS")</f>
        <v/>
      </c>
      <c r="B108" s="52" t="str">
        <f>IF(ADS!B203="","",ADS!B203)</f>
        <v/>
      </c>
      <c r="C108" s="52" t="str">
        <f>IF(ADS!C203="","",ADS!C203)</f>
        <v/>
      </c>
      <c r="D108" s="52" t="str">
        <f>IF(ADS!D203="","",ADS!D203)</f>
        <v/>
      </c>
      <c r="E108" s="52" t="str">
        <f>IF(ADS!E203="","",ADS!E203)</f>
        <v/>
      </c>
      <c r="F108" s="52" t="str">
        <f>IF(ADS!F203="","",ADS!F203)</f>
        <v/>
      </c>
      <c r="G108" s="52" t="str">
        <f>IF(ADS!G203="","",ADS!G203)</f>
        <v/>
      </c>
      <c r="H108" s="52" t="str">
        <f>IF(ADS!J203="","",ADS!J203)</f>
        <v/>
      </c>
      <c r="I108" s="52" t="str">
        <f>IF(ADS!M203="","",ADS!M203)</f>
        <v/>
      </c>
      <c r="J108" s="52" t="str">
        <f>IF(ADS!R203="","",ADS!R203)</f>
        <v/>
      </c>
      <c r="K108" s="52" t="str">
        <f t="array" ref="K108">IF(COUNTA(ADS!T203:AE203)=0,"",INDEX(ADS!T203:AE203,1,SUMPRODUCT(MAX((ADS!T203:AE203&lt;&gt;"")*(COLUMN(ADS!T203:AE203)-COLUMN(ADS!T203)+1)))))</f>
        <v/>
      </c>
      <c r="L108" s="52" t="str">
        <f>IF(AND(G108&lt;&gt;"",G108='Tổng hợp'!$C$4),MAX(L$1:L107)+1,"")</f>
        <v/>
      </c>
    </row>
    <row r="109" ht="15.75" customHeight="1">
      <c r="A109" s="52" t="str">
        <f>IF(ADS!C204="","","ADS")</f>
        <v/>
      </c>
      <c r="B109" s="52" t="str">
        <f>IF(ADS!B204="","",ADS!B204)</f>
        <v/>
      </c>
      <c r="C109" s="52" t="str">
        <f>IF(ADS!C204="","",ADS!C204)</f>
        <v/>
      </c>
      <c r="D109" s="52" t="str">
        <f>IF(ADS!D204="","",ADS!D204)</f>
        <v/>
      </c>
      <c r="E109" s="52" t="str">
        <f>IF(ADS!E204="","",ADS!E204)</f>
        <v/>
      </c>
      <c r="F109" s="52" t="str">
        <f>IF(ADS!F204="","",ADS!F204)</f>
        <v/>
      </c>
      <c r="G109" s="52" t="str">
        <f>IF(ADS!G204="","",ADS!G204)</f>
        <v/>
      </c>
      <c r="H109" s="52" t="str">
        <f>IF(ADS!J204="","",ADS!J204)</f>
        <v/>
      </c>
      <c r="I109" s="52" t="str">
        <f>IF(ADS!M204="","",ADS!M204)</f>
        <v/>
      </c>
      <c r="J109" s="52" t="str">
        <f>IF(ADS!R204="","",ADS!R204)</f>
        <v/>
      </c>
      <c r="K109" s="52" t="str">
        <f t="array" ref="K109">IF(COUNTA(ADS!T204:AE204)=0,"",INDEX(ADS!T204:AE204,1,SUMPRODUCT(MAX((ADS!T204:AE204&lt;&gt;"")*(COLUMN(ADS!T204:AE204)-COLUMN(ADS!T204)+1)))))</f>
        <v/>
      </c>
      <c r="L109" s="52" t="str">
        <f>IF(AND(G109&lt;&gt;"",G109='Tổng hợp'!$C$4),MAX(L$1:L108)+1,"")</f>
        <v/>
      </c>
    </row>
    <row r="110" ht="15.75" customHeight="1">
      <c r="A110" s="52" t="str">
        <f>IF(ADS!C205="","","ADS")</f>
        <v/>
      </c>
      <c r="B110" s="52" t="str">
        <f>IF(ADS!B205="","",ADS!B205)</f>
        <v/>
      </c>
      <c r="C110" s="52" t="str">
        <f>IF(ADS!C205="","",ADS!C205)</f>
        <v/>
      </c>
      <c r="D110" s="52" t="str">
        <f>IF(ADS!D205="","",ADS!D205)</f>
        <v/>
      </c>
      <c r="E110" s="52" t="str">
        <f>IF(ADS!E205="","",ADS!E205)</f>
        <v/>
      </c>
      <c r="F110" s="52" t="str">
        <f>IF(ADS!F205="","",ADS!F205)</f>
        <v/>
      </c>
      <c r="G110" s="52" t="str">
        <f>IF(ADS!G205="","",ADS!G205)</f>
        <v/>
      </c>
      <c r="H110" s="52" t="str">
        <f>IF(ADS!J205="","",ADS!J205)</f>
        <v/>
      </c>
      <c r="I110" s="52" t="str">
        <f>IF(ADS!M205="","",ADS!M205)</f>
        <v/>
      </c>
      <c r="J110" s="52" t="str">
        <f>IF(ADS!R205="","",ADS!R205)</f>
        <v/>
      </c>
      <c r="K110" s="52" t="str">
        <f t="array" ref="K110">IF(COUNTA(ADS!T205:AE205)=0,"",INDEX(ADS!T205:AE205,1,SUMPRODUCT(MAX((ADS!T205:AE205&lt;&gt;"")*(COLUMN(ADS!T205:AE205)-COLUMN(ADS!T205)+1)))))</f>
        <v/>
      </c>
      <c r="L110" s="52" t="str">
        <f>IF(AND(G110&lt;&gt;"",G110='Tổng hợp'!$C$4),MAX(L$1:L109)+1,"")</f>
        <v/>
      </c>
    </row>
    <row r="111" ht="15.75" customHeight="1">
      <c r="A111" s="52" t="str">
        <f>IF(ADS!C206="","","ADS")</f>
        <v/>
      </c>
      <c r="B111" s="52" t="str">
        <f>IF(ADS!B206="","",ADS!B206)</f>
        <v/>
      </c>
      <c r="C111" s="52" t="str">
        <f>IF(ADS!C206="","",ADS!C206)</f>
        <v/>
      </c>
      <c r="D111" s="52" t="str">
        <f>IF(ADS!D206="","",ADS!D206)</f>
        <v/>
      </c>
      <c r="E111" s="52" t="str">
        <f>IF(ADS!E206="","",ADS!E206)</f>
        <v/>
      </c>
      <c r="F111" s="52" t="str">
        <f>IF(ADS!F206="","",ADS!F206)</f>
        <v/>
      </c>
      <c r="G111" s="52" t="str">
        <f>IF(ADS!G206="","",ADS!G206)</f>
        <v/>
      </c>
      <c r="H111" s="52" t="str">
        <f>IF(ADS!J206="","",ADS!J206)</f>
        <v/>
      </c>
      <c r="I111" s="52" t="str">
        <f>IF(ADS!M206="","",ADS!M206)</f>
        <v/>
      </c>
      <c r="J111" s="52" t="str">
        <f>IF(ADS!R206="","",ADS!R206)</f>
        <v/>
      </c>
      <c r="K111" s="52" t="str">
        <f t="array" ref="K111">IF(COUNTA(ADS!T206:AE206)=0,"",INDEX(ADS!T206:AE206,1,SUMPRODUCT(MAX((ADS!T206:AE206&lt;&gt;"")*(COLUMN(ADS!T206:AE206)-COLUMN(ADS!T206)+1)))))</f>
        <v/>
      </c>
      <c r="L111" s="52" t="str">
        <f>IF(AND(G111&lt;&gt;"",G111='Tổng hợp'!$C$4),MAX(L$1:L110)+1,"")</f>
        <v/>
      </c>
    </row>
    <row r="112" ht="15.75" customHeight="1">
      <c r="A112" s="52" t="str">
        <f>IF(ADS!C207="","","ADS")</f>
        <v/>
      </c>
      <c r="B112" s="52" t="str">
        <f>IF(ADS!B207="","",ADS!B207)</f>
        <v/>
      </c>
      <c r="C112" s="52" t="str">
        <f>IF(ADS!C207="","",ADS!C207)</f>
        <v/>
      </c>
      <c r="D112" s="52" t="str">
        <f>IF(ADS!D207="","",ADS!D207)</f>
        <v/>
      </c>
      <c r="E112" s="52" t="str">
        <f>IF(ADS!E207="","",ADS!E207)</f>
        <v/>
      </c>
      <c r="F112" s="52" t="str">
        <f>IF(ADS!F207="","",ADS!F207)</f>
        <v/>
      </c>
      <c r="G112" s="52" t="str">
        <f>IF(ADS!G207="","",ADS!G207)</f>
        <v/>
      </c>
      <c r="H112" s="52" t="str">
        <f>IF(ADS!J207="","",ADS!J207)</f>
        <v/>
      </c>
      <c r="I112" s="52" t="str">
        <f>IF(ADS!M207="","",ADS!M207)</f>
        <v/>
      </c>
      <c r="J112" s="52" t="str">
        <f>IF(ADS!R207="","",ADS!R207)</f>
        <v/>
      </c>
      <c r="K112" s="52" t="str">
        <f t="array" ref="K112">IF(COUNTA(ADS!T207:AE207)=0,"",INDEX(ADS!T207:AE207,1,SUMPRODUCT(MAX((ADS!T207:AE207&lt;&gt;"")*(COLUMN(ADS!T207:AE207)-COLUMN(ADS!T207)+1)))))</f>
        <v/>
      </c>
      <c r="L112" s="52" t="str">
        <f>IF(AND(G112&lt;&gt;"",G112='Tổng hợp'!$C$4),MAX(L$1:L111)+1,"")</f>
        <v/>
      </c>
    </row>
    <row r="113" ht="15.75" customHeight="1">
      <c r="A113" s="52" t="str">
        <f>IF(ADS!C208="","","ADS")</f>
        <v/>
      </c>
      <c r="B113" s="52" t="str">
        <f>IF(ADS!B208="","",ADS!B208)</f>
        <v/>
      </c>
      <c r="C113" s="52" t="str">
        <f>IF(ADS!C208="","",ADS!C208)</f>
        <v/>
      </c>
      <c r="D113" s="52" t="str">
        <f>IF(ADS!D208="","",ADS!D208)</f>
        <v/>
      </c>
      <c r="E113" s="52" t="str">
        <f>IF(ADS!E208="","",ADS!E208)</f>
        <v/>
      </c>
      <c r="F113" s="52" t="str">
        <f>IF(ADS!F208="","",ADS!F208)</f>
        <v/>
      </c>
      <c r="G113" s="52" t="str">
        <f>IF(ADS!G208="","",ADS!G208)</f>
        <v/>
      </c>
      <c r="H113" s="52" t="str">
        <f>IF(ADS!J208="","",ADS!J208)</f>
        <v/>
      </c>
      <c r="I113" s="52" t="str">
        <f>IF(ADS!M208="","",ADS!M208)</f>
        <v/>
      </c>
      <c r="J113" s="52" t="str">
        <f>IF(ADS!R208="","",ADS!R208)</f>
        <v/>
      </c>
      <c r="K113" s="52" t="str">
        <f t="array" ref="K113">IF(COUNTA(ADS!T208:AE208)=0,"",INDEX(ADS!T208:AE208,1,SUMPRODUCT(MAX((ADS!T208:AE208&lt;&gt;"")*(COLUMN(ADS!T208:AE208)-COLUMN(ADS!T208)+1)))))</f>
        <v/>
      </c>
      <c r="L113" s="52" t="str">
        <f>IF(AND(G113&lt;&gt;"",G113='Tổng hợp'!$C$4),MAX(L$1:L112)+1,"")</f>
        <v/>
      </c>
    </row>
    <row r="114" ht="15.75" customHeight="1">
      <c r="A114" s="52" t="str">
        <f>IF(ADS!C209="","","ADS")</f>
        <v/>
      </c>
      <c r="B114" s="52" t="str">
        <f>IF(ADS!B209="","",ADS!B209)</f>
        <v/>
      </c>
      <c r="C114" s="52" t="str">
        <f>IF(ADS!C209="","",ADS!C209)</f>
        <v/>
      </c>
      <c r="D114" s="52" t="str">
        <f>IF(ADS!D209="","",ADS!D209)</f>
        <v/>
      </c>
      <c r="E114" s="52" t="str">
        <f>IF(ADS!E209="","",ADS!E209)</f>
        <v/>
      </c>
      <c r="F114" s="52" t="str">
        <f>IF(ADS!F209="","",ADS!F209)</f>
        <v/>
      </c>
      <c r="G114" s="52" t="str">
        <f>IF(ADS!G209="","",ADS!G209)</f>
        <v/>
      </c>
      <c r="H114" s="52" t="str">
        <f>IF(ADS!J209="","",ADS!J209)</f>
        <v/>
      </c>
      <c r="I114" s="52" t="str">
        <f>IF(ADS!M209="","",ADS!M209)</f>
        <v/>
      </c>
      <c r="J114" s="52" t="str">
        <f>IF(ADS!R209="","",ADS!R209)</f>
        <v/>
      </c>
      <c r="K114" s="52" t="str">
        <f t="array" ref="K114">IF(COUNTA(ADS!T209:AE209)=0,"",INDEX(ADS!T209:AE209,1,SUMPRODUCT(MAX((ADS!T209:AE209&lt;&gt;"")*(COLUMN(ADS!T209:AE209)-COLUMN(ADS!T209)+1)))))</f>
        <v/>
      </c>
      <c r="L114" s="52" t="str">
        <f>IF(AND(G114&lt;&gt;"",G114='Tổng hợp'!$C$4),MAX(L$1:L113)+1,"")</f>
        <v/>
      </c>
    </row>
    <row r="115" ht="15.75" customHeight="1">
      <c r="A115" s="52" t="str">
        <f>IF(ADS!C210="","","ADS")</f>
        <v>ADS</v>
      </c>
      <c r="B115" s="52" t="str">
        <f>IF(ADS!B210="","",ADS!B210)</f>
        <v>ADS-205</v>
      </c>
      <c r="C115" s="52" t="str">
        <f>IF(ADS!C210="","",ADS!C210)</f>
        <v>TKQC</v>
      </c>
      <c r="D115" s="79" t="str">
        <f>IF(ADS!D210="","",ADS!D210)</f>
        <v>1595067184942171</v>
      </c>
      <c r="E115" s="52" t="str">
        <f>IF(ADS!E210="","",ADS!E210)</f>
        <v>TKQC</v>
      </c>
      <c r="F115" s="52" t="str">
        <f>IF(ADS!F210="","",ADS!F210)</f>
        <v/>
      </c>
      <c r="G115" s="52" t="str">
        <f>IF(ADS!G210="","",ADS!G210)</f>
        <v>TRẦN HIỆP</v>
      </c>
      <c r="H115" s="52" t="str">
        <f>IF(ADS!J210="","",ADS!J210)</f>
        <v>Thành viên</v>
      </c>
      <c r="I115" s="52" t="str">
        <f>IF(ADS!M210="","",ADS!M210)</f>
        <v/>
      </c>
      <c r="J115" s="52" t="str">
        <f>IF(ADS!R210="","",ADS!R210)</f>
        <v/>
      </c>
      <c r="K115" s="52" t="str">
        <f t="array" ref="K115">IF(COUNTA(ADS!T210:AE210)=0,"",INDEX(ADS!T210:AE210,1,SUMPRODUCT(MAX((ADS!T210:AE210&lt;&gt;"")*(COLUMN(ADS!T210:AE210)-COLUMN(ADS!T210)+1)))))</f>
        <v/>
      </c>
      <c r="L115" s="52" t="str">
        <f>IF(AND(G115&lt;&gt;"",G115='Tổng hợp'!$C$4),MAX(L$1:L114)+1,"")</f>
        <v/>
      </c>
    </row>
    <row r="116" ht="15.75" customHeight="1">
      <c r="A116" s="52" t="str">
        <f>IF(ADS!C211="","","ADS")</f>
        <v>ADS</v>
      </c>
      <c r="B116" s="52" t="str">
        <f>IF(ADS!B211="","",ADS!B211)</f>
        <v>ADS-206</v>
      </c>
      <c r="C116" s="52" t="str">
        <f>IF(ADS!C211="","",ADS!C211)</f>
        <v>TKQC</v>
      </c>
      <c r="D116" s="79" t="str">
        <f>IF(ADS!D211="","",ADS!D211)</f>
        <v>887107297720638</v>
      </c>
      <c r="E116" s="52" t="str">
        <f>IF(ADS!E211="","",ADS!E211)</f>
        <v>TKQC</v>
      </c>
      <c r="F116" s="52" t="str">
        <f>IF(ADS!F211="","",ADS!F211)</f>
        <v/>
      </c>
      <c r="G116" s="52" t="str">
        <f>IF(ADS!G211="","",ADS!G211)</f>
        <v>TRẦN HIỆP</v>
      </c>
      <c r="H116" s="52" t="str">
        <f>IF(ADS!J211="","",ADS!J211)</f>
        <v>Thành viên</v>
      </c>
      <c r="I116" s="52" t="str">
        <f>IF(ADS!M211="","",ADS!M211)</f>
        <v/>
      </c>
      <c r="J116" s="52" t="str">
        <f>IF(ADS!R211="","",ADS!R211)</f>
        <v/>
      </c>
      <c r="K116" s="52" t="str">
        <f t="array" ref="K116">IF(COUNTA(ADS!T211:AE211)=0,"",INDEX(ADS!T211:AE211,1,SUMPRODUCT(MAX((ADS!T211:AE211&lt;&gt;"")*(COLUMN(ADS!T211:AE211)-COLUMN(ADS!T211)+1)))))</f>
        <v/>
      </c>
      <c r="L116" s="52" t="str">
        <f>IF(AND(G116&lt;&gt;"",G116='Tổng hợp'!$C$4),MAX(L$1:L115)+1,"")</f>
        <v/>
      </c>
    </row>
    <row r="117" ht="15.75" customHeight="1">
      <c r="A117" s="52" t="str">
        <f>IF(ADS!C212="","","ADS")</f>
        <v>ADS</v>
      </c>
      <c r="B117" s="52" t="str">
        <f>IF(ADS!B212="","",ADS!B212)</f>
        <v>ADS-207</v>
      </c>
      <c r="C117" s="52" t="str">
        <f>IF(ADS!C212="","",ADS!C212)</f>
        <v>TKQC</v>
      </c>
      <c r="D117" s="79" t="str">
        <f>IF(ADS!D212="","",ADS!D212)</f>
        <v>34995964776718540</v>
      </c>
      <c r="E117" s="52" t="str">
        <f>IF(ADS!E212="","",ADS!E212)</f>
        <v>TKQC</v>
      </c>
      <c r="F117" s="52" t="str">
        <f>IF(ADS!F212="","",ADS!F212)</f>
        <v/>
      </c>
      <c r="G117" s="52" t="str">
        <f>IF(ADS!G212="","",ADS!G212)</f>
        <v>TRẦN HIỆP</v>
      </c>
      <c r="H117" s="52" t="str">
        <f>IF(ADS!J212="","",ADS!J212)</f>
        <v>Thành viên</v>
      </c>
      <c r="I117" s="52" t="str">
        <f>IF(ADS!M212="","",ADS!M212)</f>
        <v/>
      </c>
      <c r="J117" s="52" t="str">
        <f>IF(ADS!R212="","",ADS!R212)</f>
        <v/>
      </c>
      <c r="K117" s="52" t="str">
        <f t="array" ref="K117">IF(COUNTA(ADS!T212:AE212)=0,"",INDEX(ADS!T212:AE212,1,SUMPRODUCT(MAX((ADS!T212:AE212&lt;&gt;"")*(COLUMN(ADS!T212:AE212)-COLUMN(ADS!T212)+1)))))</f>
        <v/>
      </c>
      <c r="L117" s="52" t="str">
        <f>IF(AND(G117&lt;&gt;"",G117='Tổng hợp'!$C$4),MAX(L$1:L116)+1,"")</f>
        <v/>
      </c>
    </row>
    <row r="118" ht="15.75" customHeight="1">
      <c r="A118" s="52" t="str">
        <f>IF(ADS!C213="","","ADS")</f>
        <v>ADS</v>
      </c>
      <c r="B118" s="52" t="str">
        <f>IF(ADS!B213="","",ADS!B213)</f>
        <v>ADS-208</v>
      </c>
      <c r="C118" s="52" t="str">
        <f>IF(ADS!C213="","",ADS!C213)</f>
        <v>TKQC</v>
      </c>
      <c r="D118" s="79" t="str">
        <f>IF(ADS!D213="","",ADS!D213)</f>
        <v>27522737250662185</v>
      </c>
      <c r="E118" s="52" t="str">
        <f>IF(ADS!E213="","",ADS!E213)</f>
        <v>TKQC</v>
      </c>
      <c r="F118" s="52" t="str">
        <f>IF(ADS!F213="","",ADS!F213)</f>
        <v/>
      </c>
      <c r="G118" s="52" t="str">
        <f>IF(ADS!G213="","",ADS!G213)</f>
        <v>TRẦN HIỆP</v>
      </c>
      <c r="H118" s="52" t="str">
        <f>IF(ADS!J213="","",ADS!J213)</f>
        <v>Thành viên</v>
      </c>
      <c r="I118" s="52" t="str">
        <f>IF(ADS!M213="","",ADS!M213)</f>
        <v/>
      </c>
      <c r="J118" s="52" t="str">
        <f>IF(ADS!R213="","",ADS!R213)</f>
        <v/>
      </c>
      <c r="K118" s="52" t="str">
        <f t="array" ref="K118">IF(COUNTA(ADS!T213:AE213)=0,"",INDEX(ADS!T213:AE213,1,SUMPRODUCT(MAX((ADS!T213:AE213&lt;&gt;"")*(COLUMN(ADS!T213:AE213)-COLUMN(ADS!T213)+1)))))</f>
        <v/>
      </c>
      <c r="L118" s="52" t="str">
        <f>IF(AND(G118&lt;&gt;"",G118='Tổng hợp'!$C$4),MAX(L$1:L117)+1,"")</f>
        <v/>
      </c>
    </row>
    <row r="119" ht="15.75" customHeight="1">
      <c r="A119" s="52" t="str">
        <f>IF(ADS!C214="","","ADS")</f>
        <v>ADS</v>
      </c>
      <c r="B119" s="52" t="str">
        <f>IF(ADS!B214="","",ADS!B214)</f>
        <v>ADS-209</v>
      </c>
      <c r="C119" s="52" t="str">
        <f>IF(ADS!C214="","",ADS!C214)</f>
        <v>TKQC</v>
      </c>
      <c r="D119" s="79" t="str">
        <f>IF(ADS!D214="","",ADS!D214)</f>
        <v>1385494839988207</v>
      </c>
      <c r="E119" s="52" t="str">
        <f>IF(ADS!E214="","",ADS!E214)</f>
        <v>TKQC</v>
      </c>
      <c r="F119" s="52" t="str">
        <f>IF(ADS!F214="","",ADS!F214)</f>
        <v/>
      </c>
      <c r="G119" s="52" t="str">
        <f>IF(ADS!G214="","",ADS!G214)</f>
        <v>TRẦN HIỆP</v>
      </c>
      <c r="H119" s="52" t="str">
        <f>IF(ADS!J214="","",ADS!J214)</f>
        <v>Thành viên</v>
      </c>
      <c r="I119" s="52" t="str">
        <f>IF(ADS!M214="","",ADS!M214)</f>
        <v/>
      </c>
      <c r="J119" s="52" t="str">
        <f>IF(ADS!R214="","",ADS!R214)</f>
        <v/>
      </c>
      <c r="K119" s="52" t="str">
        <f t="array" ref="K119">IF(COUNTA(ADS!T214:AE214)=0,"",INDEX(ADS!T214:AE214,1,SUMPRODUCT(MAX((ADS!T214:AE214&lt;&gt;"")*(COLUMN(ADS!T214:AE214)-COLUMN(ADS!T214)+1)))))</f>
        <v/>
      </c>
      <c r="L119" s="52" t="str">
        <f>IF(AND(G119&lt;&gt;"",G119='Tổng hợp'!$C$4),MAX(L$1:L118)+1,"")</f>
        <v/>
      </c>
    </row>
    <row r="120" ht="15.75" customHeight="1">
      <c r="A120" s="52" t="str">
        <f>IF(ADS!C215="","","ADS")</f>
        <v>ADS</v>
      </c>
      <c r="B120" s="52" t="str">
        <f>IF(ADS!B215="","",ADS!B215)</f>
        <v>ADS-210</v>
      </c>
      <c r="C120" s="52" t="str">
        <f>IF(ADS!C215="","",ADS!C215)</f>
        <v>TKQC</v>
      </c>
      <c r="D120" s="79" t="str">
        <f>IF(ADS!D215="","",ADS!D215)</f>
        <v>1303403161742707</v>
      </c>
      <c r="E120" s="52" t="str">
        <f>IF(ADS!E215="","",ADS!E215)</f>
        <v>TKQC</v>
      </c>
      <c r="F120" s="52" t="str">
        <f>IF(ADS!F215="","",ADS!F215)</f>
        <v/>
      </c>
      <c r="G120" s="52" t="str">
        <f>IF(ADS!G215="","",ADS!G215)</f>
        <v>TRẦN HIỆP</v>
      </c>
      <c r="H120" s="52" t="str">
        <f>IF(ADS!J215="","",ADS!J215)</f>
        <v>Thành viên</v>
      </c>
      <c r="I120" s="52" t="str">
        <f>IF(ADS!M215="","",ADS!M215)</f>
        <v/>
      </c>
      <c r="J120" s="52" t="str">
        <f>IF(ADS!R215="","",ADS!R215)</f>
        <v/>
      </c>
      <c r="K120" s="52" t="str">
        <f t="array" ref="K120">IF(COUNTA(ADS!T215:AE215)=0,"",INDEX(ADS!T215:AE215,1,SUMPRODUCT(MAX((ADS!T215:AE215&lt;&gt;"")*(COLUMN(ADS!T215:AE215)-COLUMN(ADS!T215)+1)))))</f>
        <v/>
      </c>
      <c r="L120" s="52" t="str">
        <f>IF(AND(G120&lt;&gt;"",G120='Tổng hợp'!$C$4),MAX(L$1:L119)+1,"")</f>
        <v/>
      </c>
    </row>
    <row r="121" ht="15.75" customHeight="1">
      <c r="A121" s="52" t="str">
        <f>IF(ADS!C216="","","ADS")</f>
        <v>ADS</v>
      </c>
      <c r="B121" s="52" t="str">
        <f>IF(ADS!B216="","",ADS!B216)</f>
        <v>ADS-211</v>
      </c>
      <c r="C121" s="52" t="str">
        <f>IF(ADS!C216="","",ADS!C216)</f>
        <v>TKQC</v>
      </c>
      <c r="D121" s="79" t="str">
        <f>IF(ADS!D216="","",ADS!D216)</f>
        <v>1392128426304791</v>
      </c>
      <c r="E121" s="52" t="str">
        <f>IF(ADS!E216="","",ADS!E216)</f>
        <v>TKQC</v>
      </c>
      <c r="F121" s="52" t="str">
        <f>IF(ADS!F216="","",ADS!F216)</f>
        <v/>
      </c>
      <c r="G121" s="52" t="str">
        <f>IF(ADS!G216="","",ADS!G216)</f>
        <v>TRẦN HIỆP</v>
      </c>
      <c r="H121" s="52" t="str">
        <f>IF(ADS!J216="","",ADS!J216)</f>
        <v>Thành viên</v>
      </c>
      <c r="I121" s="52" t="str">
        <f>IF(ADS!M216="","",ADS!M216)</f>
        <v/>
      </c>
      <c r="J121" s="52" t="str">
        <f>IF(ADS!R216="","",ADS!R216)</f>
        <v/>
      </c>
      <c r="K121" s="52" t="str">
        <f t="array" ref="K121">IF(COUNTA(ADS!T216:AE216)=0,"",INDEX(ADS!T216:AE216,1,SUMPRODUCT(MAX((ADS!T216:AE216&lt;&gt;"")*(COLUMN(ADS!T216:AE216)-COLUMN(ADS!T216)+1)))))</f>
        <v/>
      </c>
      <c r="L121" s="52" t="str">
        <f>IF(AND(G121&lt;&gt;"",G121='Tổng hợp'!$C$4),MAX(L$1:L120)+1,"")</f>
        <v/>
      </c>
    </row>
    <row r="122" ht="15.75" customHeight="1">
      <c r="A122" s="52" t="str">
        <f>IF(ADS!C217="","","ADS")</f>
        <v>ADS</v>
      </c>
      <c r="B122" s="52" t="str">
        <f>IF(ADS!B217="","",ADS!B217)</f>
        <v>ADS-212</v>
      </c>
      <c r="C122" s="52" t="str">
        <f>IF(ADS!C217="","",ADS!C217)</f>
        <v>TKQC</v>
      </c>
      <c r="D122" s="79" t="str">
        <f>IF(ADS!D217="","",ADS!D217)</f>
        <v>1261950842816465</v>
      </c>
      <c r="E122" s="52" t="str">
        <f>IF(ADS!E217="","",ADS!E217)</f>
        <v>TKQC</v>
      </c>
      <c r="F122" s="52" t="str">
        <f>IF(ADS!F217="","",ADS!F217)</f>
        <v/>
      </c>
      <c r="G122" s="52" t="str">
        <f>IF(ADS!G217="","",ADS!G217)</f>
        <v>TRẦN HIỆP</v>
      </c>
      <c r="H122" s="52" t="str">
        <f>IF(ADS!J217="","",ADS!J217)</f>
        <v>Thành viên</v>
      </c>
      <c r="I122" s="52" t="str">
        <f>IF(ADS!M217="","",ADS!M217)</f>
        <v/>
      </c>
      <c r="J122" s="52" t="str">
        <f>IF(ADS!R217="","",ADS!R217)</f>
        <v/>
      </c>
      <c r="K122" s="52" t="str">
        <f t="array" ref="K122">IF(COUNTA(ADS!T217:AE217)=0,"",INDEX(ADS!T217:AE217,1,SUMPRODUCT(MAX((ADS!T217:AE217&lt;&gt;"")*(COLUMN(ADS!T217:AE217)-COLUMN(ADS!T217)+1)))))</f>
        <v/>
      </c>
      <c r="L122" s="52" t="str">
        <f>IF(AND(G122&lt;&gt;"",G122='Tổng hợp'!$C$4),MAX(L$1:L121)+1,"")</f>
        <v/>
      </c>
    </row>
    <row r="123" ht="15.75" customHeight="1">
      <c r="A123" s="52" t="str">
        <f>IF(ADS!C218="","","ADS")</f>
        <v>ADS</v>
      </c>
      <c r="B123" s="52" t="str">
        <f>IF(ADS!B218="","",ADS!B218)</f>
        <v>ADS-213</v>
      </c>
      <c r="C123" s="52" t="str">
        <f>IF(ADS!C218="","",ADS!C218)</f>
        <v>TKQC</v>
      </c>
      <c r="D123" s="79" t="str">
        <f>IF(ADS!D218="","",ADS!D218)</f>
        <v>1394451259108073</v>
      </c>
      <c r="E123" s="52" t="str">
        <f>IF(ADS!E218="","",ADS!E218)</f>
        <v>TKQC</v>
      </c>
      <c r="F123" s="52" t="str">
        <f>IF(ADS!F218="","",ADS!F218)</f>
        <v/>
      </c>
      <c r="G123" s="52" t="str">
        <f>IF(ADS!G218="","",ADS!G218)</f>
        <v>TRẦN HIỆP</v>
      </c>
      <c r="H123" s="52" t="str">
        <f>IF(ADS!J218="","",ADS!J218)</f>
        <v>Thành viên</v>
      </c>
      <c r="I123" s="52" t="str">
        <f>IF(ADS!M218="","",ADS!M218)</f>
        <v/>
      </c>
      <c r="J123" s="52" t="str">
        <f>IF(ADS!R218="","",ADS!R218)</f>
        <v/>
      </c>
      <c r="K123" s="52" t="str">
        <f t="array" ref="K123">IF(COUNTA(ADS!T218:AE218)=0,"",INDEX(ADS!T218:AE218,1,SUMPRODUCT(MAX((ADS!T218:AE218&lt;&gt;"")*(COLUMN(ADS!T218:AE218)-COLUMN(ADS!T218)+1)))))</f>
        <v/>
      </c>
      <c r="L123" s="52" t="str">
        <f>IF(AND(G123&lt;&gt;"",G123='Tổng hợp'!$C$4),MAX(L$1:L122)+1,"")</f>
        <v/>
      </c>
    </row>
    <row r="124" ht="15.75" customHeight="1">
      <c r="A124" s="52" t="str">
        <f>IF(ADS!C219="","","ADS")</f>
        <v>ADS</v>
      </c>
      <c r="B124" s="52" t="str">
        <f>IF(ADS!B219="","",ADS!B219)</f>
        <v>ADS-214</v>
      </c>
      <c r="C124" s="52" t="str">
        <f>IF(ADS!C219="","",ADS!C219)</f>
        <v>Page</v>
      </c>
      <c r="D124" s="79" t="str">
        <f>IF(ADS!D219="","",ADS!D219)</f>
        <v>391287164072591</v>
      </c>
      <c r="E124" s="52" t="str">
        <f>IF(ADS!E219="","",ADS!E219)</f>
        <v>Page</v>
      </c>
      <c r="F124" s="134" t="str">
        <f>IF(ADS!F219="","",ADS!F219)</f>
        <v>https://www.facebook.com/bstien.thammyapexmed/</v>
      </c>
      <c r="G124" s="52" t="str">
        <f>IF(ADS!G219="","",ADS!G219)</f>
        <v>TRẦN HIỆP</v>
      </c>
      <c r="H124" s="52" t="str">
        <f>IF(ADS!J219="","",ADS!J219)</f>
        <v>Chủ sở hữu / Admin</v>
      </c>
      <c r="I124" s="52" t="str">
        <f>IF(ADS!M219="","",ADS!M219)</f>
        <v/>
      </c>
      <c r="J124" s="52" t="str">
        <f>IF(ADS!R219="","",ADS!R219)</f>
        <v/>
      </c>
      <c r="K124" s="52" t="str">
        <f t="array" ref="K124">IF(COUNTA(ADS!T219:AE219)=0,"",INDEX(ADS!T219:AE219,1,SUMPRODUCT(MAX((ADS!T219:AE219&lt;&gt;"")*(COLUMN(ADS!T219:AE219)-COLUMN(ADS!T219)+1)))))</f>
        <v/>
      </c>
      <c r="L124" s="52" t="str">
        <f>IF(AND(G124&lt;&gt;"",G124='Tổng hợp'!$C$4),MAX(L$1:L123)+1,"")</f>
        <v/>
      </c>
    </row>
    <row r="125" ht="15.75" customHeight="1">
      <c r="A125" s="52" t="str">
        <f>IF(ADS!C220="","","ADS")</f>
        <v>ADS</v>
      </c>
      <c r="B125" s="52" t="str">
        <f>IF(ADS!B220="","",ADS!B220)</f>
        <v>ADS-215</v>
      </c>
      <c r="C125" s="52" t="str">
        <f>IF(ADS!C220="","",ADS!C220)</f>
        <v>Page</v>
      </c>
      <c r="D125" s="79" t="str">
        <f>IF(ADS!D220="","",ADS!D220)</f>
        <v>793865087139476</v>
      </c>
      <c r="E125" s="52" t="str">
        <f>IF(ADS!E220="","",ADS!E220)</f>
        <v>Page</v>
      </c>
      <c r="F125" s="134" t="str">
        <f>IF(ADS!F220="","",ADS!F220)</f>
        <v>https://www.facebook.com/thammyapexmed.doingubsvutrongtien/</v>
      </c>
      <c r="G125" s="52" t="str">
        <f>IF(ADS!G220="","",ADS!G220)</f>
        <v>TRẦN HIỆP</v>
      </c>
      <c r="H125" s="52" t="str">
        <f>IF(ADS!J220="","",ADS!J220)</f>
        <v>Chủ sở hữu / Admin</v>
      </c>
      <c r="I125" s="52" t="str">
        <f>IF(ADS!M220="","",ADS!M220)</f>
        <v/>
      </c>
      <c r="J125" s="52" t="str">
        <f>IF(ADS!R220="","",ADS!R220)</f>
        <v/>
      </c>
      <c r="K125" s="52" t="str">
        <f t="array" ref="K125">IF(COUNTA(ADS!T220:AE220)=0,"",INDEX(ADS!T220:AE220,1,SUMPRODUCT(MAX((ADS!T220:AE220&lt;&gt;"")*(COLUMN(ADS!T220:AE220)-COLUMN(ADS!T220)+1)))))</f>
        <v/>
      </c>
      <c r="L125" s="52" t="str">
        <f>IF(AND(G125&lt;&gt;"",G125='Tổng hợp'!$C$4),MAX(L$1:L124)+1,"")</f>
        <v/>
      </c>
    </row>
    <row r="126" ht="15.75" customHeight="1">
      <c r="A126" s="52" t="str">
        <f>IF(ADS!C221="","","ADS")</f>
        <v>ADS</v>
      </c>
      <c r="B126" s="52" t="str">
        <f>IF(ADS!B221="","",ADS!B221)</f>
        <v>ADS-216</v>
      </c>
      <c r="C126" s="52" t="str">
        <f>IF(ADS!C221="","",ADS!C221)</f>
        <v>Page</v>
      </c>
      <c r="D126" s="79" t="str">
        <f>IF(ADS!D221="","",ADS!D221)</f>
        <v>414016991804760</v>
      </c>
      <c r="E126" s="52" t="str">
        <f>IF(ADS!E221="","",ADS!E221)</f>
        <v>Page</v>
      </c>
      <c r="F126" s="134" t="str">
        <f>IF(ADS!F221="","",ADS!F221)</f>
        <v>https://www.facebook.com/thammyapexmed.bstien/</v>
      </c>
      <c r="G126" s="52" t="str">
        <f>IF(ADS!G221="","",ADS!G221)</f>
        <v>TRẦN HIỆP</v>
      </c>
      <c r="H126" s="52" t="str">
        <f>IF(ADS!J221="","",ADS!J221)</f>
        <v>Chủ sở hữu / Admin</v>
      </c>
      <c r="I126" s="52" t="str">
        <f>IF(ADS!M221="","",ADS!M221)</f>
        <v/>
      </c>
      <c r="J126" s="52" t="str">
        <f>IF(ADS!R221="","",ADS!R221)</f>
        <v/>
      </c>
      <c r="K126" s="52" t="str">
        <f t="array" ref="K126">IF(COUNTA(ADS!T221:AE221)=0,"",INDEX(ADS!T221:AE221,1,SUMPRODUCT(MAX((ADS!T221:AE221&lt;&gt;"")*(COLUMN(ADS!T221:AE221)-COLUMN(ADS!T221)+1)))))</f>
        <v/>
      </c>
      <c r="L126" s="52" t="str">
        <f>IF(AND(G126&lt;&gt;"",G126='Tổng hợp'!$C$4),MAX(L$1:L125)+1,"")</f>
        <v/>
      </c>
    </row>
    <row r="127" ht="15.75" customHeight="1">
      <c r="A127" s="52" t="str">
        <f>IF(ADS!C222="","","ADS")</f>
        <v>ADS</v>
      </c>
      <c r="B127" s="52" t="str">
        <f>IF(ADS!B222="","",ADS!B222)</f>
        <v>ADS-217</v>
      </c>
      <c r="C127" s="52" t="str">
        <f>IF(ADS!C222="","",ADS!C222)</f>
        <v>Page</v>
      </c>
      <c r="D127" s="79" t="str">
        <f>IF(ADS!D222="","",ADS!D222)</f>
        <v>369480749574360</v>
      </c>
      <c r="E127" s="52" t="str">
        <f>IF(ADS!E222="","",ADS!E222)</f>
        <v>Page</v>
      </c>
      <c r="F127" s="134" t="str">
        <f>IF(ADS!F222="","",ADS!F222)</f>
        <v>https://www.facebook.com/thammyapexmed.doingubacsitien/</v>
      </c>
      <c r="G127" s="52" t="str">
        <f>IF(ADS!G222="","",ADS!G222)</f>
        <v>TRẦN HIỆP</v>
      </c>
      <c r="H127" s="52" t="str">
        <f>IF(ADS!J222="","",ADS!J222)</f>
        <v>Chủ sở hữu / Admin</v>
      </c>
      <c r="I127" s="52" t="str">
        <f>IF(ADS!M222="","",ADS!M222)</f>
        <v/>
      </c>
      <c r="J127" s="52" t="str">
        <f>IF(ADS!R222="","",ADS!R222)</f>
        <v/>
      </c>
      <c r="K127" s="52" t="str">
        <f t="array" ref="K127">IF(COUNTA(ADS!T222:AE222)=0,"",INDEX(ADS!T222:AE222,1,SUMPRODUCT(MAX((ADS!T222:AE222&lt;&gt;"")*(COLUMN(ADS!T222:AE222)-COLUMN(ADS!T222)+1)))))</f>
        <v/>
      </c>
      <c r="L127" s="52" t="str">
        <f>IF(AND(G127&lt;&gt;"",G127='Tổng hợp'!$C$4),MAX(L$1:L126)+1,"")</f>
        <v/>
      </c>
    </row>
    <row r="128" ht="15.75" customHeight="1">
      <c r="A128" s="52" t="str">
        <f>IF(ADS!C223="","","ADS")</f>
        <v>ADS</v>
      </c>
      <c r="B128" s="52" t="str">
        <f>IF(ADS!B223="","",ADS!B223)</f>
        <v>ADS-218</v>
      </c>
      <c r="C128" s="52" t="str">
        <f>IF(ADS!C223="","",ADS!C223)</f>
        <v>Via</v>
      </c>
      <c r="D128" s="79" t="str">
        <f>IF(ADS!D223="","",ADS!D223)</f>
        <v>100059494723806</v>
      </c>
      <c r="E128" s="52" t="str">
        <f>IF(ADS!E223="","",ADS!E223)</f>
        <v>Via</v>
      </c>
      <c r="F128" s="134" t="str">
        <f>IF(ADS!F223="","",ADS!F223)</f>
        <v>https://www.facebook.com/ieshajoy.jocson/</v>
      </c>
      <c r="G128" s="52" t="str">
        <f>IF(ADS!G223="","",ADS!G223)</f>
        <v>TRẦN HIỆP</v>
      </c>
      <c r="H128" s="52" t="str">
        <f>IF(ADS!J223="","",ADS!J223)</f>
        <v>Chủ tài khoản (Via/AI)</v>
      </c>
      <c r="I128" s="52" t="str">
        <f>IF(ADS!M223="","",ADS!M223)</f>
        <v>Có</v>
      </c>
      <c r="J128" s="52" t="str">
        <f>IF(ADS!R223="","",ADS!R223)</f>
        <v/>
      </c>
      <c r="K128" s="52" t="str">
        <f t="array" ref="K128">IF(COUNTA(ADS!T223:AE223)=0,"",INDEX(ADS!T223:AE223,1,SUMPRODUCT(MAX((ADS!T223:AE223&lt;&gt;"")*(COLUMN(ADS!T223:AE223)-COLUMN(ADS!T223)+1)))))</f>
        <v/>
      </c>
      <c r="L128" s="52" t="str">
        <f>IF(AND(G128&lt;&gt;"",G128='Tổng hợp'!$C$4),MAX(L$1:L127)+1,"")</f>
        <v/>
      </c>
    </row>
    <row r="129" ht="15.75" customHeight="1">
      <c r="A129" s="52" t="str">
        <f>IF(ADS!C224="","","ADS")</f>
        <v>ADS</v>
      </c>
      <c r="B129" s="52" t="str">
        <f>IF(ADS!B224="","",ADS!B224)</f>
        <v>ADS-219</v>
      </c>
      <c r="C129" s="52" t="str">
        <f>IF(ADS!C224="","",ADS!C224)</f>
        <v>Via</v>
      </c>
      <c r="D129" s="79" t="str">
        <f>IF(ADS!D224="","",ADS!D224)</f>
        <v>61553235446320</v>
      </c>
      <c r="E129" s="52" t="str">
        <f>IF(ADS!E224="","",ADS!E224)</f>
        <v>Via</v>
      </c>
      <c r="F129" s="134" t="str">
        <f>IF(ADS!F224="","",ADS!F224)</f>
        <v>https://www.facebook.com/profile.php?id=61553235446320</v>
      </c>
      <c r="G129" s="52" t="str">
        <f>IF(ADS!G224="","",ADS!G224)</f>
        <v>TRẦN HIỆP</v>
      </c>
      <c r="H129" s="52" t="str">
        <f>IF(ADS!J224="","",ADS!J224)</f>
        <v>Chủ tài khoản (Via/AI)</v>
      </c>
      <c r="I129" s="52" t="str">
        <f>IF(ADS!M224="","",ADS!M224)</f>
        <v>Có</v>
      </c>
      <c r="J129" s="52" t="str">
        <f>IF(ADS!R224="","",ADS!R224)</f>
        <v/>
      </c>
      <c r="K129" s="52" t="str">
        <f t="array" ref="K129">IF(COUNTA(ADS!T224:AE224)=0,"",INDEX(ADS!T224:AE224,1,SUMPRODUCT(MAX((ADS!T224:AE224&lt;&gt;"")*(COLUMN(ADS!T224:AE224)-COLUMN(ADS!T224)+1)))))</f>
        <v/>
      </c>
      <c r="L129" s="52" t="str">
        <f>IF(AND(G129&lt;&gt;"",G129='Tổng hợp'!$C$4),MAX(L$1:L128)+1,"")</f>
        <v/>
      </c>
    </row>
    <row r="130" ht="15.75" customHeight="1">
      <c r="A130" s="52" t="str">
        <f>IF(ADS!C225="","","ADS")</f>
        <v>ADS</v>
      </c>
      <c r="B130" s="52" t="str">
        <f>IF(ADS!B225="","",ADS!B225)</f>
        <v>ADS-220</v>
      </c>
      <c r="C130" s="52" t="str">
        <f>IF(ADS!C225="","",ADS!C225)</f>
        <v>Via</v>
      </c>
      <c r="D130" s="79" t="str">
        <f>IF(ADS!D225="","",ADS!D225)</f>
        <v>61577258512724</v>
      </c>
      <c r="E130" s="52" t="str">
        <f>IF(ADS!E225="","",ADS!E225)</f>
        <v>Via </v>
      </c>
      <c r="F130" s="134" t="str">
        <f>IF(ADS!F225="","",ADS!F225)</f>
        <v>https://www.facebook.com/profile.php?id=61577258512724</v>
      </c>
      <c r="G130" s="52" t="str">
        <f>IF(ADS!G225="","",ADS!G225)</f>
        <v>TRẦN HIỆP</v>
      </c>
      <c r="H130" s="52" t="str">
        <f>IF(ADS!J225="","",ADS!J225)</f>
        <v>Chủ tài khoản (Via/AI)</v>
      </c>
      <c r="I130" s="52" t="str">
        <f>IF(ADS!M225="","",ADS!M225)</f>
        <v>Có</v>
      </c>
      <c r="J130" s="52" t="str">
        <f>IF(ADS!R225="","",ADS!R225)</f>
        <v/>
      </c>
      <c r="K130" s="52" t="str">
        <f t="array" ref="K130">IF(COUNTA(ADS!T225:AE225)=0,"",INDEX(ADS!T225:AE225,1,SUMPRODUCT(MAX((ADS!T225:AE225&lt;&gt;"")*(COLUMN(ADS!T225:AE225)-COLUMN(ADS!T225)+1)))))</f>
        <v/>
      </c>
      <c r="L130" s="52" t="str">
        <f>IF(AND(G130&lt;&gt;"",G130='Tổng hợp'!$C$4),MAX(L$1:L129)+1,"")</f>
        <v/>
      </c>
    </row>
    <row r="131" ht="15.75" customHeight="1">
      <c r="A131" s="52" t="str">
        <f>IF(ADS!C226="","","ADS")</f>
        <v>ADS</v>
      </c>
      <c r="B131" s="52" t="str">
        <f>IF(ADS!B226="","",ADS!B226)</f>
        <v>ADS-221</v>
      </c>
      <c r="C131" s="52" t="str">
        <f>IF(ADS!C226="","",ADS!C226)</f>
        <v>Via</v>
      </c>
      <c r="D131" s="79" t="str">
        <f>IF(ADS!D226="","",ADS!D226)</f>
        <v>61577305803998</v>
      </c>
      <c r="E131" s="52" t="str">
        <f>IF(ADS!E226="","",ADS!E226)</f>
        <v>Via</v>
      </c>
      <c r="F131" s="134" t="str">
        <f>IF(ADS!F226="","",ADS!F226)</f>
        <v>https://www.facebook.com/profile.php?id=61577305803998</v>
      </c>
      <c r="G131" s="52" t="str">
        <f>IF(ADS!G226="","",ADS!G226)</f>
        <v>TRẦN HIỆP</v>
      </c>
      <c r="H131" s="52" t="str">
        <f>IF(ADS!J226="","",ADS!J226)</f>
        <v>Chủ tài khoản (Via/AI)</v>
      </c>
      <c r="I131" s="52" t="str">
        <f>IF(ADS!M226="","",ADS!M226)</f>
        <v>Có</v>
      </c>
      <c r="J131" s="52" t="str">
        <f>IF(ADS!R226="","",ADS!R226)</f>
        <v/>
      </c>
      <c r="K131" s="52" t="str">
        <f t="array" ref="K131">IF(COUNTA(ADS!T226:AE226)=0,"",INDEX(ADS!T226:AE226,1,SUMPRODUCT(MAX((ADS!T226:AE226&lt;&gt;"")*(COLUMN(ADS!T226:AE226)-COLUMN(ADS!T226)+1)))))</f>
        <v/>
      </c>
      <c r="L131" s="52" t="str">
        <f>IF(AND(G131&lt;&gt;"",G131='Tổng hợp'!$C$4),MAX(L$1:L130)+1,"")</f>
        <v/>
      </c>
    </row>
    <row r="132" ht="15.75" customHeight="1">
      <c r="A132" s="52" t="str">
        <f>IF(ADS!C227="","","ADS")</f>
        <v/>
      </c>
      <c r="B132" s="52" t="str">
        <f>IF(ADS!B227="","",ADS!B227)</f>
        <v/>
      </c>
      <c r="C132" s="52" t="str">
        <f>IF(ADS!C227="","",ADS!C227)</f>
        <v/>
      </c>
      <c r="D132" s="52" t="str">
        <f>IF(ADS!D227="","",ADS!D227)</f>
        <v/>
      </c>
      <c r="E132" s="52" t="str">
        <f>IF(ADS!E227="","",ADS!E227)</f>
        <v/>
      </c>
      <c r="F132" s="52" t="str">
        <f>IF(ADS!F227="","",ADS!F227)</f>
        <v/>
      </c>
      <c r="G132" s="52" t="str">
        <f>IF(ADS!G227="","",ADS!G227)</f>
        <v/>
      </c>
      <c r="H132" s="52" t="str">
        <f>IF(ADS!J227="","",ADS!J227)</f>
        <v/>
      </c>
      <c r="I132" s="52" t="str">
        <f>IF(ADS!M227="","",ADS!M227)</f>
        <v/>
      </c>
      <c r="J132" s="52" t="str">
        <f>IF(ADS!R227="","",ADS!R227)</f>
        <v/>
      </c>
      <c r="K132" s="52" t="str">
        <f t="array" ref="K132">IF(COUNTA(ADS!T227:AE227)=0,"",INDEX(ADS!T227:AE227,1,SUMPRODUCT(MAX((ADS!T227:AE227&lt;&gt;"")*(COLUMN(ADS!T227:AE227)-COLUMN(ADS!T227)+1)))))</f>
        <v/>
      </c>
      <c r="L132" s="52" t="str">
        <f>IF(AND(G132&lt;&gt;"",G132='Tổng hợp'!$C$4),MAX(L$1:L131)+1,"")</f>
        <v/>
      </c>
    </row>
    <row r="133" ht="15.75" customHeight="1">
      <c r="A133" s="52" t="str">
        <f>IF(ADS!C228="","","ADS")</f>
        <v/>
      </c>
      <c r="B133" s="52" t="str">
        <f>IF(ADS!B228="","",ADS!B228)</f>
        <v/>
      </c>
      <c r="C133" s="52" t="str">
        <f>IF(ADS!C228="","",ADS!C228)</f>
        <v/>
      </c>
      <c r="D133" s="52" t="str">
        <f>IF(ADS!D228="","",ADS!D228)</f>
        <v/>
      </c>
      <c r="E133" s="52" t="str">
        <f>IF(ADS!E228="","",ADS!E228)</f>
        <v/>
      </c>
      <c r="F133" s="52" t="str">
        <f>IF(ADS!F228="","",ADS!F228)</f>
        <v/>
      </c>
      <c r="G133" s="52" t="str">
        <f>IF(ADS!G228="","",ADS!G228)</f>
        <v/>
      </c>
      <c r="H133" s="52" t="str">
        <f>IF(ADS!J228="","",ADS!J228)</f>
        <v/>
      </c>
      <c r="I133" s="52" t="str">
        <f>IF(ADS!M228="","",ADS!M228)</f>
        <v/>
      </c>
      <c r="J133" s="52" t="str">
        <f>IF(ADS!R228="","",ADS!R228)</f>
        <v/>
      </c>
      <c r="K133" s="52" t="str">
        <f t="array" ref="K133">IF(COUNTA(ADS!T228:AE228)=0,"",INDEX(ADS!T228:AE228,1,SUMPRODUCT(MAX((ADS!T228:AE228&lt;&gt;"")*(COLUMN(ADS!T228:AE228)-COLUMN(ADS!T228)+1)))))</f>
        <v/>
      </c>
      <c r="L133" s="52" t="str">
        <f>IF(AND(G133&lt;&gt;"",G133='Tổng hợp'!$C$4),MAX(L$1:L132)+1,"")</f>
        <v/>
      </c>
    </row>
    <row r="134" ht="15.75" customHeight="1">
      <c r="A134" s="52" t="str">
        <f>IF(ADS!C229="","","ADS")</f>
        <v/>
      </c>
      <c r="B134" s="52" t="str">
        <f>IF(ADS!B229="","",ADS!B229)</f>
        <v/>
      </c>
      <c r="C134" s="52" t="str">
        <f>IF(ADS!C229="","",ADS!C229)</f>
        <v/>
      </c>
      <c r="D134" s="52" t="str">
        <f>IF(ADS!D229="","",ADS!D229)</f>
        <v/>
      </c>
      <c r="E134" s="52" t="str">
        <f>IF(ADS!E229="","",ADS!E229)</f>
        <v/>
      </c>
      <c r="F134" s="52" t="str">
        <f>IF(ADS!F229="","",ADS!F229)</f>
        <v/>
      </c>
      <c r="G134" s="52" t="str">
        <f>IF(ADS!G229="","",ADS!G229)</f>
        <v/>
      </c>
      <c r="H134" s="52" t="str">
        <f>IF(ADS!J229="","",ADS!J229)</f>
        <v/>
      </c>
      <c r="I134" s="52" t="str">
        <f>IF(ADS!M229="","",ADS!M229)</f>
        <v/>
      </c>
      <c r="J134" s="52" t="str">
        <f>IF(ADS!R229="","",ADS!R229)</f>
        <v/>
      </c>
      <c r="K134" s="52" t="str">
        <f t="array" ref="K134">IF(COUNTA(ADS!T229:AE229)=0,"",INDEX(ADS!T229:AE229,1,SUMPRODUCT(MAX((ADS!T229:AE229&lt;&gt;"")*(COLUMN(ADS!T229:AE229)-COLUMN(ADS!T229)+1)))))</f>
        <v/>
      </c>
      <c r="L134" s="52" t="str">
        <f>IF(AND(G134&lt;&gt;"",G134='Tổng hợp'!$C$4),MAX(L$1:L133)+1,"")</f>
        <v/>
      </c>
    </row>
    <row r="135" ht="15.75" customHeight="1">
      <c r="A135" s="52" t="str">
        <f>IF(ADS!C230="","","ADS")</f>
        <v/>
      </c>
      <c r="B135" s="52" t="str">
        <f>IF(ADS!B230="","",ADS!B230)</f>
        <v/>
      </c>
      <c r="C135" s="52" t="str">
        <f>IF(ADS!C230="","",ADS!C230)</f>
        <v/>
      </c>
      <c r="D135" s="52" t="str">
        <f>IF(ADS!D230="","",ADS!D230)</f>
        <v/>
      </c>
      <c r="E135" s="52" t="str">
        <f>IF(ADS!E230="","",ADS!E230)</f>
        <v/>
      </c>
      <c r="F135" s="52" t="str">
        <f>IF(ADS!F230="","",ADS!F230)</f>
        <v/>
      </c>
      <c r="G135" s="52" t="str">
        <f>IF(ADS!G230="","",ADS!G230)</f>
        <v/>
      </c>
      <c r="H135" s="52" t="str">
        <f>IF(ADS!J230="","",ADS!J230)</f>
        <v/>
      </c>
      <c r="I135" s="52" t="str">
        <f>IF(ADS!M230="","",ADS!M230)</f>
        <v/>
      </c>
      <c r="J135" s="52" t="str">
        <f>IF(ADS!R230="","",ADS!R230)</f>
        <v/>
      </c>
      <c r="K135" s="52" t="str">
        <f t="array" ref="K135">IF(COUNTA(ADS!T230:AE230)=0,"",INDEX(ADS!T230:AE230,1,SUMPRODUCT(MAX((ADS!T230:AE230&lt;&gt;"")*(COLUMN(ADS!T230:AE230)-COLUMN(ADS!T230)+1)))))</f>
        <v/>
      </c>
      <c r="L135" s="52" t="str">
        <f>IF(AND(G135&lt;&gt;"",G135='Tổng hợp'!$C$4),MAX(L$1:L134)+1,"")</f>
        <v/>
      </c>
    </row>
    <row r="136" ht="15.75" customHeight="1">
      <c r="A136" s="52" t="str">
        <f>IF(ADS!C231="","","ADS")</f>
        <v/>
      </c>
      <c r="B136" s="52" t="str">
        <f>IF(ADS!B231="","",ADS!B231)</f>
        <v/>
      </c>
      <c r="C136" s="52" t="str">
        <f>IF(ADS!C231="","",ADS!C231)</f>
        <v/>
      </c>
      <c r="D136" s="52" t="str">
        <f>IF(ADS!D231="","",ADS!D231)</f>
        <v/>
      </c>
      <c r="E136" s="52" t="str">
        <f>IF(ADS!E231="","",ADS!E231)</f>
        <v/>
      </c>
      <c r="F136" s="52" t="str">
        <f>IF(ADS!F231="","",ADS!F231)</f>
        <v/>
      </c>
      <c r="G136" s="52" t="str">
        <f>IF(ADS!G231="","",ADS!G231)</f>
        <v/>
      </c>
      <c r="H136" s="52" t="str">
        <f>IF(ADS!J231="","",ADS!J231)</f>
        <v/>
      </c>
      <c r="I136" s="52" t="str">
        <f>IF(ADS!M231="","",ADS!M231)</f>
        <v/>
      </c>
      <c r="J136" s="52" t="str">
        <f>IF(ADS!R231="","",ADS!R231)</f>
        <v/>
      </c>
      <c r="K136" s="52" t="str">
        <f t="array" ref="K136">IF(COUNTA(ADS!T231:AE231)=0,"",INDEX(ADS!T231:AE231,1,SUMPRODUCT(MAX((ADS!T231:AE231&lt;&gt;"")*(COLUMN(ADS!T231:AE231)-COLUMN(ADS!T231)+1)))))</f>
        <v/>
      </c>
      <c r="L136" s="52" t="str">
        <f>IF(AND(G136&lt;&gt;"",G136='Tổng hợp'!$C$4),MAX(L$1:L135)+1,"")</f>
        <v/>
      </c>
    </row>
    <row r="137" ht="15.75" customHeight="1">
      <c r="A137" s="52" t="str">
        <f>IF(ADS!C232="","","ADS")</f>
        <v/>
      </c>
      <c r="B137" s="52" t="str">
        <f>IF(ADS!B232="","",ADS!B232)</f>
        <v/>
      </c>
      <c r="C137" s="52" t="str">
        <f>IF(ADS!C232="","",ADS!C232)</f>
        <v/>
      </c>
      <c r="D137" s="52" t="str">
        <f>IF(ADS!D232="","",ADS!D232)</f>
        <v/>
      </c>
      <c r="E137" s="52" t="str">
        <f>IF(ADS!E232="","",ADS!E232)</f>
        <v/>
      </c>
      <c r="F137" s="52" t="str">
        <f>IF(ADS!F232="","",ADS!F232)</f>
        <v/>
      </c>
      <c r="G137" s="52" t="str">
        <f>IF(ADS!G232="","",ADS!G232)</f>
        <v/>
      </c>
      <c r="H137" s="52" t="str">
        <f>IF(ADS!J232="","",ADS!J232)</f>
        <v/>
      </c>
      <c r="I137" s="52" t="str">
        <f>IF(ADS!M232="","",ADS!M232)</f>
        <v/>
      </c>
      <c r="J137" s="52" t="str">
        <f>IF(ADS!R232="","",ADS!R232)</f>
        <v/>
      </c>
      <c r="K137" s="52" t="str">
        <f t="array" ref="K137">IF(COUNTA(ADS!T232:AE232)=0,"",INDEX(ADS!T232:AE232,1,SUMPRODUCT(MAX((ADS!T232:AE232&lt;&gt;"")*(COLUMN(ADS!T232:AE232)-COLUMN(ADS!T232)+1)))))</f>
        <v/>
      </c>
      <c r="L137" s="52" t="str">
        <f>IF(AND(G137&lt;&gt;"",G137='Tổng hợp'!$C$4),MAX(L$1:L136)+1,"")</f>
        <v/>
      </c>
    </row>
    <row r="138" ht="15.75" customHeight="1">
      <c r="A138" s="52" t="str">
        <f>IF(ADS!C233="","","ADS")</f>
        <v/>
      </c>
      <c r="B138" s="52" t="str">
        <f>IF(ADS!B233="","",ADS!B233)</f>
        <v/>
      </c>
      <c r="C138" s="52" t="str">
        <f>IF(ADS!C233="","",ADS!C233)</f>
        <v/>
      </c>
      <c r="D138" s="52" t="str">
        <f>IF(ADS!D233="","",ADS!D233)</f>
        <v/>
      </c>
      <c r="E138" s="52" t="str">
        <f>IF(ADS!E233="","",ADS!E233)</f>
        <v/>
      </c>
      <c r="F138" s="52" t="str">
        <f>IF(ADS!F233="","",ADS!F233)</f>
        <v/>
      </c>
      <c r="G138" s="52" t="str">
        <f>IF(ADS!G233="","",ADS!G233)</f>
        <v/>
      </c>
      <c r="H138" s="52" t="str">
        <f>IF(ADS!J233="","",ADS!J233)</f>
        <v/>
      </c>
      <c r="I138" s="52" t="str">
        <f>IF(ADS!M233="","",ADS!M233)</f>
        <v/>
      </c>
      <c r="J138" s="52" t="str">
        <f>IF(ADS!R233="","",ADS!R233)</f>
        <v/>
      </c>
      <c r="K138" s="52" t="str">
        <f t="array" ref="K138">IF(COUNTA(ADS!T233:AE233)=0,"",INDEX(ADS!T233:AE233,1,SUMPRODUCT(MAX((ADS!T233:AE233&lt;&gt;"")*(COLUMN(ADS!T233:AE233)-COLUMN(ADS!T233)+1)))))</f>
        <v/>
      </c>
      <c r="L138" s="52" t="str">
        <f>IF(AND(G138&lt;&gt;"",G138='Tổng hợp'!$C$4),MAX(L$1:L137)+1,"")</f>
        <v/>
      </c>
    </row>
    <row r="139" ht="15.75" customHeight="1">
      <c r="A139" s="52" t="str">
        <f>IF(ADS!C234="","","ADS")</f>
        <v/>
      </c>
      <c r="B139" s="52" t="str">
        <f>IF(ADS!B234="","",ADS!B234)</f>
        <v/>
      </c>
      <c r="C139" s="52" t="str">
        <f>IF(ADS!C234="","",ADS!C234)</f>
        <v/>
      </c>
      <c r="D139" s="52" t="str">
        <f>IF(ADS!D234="","",ADS!D234)</f>
        <v/>
      </c>
      <c r="E139" s="52" t="str">
        <f>IF(ADS!E234="","",ADS!E234)</f>
        <v/>
      </c>
      <c r="F139" s="52" t="str">
        <f>IF(ADS!F234="","",ADS!F234)</f>
        <v/>
      </c>
      <c r="G139" s="52" t="str">
        <f>IF(ADS!G234="","",ADS!G234)</f>
        <v/>
      </c>
      <c r="H139" s="52" t="str">
        <f>IF(ADS!J234="","",ADS!J234)</f>
        <v/>
      </c>
      <c r="I139" s="52" t="str">
        <f>IF(ADS!M234="","",ADS!M234)</f>
        <v/>
      </c>
      <c r="J139" s="52" t="str">
        <f>IF(ADS!R234="","",ADS!R234)</f>
        <v/>
      </c>
      <c r="K139" s="52" t="str">
        <f t="array" ref="K139">IF(COUNTA(ADS!T234:AE234)=0,"",INDEX(ADS!T234:AE234,1,SUMPRODUCT(MAX((ADS!T234:AE234&lt;&gt;"")*(COLUMN(ADS!T234:AE234)-COLUMN(ADS!T234)+1)))))</f>
        <v/>
      </c>
      <c r="L139" s="52" t="str">
        <f>IF(AND(G139&lt;&gt;"",G139='Tổng hợp'!$C$4),MAX(L$1:L138)+1,"")</f>
        <v/>
      </c>
    </row>
    <row r="140" ht="15.75" customHeight="1">
      <c r="A140" s="52" t="str">
        <f>IF(ADS!C235="","","ADS")</f>
        <v/>
      </c>
      <c r="B140" s="52" t="str">
        <f>IF(ADS!B235="","",ADS!B235)</f>
        <v/>
      </c>
      <c r="C140" s="52" t="str">
        <f>IF(ADS!C235="","",ADS!C235)</f>
        <v/>
      </c>
      <c r="D140" s="52" t="str">
        <f>IF(ADS!D235="","",ADS!D235)</f>
        <v/>
      </c>
      <c r="E140" s="52" t="str">
        <f>IF(ADS!E235="","",ADS!E235)</f>
        <v/>
      </c>
      <c r="F140" s="52" t="str">
        <f>IF(ADS!F235="","",ADS!F235)</f>
        <v/>
      </c>
      <c r="G140" s="52" t="str">
        <f>IF(ADS!G235="","",ADS!G235)</f>
        <v/>
      </c>
      <c r="H140" s="52" t="str">
        <f>IF(ADS!J235="","",ADS!J235)</f>
        <v/>
      </c>
      <c r="I140" s="52" t="str">
        <f>IF(ADS!M235="","",ADS!M235)</f>
        <v/>
      </c>
      <c r="J140" s="52" t="str">
        <f>IF(ADS!R235="","",ADS!R235)</f>
        <v/>
      </c>
      <c r="K140" s="52" t="str">
        <f t="array" ref="K140">IF(COUNTA(ADS!T235:AE235)=0,"",INDEX(ADS!T235:AE235,1,SUMPRODUCT(MAX((ADS!T235:AE235&lt;&gt;"")*(COLUMN(ADS!T235:AE235)-COLUMN(ADS!T235)+1)))))</f>
        <v/>
      </c>
      <c r="L140" s="52" t="str">
        <f>IF(AND(G140&lt;&gt;"",G140='Tổng hợp'!$C$4),MAX(L$1:L139)+1,"")</f>
        <v/>
      </c>
    </row>
    <row r="141" ht="15.75" customHeight="1">
      <c r="A141" s="52" t="str">
        <f>IF(ADS!C236="","","ADS")</f>
        <v>ADS</v>
      </c>
      <c r="B141" s="52" t="str">
        <f>IF(ADS!B236="","",ADS!B236)</f>
        <v>ADS-231</v>
      </c>
      <c r="C141" s="52" t="str">
        <f>IF(ADS!C236="","",ADS!C236)</f>
        <v>Via</v>
      </c>
      <c r="D141" s="79" t="str">
        <f>IF(ADS!D236="","",ADS!D236)</f>
        <v>2052415451607657</v>
      </c>
      <c r="E141" s="52" t="str">
        <f>IF(ADS!E236="","",ADS!E236)</f>
        <v>Via </v>
      </c>
      <c r="F141" s="134" t="str">
        <f>IF(ADS!F236="","",ADS!F236)</f>
        <v>https://www.facebook.com/hernan.mora.3192</v>
      </c>
      <c r="G141" s="52" t="str">
        <f>IF(ADS!G236="","",ADS!G236)</f>
        <v>PHẠM GIANG NAM</v>
      </c>
      <c r="H141" s="52" t="str">
        <f>IF(ADS!J236="","",ADS!J236)</f>
        <v>Chủ tài khoản (Via/AI)</v>
      </c>
      <c r="I141" s="52" t="str">
        <f>IF(ADS!M236="","",ADS!M236)</f>
        <v>Có</v>
      </c>
      <c r="J141" s="52" t="str">
        <f>IF(ADS!R236="","",ADS!R236)</f>
        <v/>
      </c>
      <c r="K141" s="52" t="str">
        <f t="array" ref="K141">IF(COUNTA(ADS!T236:AE236)=0,"",INDEX(ADS!T236:AE236,1,SUMPRODUCT(MAX((ADS!T236:AE236&lt;&gt;"")*(COLUMN(ADS!T236:AE236)-COLUMN(ADS!T236)+1)))))</f>
        <v/>
      </c>
      <c r="L141" s="52" t="str">
        <f>IF(AND(G141&lt;&gt;"",G141='Tổng hợp'!$C$4),MAX(L$1:L140)+1,"")</f>
        <v/>
      </c>
    </row>
    <row r="142" ht="15.75" customHeight="1">
      <c r="A142" s="52" t="str">
        <f>IF(ADS!C237="","","ADS")</f>
        <v>ADS</v>
      </c>
      <c r="B142" s="52" t="str">
        <f>IF(ADS!B237="","",ADS!B237)</f>
        <v>ADS-232</v>
      </c>
      <c r="C142" s="52" t="str">
        <f>IF(ADS!C237="","",ADS!C237)</f>
        <v>TKQC</v>
      </c>
      <c r="D142" s="135" t="str">
        <f>IF(ADS!D237="","",ADS!D237)</f>
        <v>1962601701310977</v>
      </c>
      <c r="E142" s="52" t="str">
        <f>IF(ADS!E237="","",ADS!E237)</f>
        <v>TKQC</v>
      </c>
      <c r="F142" s="52" t="str">
        <f>IF(ADS!F237="","",ADS!F237)</f>
        <v/>
      </c>
      <c r="G142" s="52" t="str">
        <f>IF(ADS!G237="","",ADS!G237)</f>
        <v>PHẠM GIANG NAM</v>
      </c>
      <c r="H142" s="52" t="str">
        <f>IF(ADS!J237="","",ADS!J237)</f>
        <v>Thành viên</v>
      </c>
      <c r="I142" s="52" t="str">
        <f>IF(ADS!M237="","",ADS!M237)</f>
        <v/>
      </c>
      <c r="J142" s="52" t="str">
        <f>IF(ADS!R237="","",ADS!R237)</f>
        <v/>
      </c>
      <c r="K142" s="52" t="str">
        <f t="array" ref="K142">IF(COUNTA(ADS!T237:AE237)=0,"",INDEX(ADS!T237:AE237,1,SUMPRODUCT(MAX((ADS!T237:AE237&lt;&gt;"")*(COLUMN(ADS!T237:AE237)-COLUMN(ADS!T237)+1)))))</f>
        <v/>
      </c>
      <c r="L142" s="52" t="str">
        <f>IF(AND(G142&lt;&gt;"",G142='Tổng hợp'!$C$4),MAX(L$1:L141)+1,"")</f>
        <v/>
      </c>
    </row>
    <row r="143" ht="15.75" customHeight="1">
      <c r="A143" s="52" t="str">
        <f>IF(ADS!C238="","","ADS")</f>
        <v>ADS</v>
      </c>
      <c r="B143" s="52" t="str">
        <f>IF(ADS!B238="","",ADS!B238)</f>
        <v>ADS-233</v>
      </c>
      <c r="C143" s="52" t="str">
        <f>IF(ADS!C238="","",ADS!C238)</f>
        <v>TKQC</v>
      </c>
      <c r="D143" s="135" t="str">
        <f>IF(ADS!D238="","",ADS!D238)</f>
        <v>727740703734729</v>
      </c>
      <c r="E143" s="52" t="str">
        <f>IF(ADS!E238="","",ADS!E238)</f>
        <v>TKQC</v>
      </c>
      <c r="F143" s="52" t="str">
        <f>IF(ADS!F238="","",ADS!F238)</f>
        <v/>
      </c>
      <c r="G143" s="52" t="str">
        <f>IF(ADS!G238="","",ADS!G238)</f>
        <v>PHẠM GIANG NAM</v>
      </c>
      <c r="H143" s="52" t="str">
        <f>IF(ADS!J238="","",ADS!J238)</f>
        <v>Thành viên</v>
      </c>
      <c r="I143" s="52" t="str">
        <f>IF(ADS!M238="","",ADS!M238)</f>
        <v/>
      </c>
      <c r="J143" s="52" t="str">
        <f>IF(ADS!R238="","",ADS!R238)</f>
        <v/>
      </c>
      <c r="K143" s="52" t="str">
        <f t="array" ref="K143">IF(COUNTA(ADS!T238:AE238)=0,"",INDEX(ADS!T238:AE238,1,SUMPRODUCT(MAX((ADS!T238:AE238&lt;&gt;"")*(COLUMN(ADS!T238:AE238)-COLUMN(ADS!T238)+1)))))</f>
        <v/>
      </c>
      <c r="L143" s="52" t="str">
        <f>IF(AND(G143&lt;&gt;"",G143='Tổng hợp'!$C$4),MAX(L$1:L142)+1,"")</f>
        <v/>
      </c>
    </row>
    <row r="144" ht="15.75" customHeight="1">
      <c r="A144" s="52" t="str">
        <f>IF(ADS!C239="","","ADS")</f>
        <v>ADS</v>
      </c>
      <c r="B144" s="52" t="str">
        <f>IF(ADS!B239="","",ADS!B239)</f>
        <v>ADS-234</v>
      </c>
      <c r="C144" s="52" t="str">
        <f>IF(ADS!C239="","",ADS!C239)</f>
        <v>TKQC</v>
      </c>
      <c r="D144" s="135" t="str">
        <f>IF(ADS!D239="","",ADS!D239)</f>
        <v>1266925747051600</v>
      </c>
      <c r="E144" s="52" t="str">
        <f>IF(ADS!E239="","",ADS!E239)</f>
        <v>TKQC</v>
      </c>
      <c r="F144" s="52" t="str">
        <f>IF(ADS!F239="","",ADS!F239)</f>
        <v/>
      </c>
      <c r="G144" s="52" t="str">
        <f>IF(ADS!G239="","",ADS!G239)</f>
        <v>PHẠM GIANG NAM</v>
      </c>
      <c r="H144" s="52" t="str">
        <f>IF(ADS!J239="","",ADS!J239)</f>
        <v>Thành viên</v>
      </c>
      <c r="I144" s="52" t="str">
        <f>IF(ADS!M239="","",ADS!M239)</f>
        <v/>
      </c>
      <c r="J144" s="52" t="str">
        <f>IF(ADS!R239="","",ADS!R239)</f>
        <v/>
      </c>
      <c r="K144" s="52" t="str">
        <f t="array" ref="K144">IF(COUNTA(ADS!T239:AE239)=0,"",INDEX(ADS!T239:AE239,1,SUMPRODUCT(MAX((ADS!T239:AE239&lt;&gt;"")*(COLUMN(ADS!T239:AE239)-COLUMN(ADS!T239)+1)))))</f>
        <v/>
      </c>
      <c r="L144" s="52" t="str">
        <f>IF(AND(G144&lt;&gt;"",G144='Tổng hợp'!$C$4),MAX(L$1:L143)+1,"")</f>
        <v/>
      </c>
    </row>
    <row r="145" ht="15.75" customHeight="1">
      <c r="A145" s="52" t="str">
        <f>IF(ADS!C240="","","ADS")</f>
        <v>ADS</v>
      </c>
      <c r="B145" s="52" t="str">
        <f>IF(ADS!B240="","",ADS!B240)</f>
        <v>ADS-235</v>
      </c>
      <c r="C145" s="52" t="str">
        <f>IF(ADS!C240="","",ADS!C240)</f>
        <v>TKQC</v>
      </c>
      <c r="D145" s="135" t="str">
        <f>IF(ADS!D240="","",ADS!D240)</f>
        <v>625945281966205</v>
      </c>
      <c r="E145" s="52" t="str">
        <f>IF(ADS!E240="","",ADS!E240)</f>
        <v>TKQC</v>
      </c>
      <c r="F145" s="52" t="str">
        <f>IF(ADS!F240="","",ADS!F240)</f>
        <v/>
      </c>
      <c r="G145" s="52" t="str">
        <f>IF(ADS!G240="","",ADS!G240)</f>
        <v>PHẠM GIANG NAM</v>
      </c>
      <c r="H145" s="52" t="str">
        <f>IF(ADS!J240="","",ADS!J240)</f>
        <v>Thành viên</v>
      </c>
      <c r="I145" s="52" t="str">
        <f>IF(ADS!M240="","",ADS!M240)</f>
        <v/>
      </c>
      <c r="J145" s="52" t="str">
        <f>IF(ADS!R240="","",ADS!R240)</f>
        <v/>
      </c>
      <c r="K145" s="52" t="str">
        <f t="array" ref="K145">IF(COUNTA(ADS!T240:AE240)=0,"",INDEX(ADS!T240:AE240,1,SUMPRODUCT(MAX((ADS!T240:AE240&lt;&gt;"")*(COLUMN(ADS!T240:AE240)-COLUMN(ADS!T240)+1)))))</f>
        <v/>
      </c>
      <c r="L145" s="52" t="str">
        <f>IF(AND(G145&lt;&gt;"",G145='Tổng hợp'!$C$4),MAX(L$1:L144)+1,"")</f>
        <v/>
      </c>
    </row>
    <row r="146" ht="15.75" customHeight="1">
      <c r="A146" s="52" t="str">
        <f>IF(ADS!C241="","","ADS")</f>
        <v>ADS</v>
      </c>
      <c r="B146" s="52" t="str">
        <f>IF(ADS!B241="","",ADS!B241)</f>
        <v>ADS-236</v>
      </c>
      <c r="C146" s="52" t="str">
        <f>IF(ADS!C241="","",ADS!C241)</f>
        <v>TKQC</v>
      </c>
      <c r="D146" s="135" t="str">
        <f>IF(ADS!D241="","",ADS!D241)</f>
        <v>625945281966205</v>
      </c>
      <c r="E146" s="52" t="str">
        <f>IF(ADS!E241="","",ADS!E241)</f>
        <v>TKQC</v>
      </c>
      <c r="F146" s="52" t="str">
        <f>IF(ADS!F241="","",ADS!F241)</f>
        <v/>
      </c>
      <c r="G146" s="52" t="str">
        <f>IF(ADS!G241="","",ADS!G241)</f>
        <v>PHẠM GIANG NAM</v>
      </c>
      <c r="H146" s="52" t="str">
        <f>IF(ADS!J241="","",ADS!J241)</f>
        <v>Thành viên</v>
      </c>
      <c r="I146" s="52" t="str">
        <f>IF(ADS!M241="","",ADS!M241)</f>
        <v/>
      </c>
      <c r="J146" s="52" t="str">
        <f>IF(ADS!R241="","",ADS!R241)</f>
        <v/>
      </c>
      <c r="K146" s="52" t="str">
        <f t="array" ref="K146">IF(COUNTA(ADS!T241:AE241)=0,"",INDEX(ADS!T241:AE241,1,SUMPRODUCT(MAX((ADS!T241:AE241&lt;&gt;"")*(COLUMN(ADS!T241:AE241)-COLUMN(ADS!T241)+1)))))</f>
        <v/>
      </c>
      <c r="L146" s="52" t="str">
        <f>IF(AND(G146&lt;&gt;"",G146='Tổng hợp'!$C$4),MAX(L$1:L145)+1,"")</f>
        <v/>
      </c>
    </row>
    <row r="147" ht="15.75" customHeight="1">
      <c r="A147" s="52" t="str">
        <f>IF(ADS!C242="","","ADS")</f>
        <v/>
      </c>
      <c r="B147" s="52" t="str">
        <f>IF(ADS!B242="","",ADS!B242)</f>
        <v/>
      </c>
      <c r="C147" s="52" t="str">
        <f>IF(ADS!C242="","",ADS!C242)</f>
        <v/>
      </c>
      <c r="D147" s="52" t="str">
        <f>IF(ADS!D242="","",ADS!D242)</f>
        <v/>
      </c>
      <c r="E147" s="52" t="str">
        <f>IF(ADS!E242="","",ADS!E242)</f>
        <v/>
      </c>
      <c r="F147" s="52" t="str">
        <f>IF(ADS!F242="","",ADS!F242)</f>
        <v/>
      </c>
      <c r="G147" s="52" t="str">
        <f>IF(ADS!G242="","",ADS!G242)</f>
        <v/>
      </c>
      <c r="H147" s="52" t="str">
        <f>IF(ADS!J242="","",ADS!J242)</f>
        <v/>
      </c>
      <c r="I147" s="52" t="str">
        <f>IF(ADS!M242="","",ADS!M242)</f>
        <v/>
      </c>
      <c r="J147" s="52" t="str">
        <f>IF(ADS!R242="","",ADS!R242)</f>
        <v/>
      </c>
      <c r="K147" s="52" t="str">
        <f t="array" ref="K147">IF(COUNTA(ADS!T242:AE242)=0,"",INDEX(ADS!T242:AE242,1,SUMPRODUCT(MAX((ADS!T242:AE242&lt;&gt;"")*(COLUMN(ADS!T242:AE242)-COLUMN(ADS!T242)+1)))))</f>
        <v/>
      </c>
      <c r="L147" s="52" t="str">
        <f>IF(AND(G147&lt;&gt;"",G147='Tổng hợp'!$C$4),MAX(L$1:L146)+1,"")</f>
        <v/>
      </c>
    </row>
    <row r="148" ht="15.75" customHeight="1">
      <c r="A148" s="52" t="str">
        <f>IF(ADS!C243="","","ADS")</f>
        <v/>
      </c>
      <c r="B148" s="52" t="str">
        <f>IF(ADS!B243="","",ADS!B243)</f>
        <v/>
      </c>
      <c r="C148" s="52" t="str">
        <f>IF(ADS!C243="","",ADS!C243)</f>
        <v/>
      </c>
      <c r="D148" s="52" t="str">
        <f>IF(ADS!D243="","",ADS!D243)</f>
        <v/>
      </c>
      <c r="E148" s="52" t="str">
        <f>IF(ADS!E243="","",ADS!E243)</f>
        <v/>
      </c>
      <c r="F148" s="52" t="str">
        <f>IF(ADS!F243="","",ADS!F243)</f>
        <v/>
      </c>
      <c r="G148" s="52" t="str">
        <f>IF(ADS!G243="","",ADS!G243)</f>
        <v/>
      </c>
      <c r="H148" s="52" t="str">
        <f>IF(ADS!J243="","",ADS!J243)</f>
        <v/>
      </c>
      <c r="I148" s="52" t="str">
        <f>IF(ADS!M243="","",ADS!M243)</f>
        <v/>
      </c>
      <c r="J148" s="52" t="str">
        <f>IF(ADS!R243="","",ADS!R243)</f>
        <v/>
      </c>
      <c r="K148" s="52" t="str">
        <f t="array" ref="K148">IF(COUNTA(ADS!T243:AE243)=0,"",INDEX(ADS!T243:AE243,1,SUMPRODUCT(MAX((ADS!T243:AE243&lt;&gt;"")*(COLUMN(ADS!T243:AE243)-COLUMN(ADS!T243)+1)))))</f>
        <v/>
      </c>
      <c r="L148" s="52" t="str">
        <f>IF(AND(G148&lt;&gt;"",G148='Tổng hợp'!$C$4),MAX(L$1:L147)+1,"")</f>
        <v/>
      </c>
    </row>
    <row r="149" ht="15.75" customHeight="1">
      <c r="A149" s="52" t="str">
        <f>IF(ADS!C244="","","ADS")</f>
        <v/>
      </c>
      <c r="B149" s="52" t="str">
        <f>IF(ADS!B244="","",ADS!B244)</f>
        <v/>
      </c>
      <c r="C149" s="52" t="str">
        <f>IF(ADS!C244="","",ADS!C244)</f>
        <v/>
      </c>
      <c r="D149" s="52" t="str">
        <f>IF(ADS!D244="","",ADS!D244)</f>
        <v/>
      </c>
      <c r="E149" s="52" t="str">
        <f>IF(ADS!E244="","",ADS!E244)</f>
        <v/>
      </c>
      <c r="F149" s="52" t="str">
        <f>IF(ADS!F244="","",ADS!F244)</f>
        <v/>
      </c>
      <c r="G149" s="52" t="str">
        <f>IF(ADS!G244="","",ADS!G244)</f>
        <v/>
      </c>
      <c r="H149" s="52" t="str">
        <f>IF(ADS!J244="","",ADS!J244)</f>
        <v/>
      </c>
      <c r="I149" s="52" t="str">
        <f>IF(ADS!M244="","",ADS!M244)</f>
        <v/>
      </c>
      <c r="J149" s="52" t="str">
        <f>IF(ADS!R244="","",ADS!R244)</f>
        <v/>
      </c>
      <c r="K149" s="52" t="str">
        <f t="array" ref="K149">IF(COUNTA(ADS!T244:AE244)=0,"",INDEX(ADS!T244:AE244,1,SUMPRODUCT(MAX((ADS!T244:AE244&lt;&gt;"")*(COLUMN(ADS!T244:AE244)-COLUMN(ADS!T244)+1)))))</f>
        <v/>
      </c>
      <c r="L149" s="52" t="str">
        <f>IF(AND(G149&lt;&gt;"",G149='Tổng hợp'!$C$4),MAX(L$1:L148)+1,"")</f>
        <v/>
      </c>
    </row>
    <row r="150" ht="15.75" customHeight="1">
      <c r="A150" s="52" t="str">
        <f>IF(ADS!C245="","","ADS")</f>
        <v/>
      </c>
      <c r="B150" s="52" t="str">
        <f>IF(ADS!B245="","",ADS!B245)</f>
        <v/>
      </c>
      <c r="C150" s="52" t="str">
        <f>IF(ADS!C245="","",ADS!C245)</f>
        <v/>
      </c>
      <c r="D150" s="52" t="str">
        <f>IF(ADS!D245="","",ADS!D245)</f>
        <v/>
      </c>
      <c r="E150" s="52" t="str">
        <f>IF(ADS!E245="","",ADS!E245)</f>
        <v/>
      </c>
      <c r="F150" s="52" t="str">
        <f>IF(ADS!F245="","",ADS!F245)</f>
        <v/>
      </c>
      <c r="G150" s="52" t="str">
        <f>IF(ADS!G245="","",ADS!G245)</f>
        <v/>
      </c>
      <c r="H150" s="52" t="str">
        <f>IF(ADS!J245="","",ADS!J245)</f>
        <v/>
      </c>
      <c r="I150" s="52" t="str">
        <f>IF(ADS!M245="","",ADS!M245)</f>
        <v/>
      </c>
      <c r="J150" s="52" t="str">
        <f>IF(ADS!R245="","",ADS!R245)</f>
        <v/>
      </c>
      <c r="K150" s="52" t="str">
        <f t="array" ref="K150">IF(COUNTA(ADS!T245:AE245)=0,"",INDEX(ADS!T245:AE245,1,SUMPRODUCT(MAX((ADS!T245:AE245&lt;&gt;"")*(COLUMN(ADS!T245:AE245)-COLUMN(ADS!T245)+1)))))</f>
        <v/>
      </c>
      <c r="L150" s="52" t="str">
        <f>IF(AND(G150&lt;&gt;"",G150='Tổng hợp'!$C$4),MAX(L$1:L149)+1,"")</f>
        <v/>
      </c>
    </row>
    <row r="151" ht="15.75" customHeight="1">
      <c r="A151" s="52" t="str">
        <f>IF(ADS!C246="","","ADS")</f>
        <v/>
      </c>
      <c r="B151" s="52" t="str">
        <f>IF(ADS!B246="","",ADS!B246)</f>
        <v/>
      </c>
      <c r="C151" s="52" t="str">
        <f>IF(ADS!C246="","",ADS!C246)</f>
        <v/>
      </c>
      <c r="D151" s="52" t="str">
        <f>IF(ADS!D246="","",ADS!D246)</f>
        <v/>
      </c>
      <c r="E151" s="52" t="str">
        <f>IF(ADS!E246="","",ADS!E246)</f>
        <v/>
      </c>
      <c r="F151" s="52" t="str">
        <f>IF(ADS!F246="","",ADS!F246)</f>
        <v/>
      </c>
      <c r="G151" s="52" t="str">
        <f>IF(ADS!G246="","",ADS!G246)</f>
        <v/>
      </c>
      <c r="H151" s="52" t="str">
        <f>IF(ADS!J246="","",ADS!J246)</f>
        <v/>
      </c>
      <c r="I151" s="52" t="str">
        <f>IF(ADS!M246="","",ADS!M246)</f>
        <v/>
      </c>
      <c r="J151" s="52" t="str">
        <f>IF(ADS!R246="","",ADS!R246)</f>
        <v/>
      </c>
      <c r="K151" s="52" t="str">
        <f t="array" ref="K151">IF(COUNTA(ADS!T246:AE246)=0,"",INDEX(ADS!T246:AE246,1,SUMPRODUCT(MAX((ADS!T246:AE246&lt;&gt;"")*(COLUMN(ADS!T246:AE246)-COLUMN(ADS!T246)+1)))))</f>
        <v/>
      </c>
      <c r="L151" s="52" t="str">
        <f>IF(AND(G151&lt;&gt;"",G151='Tổng hợp'!$C$4),MAX(L$1:L150)+1,"")</f>
        <v/>
      </c>
    </row>
    <row r="152" ht="15.75" customHeight="1">
      <c r="A152" s="52" t="str">
        <f>IF(ADS!C247="","","ADS")</f>
        <v/>
      </c>
      <c r="B152" s="52" t="str">
        <f>IF(ADS!B247="","",ADS!B247)</f>
        <v/>
      </c>
      <c r="C152" s="52" t="str">
        <f>IF(ADS!C247="","",ADS!C247)</f>
        <v/>
      </c>
      <c r="D152" s="52" t="str">
        <f>IF(ADS!D247="","",ADS!D247)</f>
        <v/>
      </c>
      <c r="E152" s="52" t="str">
        <f>IF(ADS!E247="","",ADS!E247)</f>
        <v/>
      </c>
      <c r="F152" s="52" t="str">
        <f>IF(ADS!F247="","",ADS!F247)</f>
        <v/>
      </c>
      <c r="G152" s="52" t="str">
        <f>IF(ADS!G247="","",ADS!G247)</f>
        <v/>
      </c>
      <c r="H152" s="52" t="str">
        <f>IF(ADS!J247="","",ADS!J247)</f>
        <v/>
      </c>
      <c r="I152" s="52" t="str">
        <f>IF(ADS!M247="","",ADS!M247)</f>
        <v/>
      </c>
      <c r="J152" s="52" t="str">
        <f>IF(ADS!R247="","",ADS!R247)</f>
        <v/>
      </c>
      <c r="K152" s="52" t="str">
        <f t="array" ref="K152">IF(COUNTA(ADS!T247:AE247)=0,"",INDEX(ADS!T247:AE247,1,SUMPRODUCT(MAX((ADS!T247:AE247&lt;&gt;"")*(COLUMN(ADS!T247:AE247)-COLUMN(ADS!T247)+1)))))</f>
        <v/>
      </c>
      <c r="L152" s="52" t="str">
        <f>IF(AND(G152&lt;&gt;"",G152='Tổng hợp'!$C$4),MAX(L$1:L151)+1,"")</f>
        <v/>
      </c>
    </row>
    <row r="153" ht="15.75" customHeight="1">
      <c r="A153" s="52" t="str">
        <f>IF(ADS!C248="","","ADS")</f>
        <v/>
      </c>
      <c r="B153" s="52" t="str">
        <f>IF(ADS!B248="","",ADS!B248)</f>
        <v/>
      </c>
      <c r="C153" s="52" t="str">
        <f>IF(ADS!C248="","",ADS!C248)</f>
        <v/>
      </c>
      <c r="D153" s="52" t="str">
        <f>IF(ADS!D248="","",ADS!D248)</f>
        <v/>
      </c>
      <c r="E153" s="52" t="str">
        <f>IF(ADS!E248="","",ADS!E248)</f>
        <v/>
      </c>
      <c r="F153" s="52" t="str">
        <f>IF(ADS!F248="","",ADS!F248)</f>
        <v/>
      </c>
      <c r="G153" s="52" t="str">
        <f>IF(ADS!G248="","",ADS!G248)</f>
        <v/>
      </c>
      <c r="H153" s="52" t="str">
        <f>IF(ADS!J248="","",ADS!J248)</f>
        <v/>
      </c>
      <c r="I153" s="52" t="str">
        <f>IF(ADS!M248="","",ADS!M248)</f>
        <v/>
      </c>
      <c r="J153" s="52" t="str">
        <f>IF(ADS!R248="","",ADS!R248)</f>
        <v/>
      </c>
      <c r="K153" s="52" t="str">
        <f t="array" ref="K153">IF(COUNTA(ADS!T248:AE248)=0,"",INDEX(ADS!T248:AE248,1,SUMPRODUCT(MAX((ADS!T248:AE248&lt;&gt;"")*(COLUMN(ADS!T248:AE248)-COLUMN(ADS!T248)+1)))))</f>
        <v/>
      </c>
      <c r="L153" s="52" t="str">
        <f>IF(AND(G153&lt;&gt;"",G153='Tổng hợp'!$C$4),MAX(L$1:L152)+1,"")</f>
        <v/>
      </c>
    </row>
    <row r="154" ht="15.75" customHeight="1">
      <c r="A154" s="52" t="str">
        <f>IF(ADS!C249="","","ADS")</f>
        <v/>
      </c>
      <c r="B154" s="52" t="str">
        <f>IF(ADS!B249="","",ADS!B249)</f>
        <v/>
      </c>
      <c r="C154" s="52" t="str">
        <f>IF(ADS!C249="","",ADS!C249)</f>
        <v/>
      </c>
      <c r="D154" s="52" t="str">
        <f>IF(ADS!D249="","",ADS!D249)</f>
        <v/>
      </c>
      <c r="E154" s="52" t="str">
        <f>IF(ADS!E249="","",ADS!E249)</f>
        <v/>
      </c>
      <c r="F154" s="52" t="str">
        <f>IF(ADS!F249="","",ADS!F249)</f>
        <v/>
      </c>
      <c r="G154" s="52" t="str">
        <f>IF(ADS!G249="","",ADS!G249)</f>
        <v/>
      </c>
      <c r="H154" s="52" t="str">
        <f>IF(ADS!J249="","",ADS!J249)</f>
        <v/>
      </c>
      <c r="I154" s="52" t="str">
        <f>IF(ADS!M249="","",ADS!M249)</f>
        <v/>
      </c>
      <c r="J154" s="52" t="str">
        <f>IF(ADS!R249="","",ADS!R249)</f>
        <v/>
      </c>
      <c r="K154" s="52" t="str">
        <f t="array" ref="K154">IF(COUNTA(ADS!T249:AE249)=0,"",INDEX(ADS!T249:AE249,1,SUMPRODUCT(MAX((ADS!T249:AE249&lt;&gt;"")*(COLUMN(ADS!T249:AE249)-COLUMN(ADS!T249)+1)))))</f>
        <v/>
      </c>
      <c r="L154" s="52" t="str">
        <f>IF(AND(G154&lt;&gt;"",G154='Tổng hợp'!$C$4),MAX(L$1:L153)+1,"")</f>
        <v/>
      </c>
    </row>
    <row r="155" ht="15.75" customHeight="1">
      <c r="A155" s="52" t="str">
        <f>IF(ADS!C250="","","ADS")</f>
        <v/>
      </c>
      <c r="B155" s="52" t="str">
        <f>IF(ADS!B250="","",ADS!B250)</f>
        <v/>
      </c>
      <c r="C155" s="52" t="str">
        <f>IF(ADS!C250="","",ADS!C250)</f>
        <v/>
      </c>
      <c r="D155" s="52" t="str">
        <f>IF(ADS!D250="","",ADS!D250)</f>
        <v/>
      </c>
      <c r="E155" s="52" t="str">
        <f>IF(ADS!E250="","",ADS!E250)</f>
        <v/>
      </c>
      <c r="F155" s="52" t="str">
        <f>IF(ADS!F250="","",ADS!F250)</f>
        <v/>
      </c>
      <c r="G155" s="52" t="str">
        <f>IF(ADS!G250="","",ADS!G250)</f>
        <v/>
      </c>
      <c r="H155" s="52" t="str">
        <f>IF(ADS!J250="","",ADS!J250)</f>
        <v/>
      </c>
      <c r="I155" s="52" t="str">
        <f>IF(ADS!M250="","",ADS!M250)</f>
        <v/>
      </c>
      <c r="J155" s="52" t="str">
        <f>IF(ADS!R250="","",ADS!R250)</f>
        <v/>
      </c>
      <c r="K155" s="52" t="str">
        <f t="array" ref="K155">IF(COUNTA(ADS!T250:AE250)=0,"",INDEX(ADS!T250:AE250,1,SUMPRODUCT(MAX((ADS!T250:AE250&lt;&gt;"")*(COLUMN(ADS!T250:AE250)-COLUMN(ADS!T250)+1)))))</f>
        <v/>
      </c>
      <c r="L155" s="52" t="str">
        <f>IF(AND(G155&lt;&gt;"",G155='Tổng hợp'!$C$4),MAX(L$1:L154)+1,"")</f>
        <v/>
      </c>
    </row>
    <row r="156" ht="15.75" customHeight="1">
      <c r="A156" s="52" t="str">
        <f>IF(ADS!C251="","","ADS")</f>
        <v>ADS</v>
      </c>
      <c r="B156" s="52" t="str">
        <f>IF(ADS!B251="","",ADS!B251)</f>
        <v>ADS-246</v>
      </c>
      <c r="C156" s="52" t="str">
        <f>IF(ADS!C251="","",ADS!C251)</f>
        <v>Via</v>
      </c>
      <c r="D156" s="79" t="str">
        <f>IF(ADS!D251="","",ADS!D251)</f>
        <v>61577285782640</v>
      </c>
      <c r="E156" s="52" t="str">
        <f>IF(ADS!E251="","",ADS!E251)</f>
        <v>Via </v>
      </c>
      <c r="F156" s="134" t="str">
        <f>IF(ADS!F251="","",ADS!F251)</f>
        <v>https://www.facebook.com/profile.php?id=61577285782640</v>
      </c>
      <c r="G156" s="52" t="str">
        <f>IF(ADS!G251="","",ADS!G251)</f>
        <v>PHẠM GIANG NAM</v>
      </c>
      <c r="H156" s="52" t="str">
        <f>IF(ADS!J251="","",ADS!J251)</f>
        <v>Chủ tài khoản (Via/AI)</v>
      </c>
      <c r="I156" s="52" t="str">
        <f>IF(ADS!M251="","",ADS!M251)</f>
        <v>Có</v>
      </c>
      <c r="J156" s="52" t="str">
        <f>IF(ADS!R251="","",ADS!R251)</f>
        <v/>
      </c>
      <c r="K156" s="52" t="str">
        <f t="array" ref="K156">IF(COUNTA(ADS!T251:AE251)=0,"",INDEX(ADS!T251:AE251,1,SUMPRODUCT(MAX((ADS!T251:AE251&lt;&gt;"")*(COLUMN(ADS!T251:AE251)-COLUMN(ADS!T251)+1)))))</f>
        <v/>
      </c>
      <c r="L156" s="52" t="str">
        <f>IF(AND(G156&lt;&gt;"",G156='Tổng hợp'!$C$4),MAX(L$1:L155)+1,"")</f>
        <v/>
      </c>
    </row>
    <row r="157" ht="15.75" customHeight="1">
      <c r="A157" s="52" t="str">
        <f>IF(ADS!C252="","","ADS")</f>
        <v>ADS</v>
      </c>
      <c r="B157" s="52" t="str">
        <f>IF(ADS!B252="","",ADS!B252)</f>
        <v>ADS-247</v>
      </c>
      <c r="C157" s="52" t="str">
        <f>IF(ADS!C252="","",ADS!C252)</f>
        <v>Via</v>
      </c>
      <c r="D157" s="79" t="str">
        <f>IF(ADS!D252="","",ADS!D252)</f>
        <v>61575128623181</v>
      </c>
      <c r="E157" s="52" t="str">
        <f>IF(ADS!E252="","",ADS!E252)</f>
        <v>Via </v>
      </c>
      <c r="F157" s="52" t="str">
        <f>IF(ADS!F252="","",ADS!F252)</f>
        <v/>
      </c>
      <c r="G157" s="52" t="str">
        <f>IF(ADS!G252="","",ADS!G252)</f>
        <v>PHẠM GIANG NAM</v>
      </c>
      <c r="H157" s="52" t="str">
        <f>IF(ADS!J252="","",ADS!J252)</f>
        <v>Chủ tài khoản (Via/AI)</v>
      </c>
      <c r="I157" s="52" t="str">
        <f>IF(ADS!M252="","",ADS!M252)</f>
        <v/>
      </c>
      <c r="J157" s="52" t="str">
        <f>IF(ADS!R252="","",ADS!R252)</f>
        <v/>
      </c>
      <c r="K157" s="52" t="str">
        <f t="array" ref="K157">IF(COUNTA(ADS!T252:AE252)=0,"",INDEX(ADS!T252:AE252,1,SUMPRODUCT(MAX((ADS!T252:AE252&lt;&gt;"")*(COLUMN(ADS!T252:AE252)-COLUMN(ADS!T252)+1)))))</f>
        <v/>
      </c>
      <c r="L157" s="52" t="str">
        <f>IF(AND(G157&lt;&gt;"",G157='Tổng hợp'!$C$4),MAX(L$1:L156)+1,"")</f>
        <v/>
      </c>
    </row>
    <row r="158" ht="15.75" customHeight="1">
      <c r="A158" s="52" t="str">
        <f>IF(ADS!C253="","","ADS")</f>
        <v>ADS</v>
      </c>
      <c r="B158" s="52" t="str">
        <f>IF(ADS!B253="","",ADS!B253)</f>
        <v>ADS-248</v>
      </c>
      <c r="C158" s="52" t="str">
        <f>IF(ADS!C253="","",ADS!C253)</f>
        <v>Via</v>
      </c>
      <c r="D158" s="79" t="str">
        <f>IF(ADS!D253="","",ADS!D253)</f>
        <v>61577538930497</v>
      </c>
      <c r="E158" s="52" t="str">
        <f>IF(ADS!E253="","",ADS!E253)</f>
        <v>Via </v>
      </c>
      <c r="F158" s="52" t="str">
        <f>IF(ADS!F253="","",ADS!F253)</f>
        <v/>
      </c>
      <c r="G158" s="52" t="str">
        <f>IF(ADS!G253="","",ADS!G253)</f>
        <v>PHẠM GIANG NAM</v>
      </c>
      <c r="H158" s="52" t="str">
        <f>IF(ADS!J253="","",ADS!J253)</f>
        <v>Chủ tài khoản (Via/AI)</v>
      </c>
      <c r="I158" s="52" t="str">
        <f>IF(ADS!M253="","",ADS!M253)</f>
        <v/>
      </c>
      <c r="J158" s="52" t="str">
        <f>IF(ADS!R253="","",ADS!R253)</f>
        <v/>
      </c>
      <c r="K158" s="52" t="str">
        <f t="array" ref="K158">IF(COUNTA(ADS!T253:AE253)=0,"",INDEX(ADS!T253:AE253,1,SUMPRODUCT(MAX((ADS!T253:AE253&lt;&gt;"")*(COLUMN(ADS!T253:AE253)-COLUMN(ADS!T253)+1)))))</f>
        <v/>
      </c>
      <c r="L158" s="52" t="str">
        <f>IF(AND(G158&lt;&gt;"",G158='Tổng hợp'!$C$4),MAX(L$1:L157)+1,"")</f>
        <v/>
      </c>
    </row>
    <row r="159" ht="15.75" customHeight="1">
      <c r="A159" s="52" t="str">
        <f>IF(ADS!C254="","","ADS")</f>
        <v>ADS</v>
      </c>
      <c r="B159" s="52" t="str">
        <f>IF(ADS!B254="","",ADS!B254)</f>
        <v>ADS-249</v>
      </c>
      <c r="C159" s="52" t="str">
        <f>IF(ADS!C254="","",ADS!C254)</f>
        <v>TKQC</v>
      </c>
      <c r="D159" s="79" t="str">
        <f>IF(ADS!D254="","",ADS!D254)</f>
        <v>2161533163995088</v>
      </c>
      <c r="E159" s="52" t="str">
        <f>IF(ADS!E254="","",ADS!E254)</f>
        <v>TKQC</v>
      </c>
      <c r="F159" s="52" t="str">
        <f>IF(ADS!F254="","",ADS!F254)</f>
        <v/>
      </c>
      <c r="G159" s="52" t="str">
        <f>IF(ADS!G254="","",ADS!G254)</f>
        <v>PHẠM GIANG NAM</v>
      </c>
      <c r="H159" s="52" t="str">
        <f>IF(ADS!J254="","",ADS!J254)</f>
        <v>Thành viên</v>
      </c>
      <c r="I159" s="52" t="str">
        <f>IF(ADS!M254="","",ADS!M254)</f>
        <v/>
      </c>
      <c r="J159" s="52" t="str">
        <f>IF(ADS!R254="","",ADS!R254)</f>
        <v/>
      </c>
      <c r="K159" s="52" t="str">
        <f t="array" ref="K159">IF(COUNTA(ADS!T254:AE254)=0,"",INDEX(ADS!T254:AE254,1,SUMPRODUCT(MAX((ADS!T254:AE254&lt;&gt;"")*(COLUMN(ADS!T254:AE254)-COLUMN(ADS!T254)+1)))))</f>
        <v/>
      </c>
      <c r="L159" s="52" t="str">
        <f>IF(AND(G159&lt;&gt;"",G159='Tổng hợp'!$C$4),MAX(L$1:L158)+1,"")</f>
        <v/>
      </c>
    </row>
    <row r="160" ht="15.75" customHeight="1">
      <c r="A160" s="52" t="str">
        <f>IF(ADS!C255="","","ADS")</f>
        <v>ADS</v>
      </c>
      <c r="B160" s="52" t="str">
        <f>IF(ADS!B255="","",ADS!B255)</f>
        <v>ADS-250</v>
      </c>
      <c r="C160" s="52" t="str">
        <f>IF(ADS!C255="","",ADS!C255)</f>
        <v>TKQC</v>
      </c>
      <c r="D160" s="79" t="str">
        <f>IF(ADS!D255="","",ADS!D255)</f>
        <v>614876769789340</v>
      </c>
      <c r="E160" s="52" t="str">
        <f>IF(ADS!E255="","",ADS!E255)</f>
        <v>TKQC</v>
      </c>
      <c r="F160" s="52" t="str">
        <f>IF(ADS!F255="","",ADS!F255)</f>
        <v/>
      </c>
      <c r="G160" s="52" t="str">
        <f>IF(ADS!G255="","",ADS!G255)</f>
        <v>PHẠM GIANG NAM</v>
      </c>
      <c r="H160" s="52" t="str">
        <f>IF(ADS!J255="","",ADS!J255)</f>
        <v>Thành viên</v>
      </c>
      <c r="I160" s="52" t="str">
        <f>IF(ADS!M255="","",ADS!M255)</f>
        <v/>
      </c>
      <c r="J160" s="52" t="str">
        <f>IF(ADS!R255="","",ADS!R255)</f>
        <v/>
      </c>
      <c r="K160" s="52" t="str">
        <f t="array" ref="K160">IF(COUNTA(ADS!T255:AE255)=0,"",INDEX(ADS!T255:AE255,1,SUMPRODUCT(MAX((ADS!T255:AE255&lt;&gt;"")*(COLUMN(ADS!T255:AE255)-COLUMN(ADS!T255)+1)))))</f>
        <v/>
      </c>
      <c r="L160" s="52" t="str">
        <f>IF(AND(G160&lt;&gt;"",G160='Tổng hợp'!$C$4),MAX(L$1:L159)+1,"")</f>
        <v/>
      </c>
    </row>
    <row r="161" ht="15.75" customHeight="1">
      <c r="A161" s="52" t="str">
        <f>IF(ADS!C256="","","ADS")</f>
        <v>ADS</v>
      </c>
      <c r="B161" s="52" t="str">
        <f>IF(ADS!B256="","",ADS!B256)</f>
        <v>ADS-251</v>
      </c>
      <c r="C161" s="52" t="str">
        <f>IF(ADS!C256="","",ADS!C256)</f>
        <v>TKQC</v>
      </c>
      <c r="D161" s="79" t="str">
        <f>IF(ADS!D256="","",ADS!D256)</f>
        <v>657489832057139</v>
      </c>
      <c r="E161" s="52" t="str">
        <f>IF(ADS!E256="","",ADS!E256)</f>
        <v>TKQC</v>
      </c>
      <c r="F161" s="52" t="str">
        <f>IF(ADS!F256="","",ADS!F256)</f>
        <v/>
      </c>
      <c r="G161" s="52" t="str">
        <f>IF(ADS!G256="","",ADS!G256)</f>
        <v>PHẠM GIANG NAM</v>
      </c>
      <c r="H161" s="52" t="str">
        <f>IF(ADS!J256="","",ADS!J256)</f>
        <v>Thành viên</v>
      </c>
      <c r="I161" s="52" t="str">
        <f>IF(ADS!M256="","",ADS!M256)</f>
        <v/>
      </c>
      <c r="J161" s="52" t="str">
        <f>IF(ADS!R256="","",ADS!R256)</f>
        <v/>
      </c>
      <c r="K161" s="52" t="str">
        <f t="array" ref="K161">IF(COUNTA(ADS!T256:AE256)=0,"",INDEX(ADS!T256:AE256,1,SUMPRODUCT(MAX((ADS!T256:AE256&lt;&gt;"")*(COLUMN(ADS!T256:AE256)-COLUMN(ADS!T256)+1)))))</f>
        <v/>
      </c>
      <c r="L161" s="52" t="str">
        <f>IF(AND(G161&lt;&gt;"",G161='Tổng hợp'!$C$4),MAX(L$1:L160)+1,"")</f>
        <v/>
      </c>
    </row>
    <row r="162" ht="15.75" customHeight="1">
      <c r="A162" s="52" t="str">
        <f>IF(ADS!C257="","","ADS")</f>
        <v>ADS</v>
      </c>
      <c r="B162" s="52" t="str">
        <f>IF(ADS!B257="","",ADS!B257)</f>
        <v>ADS-252</v>
      </c>
      <c r="C162" s="52" t="str">
        <f>IF(ADS!C257="","",ADS!C257)</f>
        <v>TKQC</v>
      </c>
      <c r="D162" s="79" t="str">
        <f>IF(ADS!D257="","",ADS!D257)</f>
        <v>1252282038611669</v>
      </c>
      <c r="E162" s="52" t="str">
        <f>IF(ADS!E257="","",ADS!E257)</f>
        <v>TKQC</v>
      </c>
      <c r="F162" s="52" t="str">
        <f>IF(ADS!F257="","",ADS!F257)</f>
        <v/>
      </c>
      <c r="G162" s="52" t="str">
        <f>IF(ADS!G257="","",ADS!G257)</f>
        <v>PHẠM GIANG NAM</v>
      </c>
      <c r="H162" s="52" t="str">
        <f>IF(ADS!J257="","",ADS!J257)</f>
        <v>Thành viên</v>
      </c>
      <c r="I162" s="52" t="str">
        <f>IF(ADS!M257="","",ADS!M257)</f>
        <v/>
      </c>
      <c r="J162" s="52" t="str">
        <f>IF(ADS!R257="","",ADS!R257)</f>
        <v/>
      </c>
      <c r="K162" s="52" t="str">
        <f t="array" ref="K162">IF(COUNTA(ADS!T257:AE257)=0,"",INDEX(ADS!T257:AE257,1,SUMPRODUCT(MAX((ADS!T257:AE257&lt;&gt;"")*(COLUMN(ADS!T257:AE257)-COLUMN(ADS!T257)+1)))))</f>
        <v/>
      </c>
      <c r="L162" s="52" t="str">
        <f>IF(AND(G162&lt;&gt;"",G162='Tổng hợp'!$C$4),MAX(L$1:L161)+1,"")</f>
        <v/>
      </c>
    </row>
    <row r="163" ht="15.75" customHeight="1">
      <c r="A163" s="52" t="str">
        <f>IF(ADS!C258="","","ADS")</f>
        <v>ADS</v>
      </c>
      <c r="B163" s="52" t="str">
        <f>IF(ADS!B258="","",ADS!B258)</f>
        <v>ADS-253</v>
      </c>
      <c r="C163" s="52" t="str">
        <f>IF(ADS!C258="","",ADS!C258)</f>
        <v>TKQC</v>
      </c>
      <c r="D163" s="79" t="str">
        <f>IF(ADS!D258="","",ADS!D258)</f>
        <v>621859808895622</v>
      </c>
      <c r="E163" s="52" t="str">
        <f>IF(ADS!E258="","",ADS!E258)</f>
        <v>TKQC</v>
      </c>
      <c r="F163" s="52" t="str">
        <f>IF(ADS!F258="","",ADS!F258)</f>
        <v/>
      </c>
      <c r="G163" s="52" t="str">
        <f>IF(ADS!G258="","",ADS!G258)</f>
        <v>PHẠM GIANG NAM</v>
      </c>
      <c r="H163" s="52" t="str">
        <f>IF(ADS!J258="","",ADS!J258)</f>
        <v>Thành viên</v>
      </c>
      <c r="I163" s="52" t="str">
        <f>IF(ADS!M258="","",ADS!M258)</f>
        <v/>
      </c>
      <c r="J163" s="52" t="str">
        <f>IF(ADS!R258="","",ADS!R258)</f>
        <v/>
      </c>
      <c r="K163" s="52" t="str">
        <f t="array" ref="K163">IF(COUNTA(ADS!T258:AE258)=0,"",INDEX(ADS!T258:AE258,1,SUMPRODUCT(MAX((ADS!T258:AE258&lt;&gt;"")*(COLUMN(ADS!T258:AE258)-COLUMN(ADS!T258)+1)))))</f>
        <v/>
      </c>
      <c r="L163" s="52" t="str">
        <f>IF(AND(G163&lt;&gt;"",G163='Tổng hợp'!$C$4),MAX(L$1:L162)+1,"")</f>
        <v/>
      </c>
    </row>
    <row r="164" ht="15.75" customHeight="1">
      <c r="A164" s="52" t="str">
        <f>IF(ADS!C259="","","ADS")</f>
        <v>ADS</v>
      </c>
      <c r="B164" s="52" t="str">
        <f>IF(ADS!B259="","",ADS!B259)</f>
        <v>ADS-254</v>
      </c>
      <c r="C164" s="52" t="str">
        <f>IF(ADS!C259="","",ADS!C259)</f>
        <v>TKQC</v>
      </c>
      <c r="D164" s="79" t="str">
        <f>IF(ADS!D259="","",ADS!D259)</f>
        <v>2132608167519751</v>
      </c>
      <c r="E164" s="52" t="str">
        <f>IF(ADS!E259="","",ADS!E259)</f>
        <v>TKQC</v>
      </c>
      <c r="F164" s="52" t="str">
        <f>IF(ADS!F259="","",ADS!F259)</f>
        <v/>
      </c>
      <c r="G164" s="52" t="str">
        <f>IF(ADS!G259="","",ADS!G259)</f>
        <v>PHẠM GIANG NAM</v>
      </c>
      <c r="H164" s="52" t="str">
        <f>IF(ADS!J259="","",ADS!J259)</f>
        <v>Thành viên</v>
      </c>
      <c r="I164" s="52" t="str">
        <f>IF(ADS!M259="","",ADS!M259)</f>
        <v/>
      </c>
      <c r="J164" s="52" t="str">
        <f>IF(ADS!R259="","",ADS!R259)</f>
        <v/>
      </c>
      <c r="K164" s="52" t="str">
        <f t="array" ref="K164">IF(COUNTA(ADS!T259:AE259)=0,"",INDEX(ADS!T259:AE259,1,SUMPRODUCT(MAX((ADS!T259:AE259&lt;&gt;"")*(COLUMN(ADS!T259:AE259)-COLUMN(ADS!T259)+1)))))</f>
        <v/>
      </c>
      <c r="L164" s="52" t="str">
        <f>IF(AND(G164&lt;&gt;"",G164='Tổng hợp'!$C$4),MAX(L$1:L163)+1,"")</f>
        <v/>
      </c>
    </row>
    <row r="165" ht="15.75" customHeight="1">
      <c r="A165" s="52" t="str">
        <f>IF(ADS!C260="","","ADS")</f>
        <v>ADS</v>
      </c>
      <c r="B165" s="52" t="str">
        <f>IF(ADS!B260="","",ADS!B260)</f>
        <v>ADS-255</v>
      </c>
      <c r="C165" s="52" t="str">
        <f>IF(ADS!C260="","",ADS!C260)</f>
        <v>TKQC</v>
      </c>
      <c r="D165" s="79" t="str">
        <f>IF(ADS!D260="","",ADS!D260)</f>
        <v>1337044741725473</v>
      </c>
      <c r="E165" s="52" t="str">
        <f>IF(ADS!E260="","",ADS!E260)</f>
        <v>TKQC</v>
      </c>
      <c r="F165" s="52" t="str">
        <f>IF(ADS!F260="","",ADS!F260)</f>
        <v/>
      </c>
      <c r="G165" s="52" t="str">
        <f>IF(ADS!G260="","",ADS!G260)</f>
        <v>PHẠM GIANG NAM</v>
      </c>
      <c r="H165" s="52" t="str">
        <f>IF(ADS!J260="","",ADS!J260)</f>
        <v>Thành viên</v>
      </c>
      <c r="I165" s="52" t="str">
        <f>IF(ADS!M260="","",ADS!M260)</f>
        <v/>
      </c>
      <c r="J165" s="52" t="str">
        <f>IF(ADS!R260="","",ADS!R260)</f>
        <v/>
      </c>
      <c r="K165" s="52" t="str">
        <f t="array" ref="K165">IF(COUNTA(ADS!T260:AE260)=0,"",INDEX(ADS!T260:AE260,1,SUMPRODUCT(MAX((ADS!T260:AE260&lt;&gt;"")*(COLUMN(ADS!T260:AE260)-COLUMN(ADS!T260)+1)))))</f>
        <v/>
      </c>
      <c r="L165" s="52" t="str">
        <f>IF(AND(G165&lt;&gt;"",G165='Tổng hợp'!$C$4),MAX(L$1:L164)+1,"")</f>
        <v/>
      </c>
    </row>
    <row r="166" ht="15.75" customHeight="1">
      <c r="A166" s="52" t="str">
        <f>IF(ADS!C261="","","ADS")</f>
        <v>ADS</v>
      </c>
      <c r="B166" s="52" t="str">
        <f>IF(ADS!B261="","",ADS!B261)</f>
        <v>ADS-256</v>
      </c>
      <c r="C166" s="52" t="str">
        <f>IF(ADS!C261="","",ADS!C261)</f>
        <v>TKQC</v>
      </c>
      <c r="D166" s="79" t="str">
        <f>IF(ADS!D261="","",ADS!D261)</f>
        <v>983731997452501</v>
      </c>
      <c r="E166" s="52" t="str">
        <f>IF(ADS!E261="","",ADS!E261)</f>
        <v>TKQC</v>
      </c>
      <c r="F166" s="52" t="str">
        <f>IF(ADS!F261="","",ADS!F261)</f>
        <v/>
      </c>
      <c r="G166" s="52" t="str">
        <f>IF(ADS!G261="","",ADS!G261)</f>
        <v>PHẠM GIANG NAM</v>
      </c>
      <c r="H166" s="52" t="str">
        <f>IF(ADS!J261="","",ADS!J261)</f>
        <v>Thành viên</v>
      </c>
      <c r="I166" s="52" t="str">
        <f>IF(ADS!M261="","",ADS!M261)</f>
        <v/>
      </c>
      <c r="J166" s="52" t="str">
        <f>IF(ADS!R261="","",ADS!R261)</f>
        <v/>
      </c>
      <c r="K166" s="52" t="str">
        <f t="array" ref="K166">IF(COUNTA(ADS!T261:AE261)=0,"",INDEX(ADS!T261:AE261,1,SUMPRODUCT(MAX((ADS!T261:AE261&lt;&gt;"")*(COLUMN(ADS!T261:AE261)-COLUMN(ADS!T261)+1)))))</f>
        <v/>
      </c>
      <c r="L166" s="52" t="str">
        <f>IF(AND(G166&lt;&gt;"",G166='Tổng hợp'!$C$4),MAX(L$1:L165)+1,"")</f>
        <v/>
      </c>
    </row>
    <row r="167" ht="15.75" customHeight="1">
      <c r="A167" s="52" t="str">
        <f>IF(ADS!C262="","","ADS")</f>
        <v>ADS</v>
      </c>
      <c r="B167" s="52" t="str">
        <f>IF(ADS!B262="","",ADS!B262)</f>
        <v>ADS-257</v>
      </c>
      <c r="C167" s="52" t="str">
        <f>IF(ADS!C262="","",ADS!C262)</f>
        <v>TKQC</v>
      </c>
      <c r="D167" s="79" t="str">
        <f>IF(ADS!D262="","",ADS!D262)</f>
        <v>1634810254463319</v>
      </c>
      <c r="E167" s="52" t="str">
        <f>IF(ADS!E262="","",ADS!E262)</f>
        <v>TKQC</v>
      </c>
      <c r="F167" s="52" t="str">
        <f>IF(ADS!F262="","",ADS!F262)</f>
        <v/>
      </c>
      <c r="G167" s="52" t="str">
        <f>IF(ADS!G262="","",ADS!G262)</f>
        <v>PHẠM GIANG NAM</v>
      </c>
      <c r="H167" s="52" t="str">
        <f>IF(ADS!J262="","",ADS!J262)</f>
        <v>Thành viên</v>
      </c>
      <c r="I167" s="52" t="str">
        <f>IF(ADS!M262="","",ADS!M262)</f>
        <v/>
      </c>
      <c r="J167" s="52" t="str">
        <f>IF(ADS!R262="","",ADS!R262)</f>
        <v/>
      </c>
      <c r="K167" s="52" t="str">
        <f t="array" ref="K167">IF(COUNTA(ADS!T262:AE262)=0,"",INDEX(ADS!T262:AE262,1,SUMPRODUCT(MAX((ADS!T262:AE262&lt;&gt;"")*(COLUMN(ADS!T262:AE262)-COLUMN(ADS!T262)+1)))))</f>
        <v/>
      </c>
      <c r="L167" s="52" t="str">
        <f>IF(AND(G167&lt;&gt;"",G167='Tổng hợp'!$C$4),MAX(L$1:L166)+1,"")</f>
        <v/>
      </c>
    </row>
    <row r="168" ht="15.75" customHeight="1">
      <c r="A168" s="52" t="str">
        <f>IF(ADS!C263="","","ADS")</f>
        <v>ADS</v>
      </c>
      <c r="B168" s="52" t="str">
        <f>IF(ADS!B263="","",ADS!B263)</f>
        <v>ADS-258</v>
      </c>
      <c r="C168" s="52" t="str">
        <f>IF(ADS!C263="","",ADS!C263)</f>
        <v>TKQC</v>
      </c>
      <c r="D168" s="79" t="str">
        <f>IF(ADS!D263="","",ADS!D263)</f>
        <v>646490679877386</v>
      </c>
      <c r="E168" s="52" t="str">
        <f>IF(ADS!E263="","",ADS!E263)</f>
        <v>TKQC</v>
      </c>
      <c r="F168" s="52" t="str">
        <f>IF(ADS!F263="","",ADS!F263)</f>
        <v/>
      </c>
      <c r="G168" s="52" t="str">
        <f>IF(ADS!G263="","",ADS!G263)</f>
        <v>PHẠM GIANG NAM</v>
      </c>
      <c r="H168" s="52" t="str">
        <f>IF(ADS!J263="","",ADS!J263)</f>
        <v>Thành viên</v>
      </c>
      <c r="I168" s="52" t="str">
        <f>IF(ADS!M263="","",ADS!M263)</f>
        <v/>
      </c>
      <c r="J168" s="52" t="str">
        <f>IF(ADS!R263="","",ADS!R263)</f>
        <v/>
      </c>
      <c r="K168" s="52" t="str">
        <f t="array" ref="K168">IF(COUNTA(ADS!T263:AE263)=0,"",INDEX(ADS!T263:AE263,1,SUMPRODUCT(MAX((ADS!T263:AE263&lt;&gt;"")*(COLUMN(ADS!T263:AE263)-COLUMN(ADS!T263)+1)))))</f>
        <v/>
      </c>
      <c r="L168" s="52" t="str">
        <f>IF(AND(G168&lt;&gt;"",G168='Tổng hợp'!$C$4),MAX(L$1:L167)+1,"")</f>
        <v/>
      </c>
    </row>
    <row r="169" ht="15.75" customHeight="1">
      <c r="A169" s="52" t="str">
        <f>IF(ADS!C264="","","ADS")</f>
        <v>ADS</v>
      </c>
      <c r="B169" s="52" t="str">
        <f>IF(ADS!B264="","",ADS!B264)</f>
        <v>ADS-259</v>
      </c>
      <c r="C169" s="52" t="str">
        <f>IF(ADS!C264="","",ADS!C264)</f>
        <v>TKQC</v>
      </c>
      <c r="D169" s="79" t="str">
        <f>IF(ADS!D264="","",ADS!D264)</f>
        <v>983731997452501</v>
      </c>
      <c r="E169" s="52" t="str">
        <f>IF(ADS!E264="","",ADS!E264)</f>
        <v>TKQC</v>
      </c>
      <c r="F169" s="52" t="str">
        <f>IF(ADS!F264="","",ADS!F264)</f>
        <v/>
      </c>
      <c r="G169" s="52" t="str">
        <f>IF(ADS!G264="","",ADS!G264)</f>
        <v>PHẠM GIANG NAM</v>
      </c>
      <c r="H169" s="52" t="str">
        <f>IF(ADS!J264="","",ADS!J264)</f>
        <v>Thành viên</v>
      </c>
      <c r="I169" s="52" t="str">
        <f>IF(ADS!M264="","",ADS!M264)</f>
        <v/>
      </c>
      <c r="J169" s="52" t="str">
        <f>IF(ADS!R264="","",ADS!R264)</f>
        <v/>
      </c>
      <c r="K169" s="52" t="str">
        <f t="array" ref="K169">IF(COUNTA(ADS!T264:AE264)=0,"",INDEX(ADS!T264:AE264,1,SUMPRODUCT(MAX((ADS!T264:AE264&lt;&gt;"")*(COLUMN(ADS!T264:AE264)-COLUMN(ADS!T264)+1)))))</f>
        <v/>
      </c>
      <c r="L169" s="52" t="str">
        <f>IF(AND(G169&lt;&gt;"",G169='Tổng hợp'!$C$4),MAX(L$1:L168)+1,"")</f>
        <v/>
      </c>
    </row>
    <row r="170" ht="15.75" customHeight="1">
      <c r="A170" s="52" t="str">
        <f>IF(ADS!C265="","","ADS")</f>
        <v>ADS</v>
      </c>
      <c r="B170" s="52" t="str">
        <f>IF(ADS!B265="","",ADS!B265)</f>
        <v>ADS-260</v>
      </c>
      <c r="C170" s="52" t="str">
        <f>IF(ADS!C265="","",ADS!C265)</f>
        <v>TKQC</v>
      </c>
      <c r="D170" s="79" t="str">
        <f>IF(ADS!D265="","",ADS!D265)</f>
        <v>26814076504953079</v>
      </c>
      <c r="E170" s="52" t="str">
        <f>IF(ADS!E265="","",ADS!E265)</f>
        <v>TKQC</v>
      </c>
      <c r="F170" s="52" t="str">
        <f>IF(ADS!F265="","",ADS!F265)</f>
        <v/>
      </c>
      <c r="G170" s="52" t="str">
        <f>IF(ADS!G265="","",ADS!G265)</f>
        <v>PHẠM GIANG NAM</v>
      </c>
      <c r="H170" s="52" t="str">
        <f>IF(ADS!J265="","",ADS!J265)</f>
        <v>Thành viên</v>
      </c>
      <c r="I170" s="52" t="str">
        <f>IF(ADS!M265="","",ADS!M265)</f>
        <v/>
      </c>
      <c r="J170" s="52" t="str">
        <f>IF(ADS!R265="","",ADS!R265)</f>
        <v/>
      </c>
      <c r="K170" s="52" t="str">
        <f t="array" ref="K170">IF(COUNTA(ADS!T265:AE265)=0,"",INDEX(ADS!T265:AE265,1,SUMPRODUCT(MAX((ADS!T265:AE265&lt;&gt;"")*(COLUMN(ADS!T265:AE265)-COLUMN(ADS!T265)+1)))))</f>
        <v/>
      </c>
      <c r="L170" s="52" t="str">
        <f>IF(AND(G170&lt;&gt;"",G170='Tổng hợp'!$C$4),MAX(L$1:L169)+1,"")</f>
        <v/>
      </c>
    </row>
    <row r="171" ht="15.75" customHeight="1">
      <c r="A171" s="52" t="str">
        <f>IF(ADS!C266="","","ADS")</f>
        <v/>
      </c>
      <c r="B171" s="52" t="str">
        <f>IF(ADS!B266="","",ADS!B266)</f>
        <v/>
      </c>
      <c r="C171" s="52" t="str">
        <f>IF(ADS!C266="","",ADS!C266)</f>
        <v/>
      </c>
      <c r="D171" s="52" t="str">
        <f>IF(ADS!D266="","",ADS!D266)</f>
        <v/>
      </c>
      <c r="E171" s="52" t="str">
        <f>IF(ADS!E266="","",ADS!E266)</f>
        <v/>
      </c>
      <c r="F171" s="52" t="str">
        <f>IF(ADS!F266="","",ADS!F266)</f>
        <v/>
      </c>
      <c r="G171" s="52" t="str">
        <f>IF(ADS!G266="","",ADS!G266)</f>
        <v/>
      </c>
      <c r="H171" s="52" t="str">
        <f>IF(ADS!J266="","",ADS!J266)</f>
        <v/>
      </c>
      <c r="I171" s="52" t="str">
        <f>IF(ADS!M266="","",ADS!M266)</f>
        <v/>
      </c>
      <c r="J171" s="52" t="str">
        <f>IF(ADS!R266="","",ADS!R266)</f>
        <v/>
      </c>
      <c r="K171" s="52" t="str">
        <f t="array" ref="K171">IF(COUNTA(ADS!T266:AE266)=0,"",INDEX(ADS!T266:AE266,1,SUMPRODUCT(MAX((ADS!T266:AE266&lt;&gt;"")*(COLUMN(ADS!T266:AE266)-COLUMN(ADS!T266)+1)))))</f>
        <v/>
      </c>
      <c r="L171" s="52" t="str">
        <f>IF(AND(G171&lt;&gt;"",G171='Tổng hợp'!$C$4),MAX(L$1:L170)+1,"")</f>
        <v/>
      </c>
    </row>
    <row r="172" ht="15.75" customHeight="1">
      <c r="A172" s="52" t="str">
        <f>IF(ADS!C267="","","ADS")</f>
        <v/>
      </c>
      <c r="B172" s="52" t="str">
        <f>IF(ADS!B267="","",ADS!B267)</f>
        <v/>
      </c>
      <c r="C172" s="52" t="str">
        <f>IF(ADS!C267="","",ADS!C267)</f>
        <v/>
      </c>
      <c r="D172" s="52" t="str">
        <f>IF(ADS!D267="","",ADS!D267)</f>
        <v/>
      </c>
      <c r="E172" s="52" t="str">
        <f>IF(ADS!E267="","",ADS!E267)</f>
        <v/>
      </c>
      <c r="F172" s="52" t="str">
        <f>IF(ADS!F267="","",ADS!F267)</f>
        <v/>
      </c>
      <c r="G172" s="52" t="str">
        <f>IF(ADS!G267="","",ADS!G267)</f>
        <v/>
      </c>
      <c r="H172" s="52" t="str">
        <f>IF(ADS!J267="","",ADS!J267)</f>
        <v/>
      </c>
      <c r="I172" s="52" t="str">
        <f>IF(ADS!M267="","",ADS!M267)</f>
        <v/>
      </c>
      <c r="J172" s="52" t="str">
        <f>IF(ADS!R267="","",ADS!R267)</f>
        <v/>
      </c>
      <c r="K172" s="52" t="str">
        <f t="array" ref="K172">IF(COUNTA(ADS!T267:AE267)=0,"",INDEX(ADS!T267:AE267,1,SUMPRODUCT(MAX((ADS!T267:AE267&lt;&gt;"")*(COLUMN(ADS!T267:AE267)-COLUMN(ADS!T267)+1)))))</f>
        <v/>
      </c>
      <c r="L172" s="52" t="str">
        <f>IF(AND(G172&lt;&gt;"",G172='Tổng hợp'!$C$4),MAX(L$1:L171)+1,"")</f>
        <v/>
      </c>
    </row>
    <row r="173" ht="15.75" customHeight="1">
      <c r="A173" s="52" t="str">
        <f>IF(ADS!C268="","","ADS")</f>
        <v/>
      </c>
      <c r="B173" s="52" t="str">
        <f>IF(ADS!B268="","",ADS!B268)</f>
        <v/>
      </c>
      <c r="C173" s="52" t="str">
        <f>IF(ADS!C268="","",ADS!C268)</f>
        <v/>
      </c>
      <c r="D173" s="52" t="str">
        <f>IF(ADS!D268="","",ADS!D268)</f>
        <v/>
      </c>
      <c r="E173" s="52" t="str">
        <f>IF(ADS!E268="","",ADS!E268)</f>
        <v/>
      </c>
      <c r="F173" s="52" t="str">
        <f>IF(ADS!F268="","",ADS!F268)</f>
        <v/>
      </c>
      <c r="G173" s="52" t="str">
        <f>IF(ADS!G268="","",ADS!G268)</f>
        <v/>
      </c>
      <c r="H173" s="52" t="str">
        <f>IF(ADS!J268="","",ADS!J268)</f>
        <v/>
      </c>
      <c r="I173" s="52" t="str">
        <f>IF(ADS!M268="","",ADS!M268)</f>
        <v/>
      </c>
      <c r="J173" s="52" t="str">
        <f>IF(ADS!R268="","",ADS!R268)</f>
        <v/>
      </c>
      <c r="K173" s="52" t="str">
        <f t="array" ref="K173">IF(COUNTA(ADS!T268:AE268)=0,"",INDEX(ADS!T268:AE268,1,SUMPRODUCT(MAX((ADS!T268:AE268&lt;&gt;"")*(COLUMN(ADS!T268:AE268)-COLUMN(ADS!T268)+1)))))</f>
        <v/>
      </c>
      <c r="L173" s="52" t="str">
        <f>IF(AND(G173&lt;&gt;"",G173='Tổng hợp'!$C$4),MAX(L$1:L172)+1,"")</f>
        <v/>
      </c>
    </row>
    <row r="174" ht="15.75" customHeight="1">
      <c r="A174" s="52" t="str">
        <f>IF(ADS!C269="","","ADS")</f>
        <v/>
      </c>
      <c r="B174" s="52" t="str">
        <f>IF(ADS!B269="","",ADS!B269)</f>
        <v/>
      </c>
      <c r="C174" s="52" t="str">
        <f>IF(ADS!C269="","",ADS!C269)</f>
        <v/>
      </c>
      <c r="D174" s="52" t="str">
        <f>IF(ADS!D269="","",ADS!D269)</f>
        <v/>
      </c>
      <c r="E174" s="52" t="str">
        <f>IF(ADS!E269="","",ADS!E269)</f>
        <v/>
      </c>
      <c r="F174" s="52" t="str">
        <f>IF(ADS!F269="","",ADS!F269)</f>
        <v/>
      </c>
      <c r="G174" s="52" t="str">
        <f>IF(ADS!G269="","",ADS!G269)</f>
        <v/>
      </c>
      <c r="H174" s="52" t="str">
        <f>IF(ADS!J269="","",ADS!J269)</f>
        <v/>
      </c>
      <c r="I174" s="52" t="str">
        <f>IF(ADS!M269="","",ADS!M269)</f>
        <v/>
      </c>
      <c r="J174" s="52" t="str">
        <f>IF(ADS!R269="","",ADS!R269)</f>
        <v/>
      </c>
      <c r="K174" s="52" t="str">
        <f t="array" ref="K174">IF(COUNTA(ADS!T269:AE269)=0,"",INDEX(ADS!T269:AE269,1,SUMPRODUCT(MAX((ADS!T269:AE269&lt;&gt;"")*(COLUMN(ADS!T269:AE269)-COLUMN(ADS!T269)+1)))))</f>
        <v/>
      </c>
      <c r="L174" s="52" t="str">
        <f>IF(AND(G174&lt;&gt;"",G174='Tổng hợp'!$C$4),MAX(L$1:L173)+1,"")</f>
        <v/>
      </c>
    </row>
    <row r="175" ht="15.75" customHeight="1">
      <c r="A175" s="52" t="str">
        <f>IF(ADS!C270="","","ADS")</f>
        <v/>
      </c>
      <c r="B175" s="52" t="str">
        <f>IF(ADS!B270="","",ADS!B270)</f>
        <v/>
      </c>
      <c r="C175" s="52" t="str">
        <f>IF(ADS!C270="","",ADS!C270)</f>
        <v/>
      </c>
      <c r="D175" s="52" t="str">
        <f>IF(ADS!D270="","",ADS!D270)</f>
        <v/>
      </c>
      <c r="E175" s="52" t="str">
        <f>IF(ADS!E270="","",ADS!E270)</f>
        <v/>
      </c>
      <c r="F175" s="52" t="str">
        <f>IF(ADS!F270="","",ADS!F270)</f>
        <v/>
      </c>
      <c r="G175" s="52" t="str">
        <f>IF(ADS!G270="","",ADS!G270)</f>
        <v/>
      </c>
      <c r="H175" s="52" t="str">
        <f>IF(ADS!J270="","",ADS!J270)</f>
        <v/>
      </c>
      <c r="I175" s="52" t="str">
        <f>IF(ADS!M270="","",ADS!M270)</f>
        <v/>
      </c>
      <c r="J175" s="52" t="str">
        <f>IF(ADS!R270="","",ADS!R270)</f>
        <v/>
      </c>
      <c r="K175" s="52" t="str">
        <f t="array" ref="K175">IF(COUNTA(ADS!T270:AE270)=0,"",INDEX(ADS!T270:AE270,1,SUMPRODUCT(MAX((ADS!T270:AE270&lt;&gt;"")*(COLUMN(ADS!T270:AE270)-COLUMN(ADS!T270)+1)))))</f>
        <v/>
      </c>
      <c r="L175" s="52" t="str">
        <f>IF(AND(G175&lt;&gt;"",G175='Tổng hợp'!$C$4),MAX(L$1:L174)+1,"")</f>
        <v/>
      </c>
    </row>
    <row r="176" ht="15.75" customHeight="1">
      <c r="A176" s="52" t="str">
        <f>IF(ADS!C271="","","ADS")</f>
        <v/>
      </c>
      <c r="B176" s="52" t="str">
        <f>IF(ADS!B271="","",ADS!B271)</f>
        <v/>
      </c>
      <c r="C176" s="52" t="str">
        <f>IF(ADS!C271="","",ADS!C271)</f>
        <v/>
      </c>
      <c r="D176" s="52" t="str">
        <f>IF(ADS!D271="","",ADS!D271)</f>
        <v/>
      </c>
      <c r="E176" s="52" t="str">
        <f>IF(ADS!E271="","",ADS!E271)</f>
        <v/>
      </c>
      <c r="F176" s="52" t="str">
        <f>IF(ADS!F271="","",ADS!F271)</f>
        <v/>
      </c>
      <c r="G176" s="52" t="str">
        <f>IF(ADS!G271="","",ADS!G271)</f>
        <v/>
      </c>
      <c r="H176" s="52" t="str">
        <f>IF(ADS!J271="","",ADS!J271)</f>
        <v/>
      </c>
      <c r="I176" s="52" t="str">
        <f>IF(ADS!M271="","",ADS!M271)</f>
        <v/>
      </c>
      <c r="J176" s="52" t="str">
        <f>IF(ADS!R271="","",ADS!R271)</f>
        <v/>
      </c>
      <c r="K176" s="52" t="str">
        <f t="array" ref="K176">IF(COUNTA(ADS!T271:AE271)=0,"",INDEX(ADS!T271:AE271,1,SUMPRODUCT(MAX((ADS!T271:AE271&lt;&gt;"")*(COLUMN(ADS!T271:AE271)-COLUMN(ADS!T271)+1)))))</f>
        <v/>
      </c>
      <c r="L176" s="52" t="str">
        <f>IF(AND(G176&lt;&gt;"",G176='Tổng hợp'!$C$4),MAX(L$1:L175)+1,"")</f>
        <v/>
      </c>
    </row>
    <row r="177" ht="15.75" customHeight="1">
      <c r="A177" s="52" t="str">
        <f>IF(ADS!C272="","","ADS")</f>
        <v/>
      </c>
      <c r="B177" s="52" t="str">
        <f>IF(ADS!B272="","",ADS!B272)</f>
        <v/>
      </c>
      <c r="C177" s="52" t="str">
        <f>IF(ADS!C272="","",ADS!C272)</f>
        <v/>
      </c>
      <c r="D177" s="52" t="str">
        <f>IF(ADS!D272="","",ADS!D272)</f>
        <v/>
      </c>
      <c r="E177" s="52" t="str">
        <f>IF(ADS!E272="","",ADS!E272)</f>
        <v/>
      </c>
      <c r="F177" s="52" t="str">
        <f>IF(ADS!F272="","",ADS!F272)</f>
        <v/>
      </c>
      <c r="G177" s="52" t="str">
        <f>IF(ADS!G272="","",ADS!G272)</f>
        <v/>
      </c>
      <c r="H177" s="52" t="str">
        <f>IF(ADS!J272="","",ADS!J272)</f>
        <v/>
      </c>
      <c r="I177" s="52" t="str">
        <f>IF(ADS!M272="","",ADS!M272)</f>
        <v/>
      </c>
      <c r="J177" s="52" t="str">
        <f>IF(ADS!R272="","",ADS!R272)</f>
        <v/>
      </c>
      <c r="K177" s="52" t="str">
        <f t="array" ref="K177">IF(COUNTA(ADS!T272:AE272)=0,"",INDEX(ADS!T272:AE272,1,SUMPRODUCT(MAX((ADS!T272:AE272&lt;&gt;"")*(COLUMN(ADS!T272:AE272)-COLUMN(ADS!T272)+1)))))</f>
        <v/>
      </c>
      <c r="L177" s="52" t="str">
        <f>IF(AND(G177&lt;&gt;"",G177='Tổng hợp'!$C$4),MAX(L$1:L176)+1,"")</f>
        <v/>
      </c>
    </row>
    <row r="178" ht="15.75" customHeight="1">
      <c r="A178" s="52" t="str">
        <f>IF(ADS!C273="","","ADS")</f>
        <v>ADS</v>
      </c>
      <c r="B178" s="52" t="str">
        <f>IF(ADS!B273="","",ADS!B273)</f>
        <v>ADS-268</v>
      </c>
      <c r="C178" s="52" t="str">
        <f>IF(ADS!C273="","",ADS!C273)</f>
        <v>Nhóm</v>
      </c>
      <c r="D178" s="52" t="str">
        <f>IF(ADS!D273="","",ADS!D273)</f>
        <v/>
      </c>
      <c r="E178" s="52" t="str">
        <f>IF(ADS!E273="","",ADS!E273)</f>
        <v/>
      </c>
      <c r="F178" s="52" t="str">
        <f>IF(ADS!F273="","",ADS!F273)</f>
        <v/>
      </c>
      <c r="G178" s="52" t="str">
        <f>IF(ADS!G273="","",ADS!G273)</f>
        <v/>
      </c>
      <c r="H178" s="52" t="str">
        <f>IF(ADS!J273="","",ADS!J273)</f>
        <v/>
      </c>
      <c r="I178" s="52" t="str">
        <f>IF(ADS!M273="","",ADS!M273)</f>
        <v/>
      </c>
      <c r="J178" s="52" t="str">
        <f>IF(ADS!R273="","",ADS!R273)</f>
        <v/>
      </c>
      <c r="K178" s="52" t="str">
        <f t="array" ref="K178">IF(COUNTA(ADS!T273:AE273)=0,"",INDEX(ADS!T273:AE273,1,SUMPRODUCT(MAX((ADS!T273:AE273&lt;&gt;"")*(COLUMN(ADS!T273:AE273)-COLUMN(ADS!T273)+1)))))</f>
        <v/>
      </c>
      <c r="L178" s="52" t="str">
        <f>IF(AND(G178&lt;&gt;"",G178='Tổng hợp'!$C$4),MAX(L$1:L177)+1,"")</f>
        <v/>
      </c>
    </row>
    <row r="179" ht="15.75" customHeight="1">
      <c r="A179" s="52" t="str">
        <f>IF(ADS!C274="","","ADS")</f>
        <v>ADS</v>
      </c>
      <c r="B179" s="52" t="str">
        <f>IF(ADS!B274="","",ADS!B274)</f>
        <v>ADS-269</v>
      </c>
      <c r="C179" s="52" t="str">
        <f>IF(ADS!C274="","",ADS!C274)</f>
        <v>Page</v>
      </c>
      <c r="D179" s="52" t="str">
        <f>IF(ADS!D274="","",ADS!D274)</f>
        <v/>
      </c>
      <c r="E179" s="52" t="str">
        <f>IF(ADS!E274="","",ADS!E274)</f>
        <v/>
      </c>
      <c r="F179" s="52" t="str">
        <f>IF(ADS!F274="","",ADS!F274)</f>
        <v/>
      </c>
      <c r="G179" s="52" t="str">
        <f>IF(ADS!G274="","",ADS!G274)</f>
        <v/>
      </c>
      <c r="H179" s="52" t="str">
        <f>IF(ADS!J274="","",ADS!J274)</f>
        <v/>
      </c>
      <c r="I179" s="52" t="str">
        <f>IF(ADS!M274="","",ADS!M274)</f>
        <v/>
      </c>
      <c r="J179" s="52" t="str">
        <f>IF(ADS!R274="","",ADS!R274)</f>
        <v/>
      </c>
      <c r="K179" s="52" t="str">
        <f t="array" ref="K179">IF(COUNTA(ADS!T274:AE274)=0,"",INDEX(ADS!T274:AE274,1,SUMPRODUCT(MAX((ADS!T274:AE274&lt;&gt;"")*(COLUMN(ADS!T274:AE274)-COLUMN(ADS!T274)+1)))))</f>
        <v/>
      </c>
      <c r="L179" s="52" t="str">
        <f>IF(AND(G179&lt;&gt;"",G179='Tổng hợp'!$C$4),MAX(L$1:L178)+1,"")</f>
        <v/>
      </c>
    </row>
    <row r="180" ht="15.75" customHeight="1">
      <c r="A180" s="52" t="str">
        <f>IF(ADS!C275="","","ADS")</f>
        <v/>
      </c>
      <c r="B180" s="52" t="str">
        <f>IF(ADS!B275="","",ADS!B275)</f>
        <v/>
      </c>
      <c r="C180" s="52" t="str">
        <f>IF(ADS!C275="","",ADS!C275)</f>
        <v/>
      </c>
      <c r="D180" s="52" t="str">
        <f>IF(ADS!D275="","",ADS!D275)</f>
        <v/>
      </c>
      <c r="E180" s="52" t="str">
        <f>IF(ADS!E275="","",ADS!E275)</f>
        <v/>
      </c>
      <c r="F180" s="52" t="str">
        <f>IF(ADS!F275="","",ADS!F275)</f>
        <v/>
      </c>
      <c r="G180" s="52" t="str">
        <f>IF(ADS!G275="","",ADS!G275)</f>
        <v/>
      </c>
      <c r="H180" s="52" t="str">
        <f>IF(ADS!J275="","",ADS!J275)</f>
        <v/>
      </c>
      <c r="I180" s="52" t="str">
        <f>IF(ADS!M275="","",ADS!M275)</f>
        <v/>
      </c>
      <c r="J180" s="52" t="str">
        <f>IF(ADS!R275="","",ADS!R275)</f>
        <v/>
      </c>
      <c r="K180" s="52" t="str">
        <f t="array" ref="K180">IF(COUNTA(ADS!T275:AE275)=0,"",INDEX(ADS!T275:AE275,1,SUMPRODUCT(MAX((ADS!T275:AE275&lt;&gt;"")*(COLUMN(ADS!T275:AE275)-COLUMN(ADS!T275)+1)))))</f>
        <v/>
      </c>
      <c r="L180" s="52" t="str">
        <f>IF(AND(G180&lt;&gt;"",G180='Tổng hợp'!$C$4),MAX(L$1:L179)+1,"")</f>
        <v/>
      </c>
    </row>
    <row r="181" ht="15.75" customHeight="1">
      <c r="A181" s="52" t="str">
        <f>IF(ADS!C276="","","ADS")</f>
        <v/>
      </c>
      <c r="B181" s="52" t="str">
        <f>IF(ADS!B276="","",ADS!B276)</f>
        <v/>
      </c>
      <c r="C181" s="52" t="str">
        <f>IF(ADS!C276="","",ADS!C276)</f>
        <v/>
      </c>
      <c r="D181" s="52" t="str">
        <f>IF(ADS!D276="","",ADS!D276)</f>
        <v/>
      </c>
      <c r="E181" s="52" t="str">
        <f>IF(ADS!E276="","",ADS!E276)</f>
        <v/>
      </c>
      <c r="F181" s="52" t="str">
        <f>IF(ADS!F276="","",ADS!F276)</f>
        <v/>
      </c>
      <c r="G181" s="52" t="str">
        <f>IF(ADS!G276="","",ADS!G276)</f>
        <v/>
      </c>
      <c r="H181" s="52" t="str">
        <f>IF(ADS!J276="","",ADS!J276)</f>
        <v/>
      </c>
      <c r="I181" s="52" t="str">
        <f>IF(ADS!M276="","",ADS!M276)</f>
        <v/>
      </c>
      <c r="J181" s="52" t="str">
        <f>IF(ADS!R276="","",ADS!R276)</f>
        <v/>
      </c>
      <c r="K181" s="52" t="str">
        <f t="array" ref="K181">IF(COUNTA(ADS!T276:AE276)=0,"",INDEX(ADS!T276:AE276,1,SUMPRODUCT(MAX((ADS!T276:AE276&lt;&gt;"")*(COLUMN(ADS!T276:AE276)-COLUMN(ADS!T276)+1)))))</f>
        <v/>
      </c>
      <c r="L181" s="52" t="str">
        <f>IF(AND(G181&lt;&gt;"",G181='Tổng hợp'!$C$4),MAX(L$1:L180)+1,"")</f>
        <v/>
      </c>
    </row>
    <row r="182" ht="15.75" customHeight="1">
      <c r="A182" s="52" t="str">
        <f>IF(ADS!C277="","","ADS")</f>
        <v/>
      </c>
      <c r="B182" s="52" t="str">
        <f>IF(ADS!B277="","",ADS!B277)</f>
        <v/>
      </c>
      <c r="C182" s="52" t="str">
        <f>IF(ADS!C277="","",ADS!C277)</f>
        <v/>
      </c>
      <c r="D182" s="52" t="str">
        <f>IF(ADS!D277="","",ADS!D277)</f>
        <v/>
      </c>
      <c r="E182" s="52" t="str">
        <f>IF(ADS!E277="","",ADS!E277)</f>
        <v/>
      </c>
      <c r="F182" s="52" t="str">
        <f>IF(ADS!F277="","",ADS!F277)</f>
        <v/>
      </c>
      <c r="G182" s="52" t="str">
        <f>IF(ADS!G277="","",ADS!G277)</f>
        <v/>
      </c>
      <c r="H182" s="52" t="str">
        <f>IF(ADS!J277="","",ADS!J277)</f>
        <v/>
      </c>
      <c r="I182" s="52" t="str">
        <f>IF(ADS!M277="","",ADS!M277)</f>
        <v/>
      </c>
      <c r="J182" s="52" t="str">
        <f>IF(ADS!R277="","",ADS!R277)</f>
        <v/>
      </c>
      <c r="K182" s="52" t="str">
        <f t="array" ref="K182">IF(COUNTA(ADS!T277:AE277)=0,"",INDEX(ADS!T277:AE277,1,SUMPRODUCT(MAX((ADS!T277:AE277&lt;&gt;"")*(COLUMN(ADS!T277:AE277)-COLUMN(ADS!T277)+1)))))</f>
        <v/>
      </c>
      <c r="L182" s="52" t="str">
        <f>IF(AND(G182&lt;&gt;"",G182='Tổng hợp'!$C$4),MAX(L$1:L181)+1,"")</f>
        <v/>
      </c>
    </row>
    <row r="183" ht="15.75" customHeight="1">
      <c r="A183" s="52" t="str">
        <f>IF(ADS!C278="","","ADS")</f>
        <v/>
      </c>
      <c r="B183" s="52" t="str">
        <f>IF(ADS!B278="","",ADS!B278)</f>
        <v/>
      </c>
      <c r="C183" s="52" t="str">
        <f>IF(ADS!C278="","",ADS!C278)</f>
        <v/>
      </c>
      <c r="D183" s="52" t="str">
        <f>IF(ADS!D278="","",ADS!D278)</f>
        <v/>
      </c>
      <c r="E183" s="52" t="str">
        <f>IF(ADS!E278="","",ADS!E278)</f>
        <v/>
      </c>
      <c r="F183" s="52" t="str">
        <f>IF(ADS!F278="","",ADS!F278)</f>
        <v/>
      </c>
      <c r="G183" s="52" t="str">
        <f>IF(ADS!G278="","",ADS!G278)</f>
        <v/>
      </c>
      <c r="H183" s="52" t="str">
        <f>IF(ADS!J278="","",ADS!J278)</f>
        <v/>
      </c>
      <c r="I183" s="52" t="str">
        <f>IF(ADS!M278="","",ADS!M278)</f>
        <v/>
      </c>
      <c r="J183" s="52" t="str">
        <f>IF(ADS!R278="","",ADS!R278)</f>
        <v/>
      </c>
      <c r="K183" s="52" t="str">
        <f t="array" ref="K183">IF(COUNTA(ADS!T278:AE278)=0,"",INDEX(ADS!T278:AE278,1,SUMPRODUCT(MAX((ADS!T278:AE278&lt;&gt;"")*(COLUMN(ADS!T278:AE278)-COLUMN(ADS!T278)+1)))))</f>
        <v/>
      </c>
      <c r="L183" s="52" t="str">
        <f>IF(AND(G183&lt;&gt;"",G183='Tổng hợp'!$C$4),MAX(L$1:L182)+1,"")</f>
        <v/>
      </c>
    </row>
    <row r="184" ht="15.75" customHeight="1">
      <c r="A184" s="52" t="str">
        <f>IF(ADS!C279="","","ADS")</f>
        <v/>
      </c>
      <c r="B184" s="52" t="str">
        <f>IF(ADS!B279="","",ADS!B279)</f>
        <v/>
      </c>
      <c r="C184" s="52" t="str">
        <f>IF(ADS!C279="","",ADS!C279)</f>
        <v/>
      </c>
      <c r="D184" s="52" t="str">
        <f>IF(ADS!D279="","",ADS!D279)</f>
        <v/>
      </c>
      <c r="E184" s="52" t="str">
        <f>IF(ADS!E279="","",ADS!E279)</f>
        <v/>
      </c>
      <c r="F184" s="52" t="str">
        <f>IF(ADS!F279="","",ADS!F279)</f>
        <v/>
      </c>
      <c r="G184" s="52" t="str">
        <f>IF(ADS!G279="","",ADS!G279)</f>
        <v/>
      </c>
      <c r="H184" s="52" t="str">
        <f>IF(ADS!J279="","",ADS!J279)</f>
        <v/>
      </c>
      <c r="I184" s="52" t="str">
        <f>IF(ADS!M279="","",ADS!M279)</f>
        <v/>
      </c>
      <c r="J184" s="52" t="str">
        <f>IF(ADS!R279="","",ADS!R279)</f>
        <v/>
      </c>
      <c r="K184" s="52" t="str">
        <f t="array" ref="K184">IF(COUNTA(ADS!T279:AE279)=0,"",INDEX(ADS!T279:AE279,1,SUMPRODUCT(MAX((ADS!T279:AE279&lt;&gt;"")*(COLUMN(ADS!T279:AE279)-COLUMN(ADS!T279)+1)))))</f>
        <v/>
      </c>
      <c r="L184" s="52" t="str">
        <f>IF(AND(G184&lt;&gt;"",G184='Tổng hợp'!$C$4),MAX(L$1:L183)+1,"")</f>
        <v/>
      </c>
    </row>
    <row r="185" ht="15.75" customHeight="1">
      <c r="A185" s="52" t="str">
        <f>IF(ADS!C280="","","ADS")</f>
        <v/>
      </c>
      <c r="B185" s="52" t="str">
        <f>IF(ADS!B280="","",ADS!B280)</f>
        <v/>
      </c>
      <c r="C185" s="52" t="str">
        <f>IF(ADS!C280="","",ADS!C280)</f>
        <v/>
      </c>
      <c r="D185" s="52" t="str">
        <f>IF(ADS!D280="","",ADS!D280)</f>
        <v/>
      </c>
      <c r="E185" s="52" t="str">
        <f>IF(ADS!E280="","",ADS!E280)</f>
        <v/>
      </c>
      <c r="F185" s="52" t="str">
        <f>IF(ADS!F280="","",ADS!F280)</f>
        <v/>
      </c>
      <c r="G185" s="52" t="str">
        <f>IF(ADS!G280="","",ADS!G280)</f>
        <v/>
      </c>
      <c r="H185" s="52" t="str">
        <f>IF(ADS!J280="","",ADS!J280)</f>
        <v/>
      </c>
      <c r="I185" s="52" t="str">
        <f>IF(ADS!M280="","",ADS!M280)</f>
        <v/>
      </c>
      <c r="J185" s="52" t="str">
        <f>IF(ADS!R280="","",ADS!R280)</f>
        <v/>
      </c>
      <c r="K185" s="52" t="str">
        <f t="array" ref="K185">IF(COUNTA(ADS!T280:AE280)=0,"",INDEX(ADS!T280:AE280,1,SUMPRODUCT(MAX((ADS!T280:AE280&lt;&gt;"")*(COLUMN(ADS!T280:AE280)-COLUMN(ADS!T280)+1)))))</f>
        <v/>
      </c>
      <c r="L185" s="52" t="str">
        <f>IF(AND(G185&lt;&gt;"",G185='Tổng hợp'!$C$4),MAX(L$1:L184)+1,"")</f>
        <v/>
      </c>
    </row>
    <row r="186" ht="15.75" customHeight="1">
      <c r="A186" s="52" t="str">
        <f>IF(ADS!C281="","","ADS")</f>
        <v/>
      </c>
      <c r="B186" s="52" t="str">
        <f>IF(ADS!B281="","",ADS!B281)</f>
        <v/>
      </c>
      <c r="C186" s="52" t="str">
        <f>IF(ADS!C281="","",ADS!C281)</f>
        <v/>
      </c>
      <c r="D186" s="52" t="str">
        <f>IF(ADS!D281="","",ADS!D281)</f>
        <v/>
      </c>
      <c r="E186" s="52" t="str">
        <f>IF(ADS!E281="","",ADS!E281)</f>
        <v/>
      </c>
      <c r="F186" s="52" t="str">
        <f>IF(ADS!F281="","",ADS!F281)</f>
        <v/>
      </c>
      <c r="G186" s="52" t="str">
        <f>IF(ADS!G281="","",ADS!G281)</f>
        <v/>
      </c>
      <c r="H186" s="52" t="str">
        <f>IF(ADS!J281="","",ADS!J281)</f>
        <v/>
      </c>
      <c r="I186" s="52" t="str">
        <f>IF(ADS!M281="","",ADS!M281)</f>
        <v/>
      </c>
      <c r="J186" s="52" t="str">
        <f>IF(ADS!R281="","",ADS!R281)</f>
        <v/>
      </c>
      <c r="K186" s="52" t="str">
        <f t="array" ref="K186">IF(COUNTA(ADS!T281:AE281)=0,"",INDEX(ADS!T281:AE281,1,SUMPRODUCT(MAX((ADS!T281:AE281&lt;&gt;"")*(COLUMN(ADS!T281:AE281)-COLUMN(ADS!T281)+1)))))</f>
        <v/>
      </c>
      <c r="L186" s="52" t="str">
        <f>IF(AND(G186&lt;&gt;"",G186='Tổng hợp'!$C$4),MAX(L$1:L185)+1,"")</f>
        <v/>
      </c>
    </row>
    <row r="187" ht="15.75" customHeight="1">
      <c r="A187" s="52" t="str">
        <f>IF(ADS!C282="","","ADS")</f>
        <v/>
      </c>
      <c r="B187" s="52" t="str">
        <f>IF(ADS!B282="","",ADS!B282)</f>
        <v/>
      </c>
      <c r="C187" s="52" t="str">
        <f>IF(ADS!C282="","",ADS!C282)</f>
        <v/>
      </c>
      <c r="D187" s="52" t="str">
        <f>IF(ADS!D282="","",ADS!D282)</f>
        <v/>
      </c>
      <c r="E187" s="52" t="str">
        <f>IF(ADS!E282="","",ADS!E282)</f>
        <v/>
      </c>
      <c r="F187" s="52" t="str">
        <f>IF(ADS!F282="","",ADS!F282)</f>
        <v/>
      </c>
      <c r="G187" s="52" t="str">
        <f>IF(ADS!G282="","",ADS!G282)</f>
        <v/>
      </c>
      <c r="H187" s="52" t="str">
        <f>IF(ADS!J282="","",ADS!J282)</f>
        <v/>
      </c>
      <c r="I187" s="52" t="str">
        <f>IF(ADS!M282="","",ADS!M282)</f>
        <v/>
      </c>
      <c r="J187" s="52" t="str">
        <f>IF(ADS!R282="","",ADS!R282)</f>
        <v/>
      </c>
      <c r="K187" s="52" t="str">
        <f t="array" ref="K187">IF(COUNTA(ADS!T282:AE282)=0,"",INDEX(ADS!T282:AE282,1,SUMPRODUCT(MAX((ADS!T282:AE282&lt;&gt;"")*(COLUMN(ADS!T282:AE282)-COLUMN(ADS!T282)+1)))))</f>
        <v/>
      </c>
      <c r="L187" s="52" t="str">
        <f>IF(AND(G187&lt;&gt;"",G187='Tổng hợp'!$C$4),MAX(L$1:L186)+1,"")</f>
        <v/>
      </c>
    </row>
    <row r="188" ht="15.75" customHeight="1">
      <c r="A188" s="52" t="str">
        <f>IF(ADS!C283="","","ADS")</f>
        <v/>
      </c>
      <c r="B188" s="52" t="str">
        <f>IF(ADS!B283="","",ADS!B283)</f>
        <v/>
      </c>
      <c r="C188" s="52" t="str">
        <f>IF(ADS!C283="","",ADS!C283)</f>
        <v/>
      </c>
      <c r="D188" s="52" t="str">
        <f>IF(ADS!D283="","",ADS!D283)</f>
        <v/>
      </c>
      <c r="E188" s="52" t="str">
        <f>IF(ADS!E283="","",ADS!E283)</f>
        <v/>
      </c>
      <c r="F188" s="52" t="str">
        <f>IF(ADS!F283="","",ADS!F283)</f>
        <v/>
      </c>
      <c r="G188" s="52" t="str">
        <f>IF(ADS!G283="","",ADS!G283)</f>
        <v/>
      </c>
      <c r="H188" s="52" t="str">
        <f>IF(ADS!J283="","",ADS!J283)</f>
        <v/>
      </c>
      <c r="I188" s="52" t="str">
        <f>IF(ADS!M283="","",ADS!M283)</f>
        <v/>
      </c>
      <c r="J188" s="52" t="str">
        <f>IF(ADS!R283="","",ADS!R283)</f>
        <v/>
      </c>
      <c r="K188" s="52" t="str">
        <f t="array" ref="K188">IF(COUNTA(ADS!T283:AE283)=0,"",INDEX(ADS!T283:AE283,1,SUMPRODUCT(MAX((ADS!T283:AE283&lt;&gt;"")*(COLUMN(ADS!T283:AE283)-COLUMN(ADS!T283)+1)))))</f>
        <v/>
      </c>
      <c r="L188" s="52" t="str">
        <f>IF(AND(G188&lt;&gt;"",G188='Tổng hợp'!$C$4),MAX(L$1:L187)+1,"")</f>
        <v/>
      </c>
    </row>
    <row r="189" ht="15.75" customHeight="1">
      <c r="A189" s="52" t="str">
        <f>IF(ADS!C284="","","ADS")</f>
        <v/>
      </c>
      <c r="B189" s="52" t="str">
        <f>IF(ADS!B284="","",ADS!B284)</f>
        <v/>
      </c>
      <c r="C189" s="52" t="str">
        <f>IF(ADS!C284="","",ADS!C284)</f>
        <v/>
      </c>
      <c r="D189" s="52" t="str">
        <f>IF(ADS!D284="","",ADS!D284)</f>
        <v/>
      </c>
      <c r="E189" s="52" t="str">
        <f>IF(ADS!E284="","",ADS!E284)</f>
        <v/>
      </c>
      <c r="F189" s="52" t="str">
        <f>IF(ADS!F284="","",ADS!F284)</f>
        <v/>
      </c>
      <c r="G189" s="52" t="str">
        <f>IF(ADS!G284="","",ADS!G284)</f>
        <v/>
      </c>
      <c r="H189" s="52" t="str">
        <f>IF(ADS!J284="","",ADS!J284)</f>
        <v/>
      </c>
      <c r="I189" s="52" t="str">
        <f>IF(ADS!M284="","",ADS!M284)</f>
        <v/>
      </c>
      <c r="J189" s="52" t="str">
        <f>IF(ADS!R284="","",ADS!R284)</f>
        <v/>
      </c>
      <c r="K189" s="52" t="str">
        <f t="array" ref="K189">IF(COUNTA(ADS!T284:AE284)=0,"",INDEX(ADS!T284:AE284,1,SUMPRODUCT(MAX((ADS!T284:AE284&lt;&gt;"")*(COLUMN(ADS!T284:AE284)-COLUMN(ADS!T284)+1)))))</f>
        <v/>
      </c>
      <c r="L189" s="52" t="str">
        <f>IF(AND(G189&lt;&gt;"",G189='Tổng hợp'!$C$4),MAX(L$1:L188)+1,"")</f>
        <v/>
      </c>
    </row>
    <row r="190" ht="15.75" customHeight="1">
      <c r="A190" s="52" t="str">
        <f>IF(ADS!C285="","","ADS")</f>
        <v/>
      </c>
      <c r="B190" s="52" t="str">
        <f>IF(ADS!B285="","",ADS!B285)</f>
        <v/>
      </c>
      <c r="C190" s="52" t="str">
        <f>IF(ADS!C285="","",ADS!C285)</f>
        <v/>
      </c>
      <c r="D190" s="52" t="str">
        <f>IF(ADS!D285="","",ADS!D285)</f>
        <v/>
      </c>
      <c r="E190" s="52" t="str">
        <f>IF(ADS!E285="","",ADS!E285)</f>
        <v/>
      </c>
      <c r="F190" s="52" t="str">
        <f>IF(ADS!F285="","",ADS!F285)</f>
        <v/>
      </c>
      <c r="G190" s="52" t="str">
        <f>IF(ADS!G285="","",ADS!G285)</f>
        <v/>
      </c>
      <c r="H190" s="52" t="str">
        <f>IF(ADS!J285="","",ADS!J285)</f>
        <v/>
      </c>
      <c r="I190" s="52" t="str">
        <f>IF(ADS!M285="","",ADS!M285)</f>
        <v/>
      </c>
      <c r="J190" s="52" t="str">
        <f>IF(ADS!R285="","",ADS!R285)</f>
        <v/>
      </c>
      <c r="K190" s="52" t="str">
        <f t="array" ref="K190">IF(COUNTA(ADS!T285:AE285)=0,"",INDEX(ADS!T285:AE285,1,SUMPRODUCT(MAX((ADS!T285:AE285&lt;&gt;"")*(COLUMN(ADS!T285:AE285)-COLUMN(ADS!T285)+1)))))</f>
        <v/>
      </c>
      <c r="L190" s="52" t="str">
        <f>IF(AND(G190&lt;&gt;"",G190='Tổng hợp'!$C$4),MAX(L$1:L189)+1,"")</f>
        <v/>
      </c>
    </row>
    <row r="191" ht="15.75" customHeight="1">
      <c r="A191" s="52" t="str">
        <f>IF(ADS!C286="","","ADS")</f>
        <v/>
      </c>
      <c r="B191" s="52" t="str">
        <f>IF(ADS!B286="","",ADS!B286)</f>
        <v/>
      </c>
      <c r="C191" s="52" t="str">
        <f>IF(ADS!C286="","",ADS!C286)</f>
        <v/>
      </c>
      <c r="D191" s="52" t="str">
        <f>IF(ADS!D286="","",ADS!D286)</f>
        <v/>
      </c>
      <c r="E191" s="52" t="str">
        <f>IF(ADS!E286="","",ADS!E286)</f>
        <v/>
      </c>
      <c r="F191" s="52" t="str">
        <f>IF(ADS!F286="","",ADS!F286)</f>
        <v/>
      </c>
      <c r="G191" s="52" t="str">
        <f>IF(ADS!G286="","",ADS!G286)</f>
        <v/>
      </c>
      <c r="H191" s="52" t="str">
        <f>IF(ADS!J286="","",ADS!J286)</f>
        <v/>
      </c>
      <c r="I191" s="52" t="str">
        <f>IF(ADS!M286="","",ADS!M286)</f>
        <v/>
      </c>
      <c r="J191" s="52" t="str">
        <f>IF(ADS!R286="","",ADS!R286)</f>
        <v/>
      </c>
      <c r="K191" s="52" t="str">
        <f t="array" ref="K191">IF(COUNTA(ADS!T286:AE286)=0,"",INDEX(ADS!T286:AE286,1,SUMPRODUCT(MAX((ADS!T286:AE286&lt;&gt;"")*(COLUMN(ADS!T286:AE286)-COLUMN(ADS!T286)+1)))))</f>
        <v/>
      </c>
      <c r="L191" s="52" t="str">
        <f>IF(AND(G191&lt;&gt;"",G191='Tổng hợp'!$C$4),MAX(L$1:L190)+1,"")</f>
        <v/>
      </c>
    </row>
    <row r="192" ht="15.75" customHeight="1">
      <c r="A192" s="52" t="str">
        <f>IF(ADS!C287="","","ADS")</f>
        <v/>
      </c>
      <c r="B192" s="52" t="str">
        <f>IF(ADS!B287="","",ADS!B287)</f>
        <v/>
      </c>
      <c r="C192" s="52" t="str">
        <f>IF(ADS!C287="","",ADS!C287)</f>
        <v/>
      </c>
      <c r="D192" s="52" t="str">
        <f>IF(ADS!D287="","",ADS!D287)</f>
        <v/>
      </c>
      <c r="E192" s="52" t="str">
        <f>IF(ADS!E287="","",ADS!E287)</f>
        <v/>
      </c>
      <c r="F192" s="52" t="str">
        <f>IF(ADS!F287="","",ADS!F287)</f>
        <v/>
      </c>
      <c r="G192" s="52" t="str">
        <f>IF(ADS!G287="","",ADS!G287)</f>
        <v/>
      </c>
      <c r="H192" s="52" t="str">
        <f>IF(ADS!J287="","",ADS!J287)</f>
        <v/>
      </c>
      <c r="I192" s="52" t="str">
        <f>IF(ADS!M287="","",ADS!M287)</f>
        <v/>
      </c>
      <c r="J192" s="52" t="str">
        <f>IF(ADS!R287="","",ADS!R287)</f>
        <v/>
      </c>
      <c r="K192" s="52" t="str">
        <f t="array" ref="K192">IF(COUNTA(ADS!T287:AE287)=0,"",INDEX(ADS!T287:AE287,1,SUMPRODUCT(MAX((ADS!T287:AE287&lt;&gt;"")*(COLUMN(ADS!T287:AE287)-COLUMN(ADS!T287)+1)))))</f>
        <v/>
      </c>
      <c r="L192" s="52" t="str">
        <f>IF(AND(G192&lt;&gt;"",G192='Tổng hợp'!$C$4),MAX(L$1:L191)+1,"")</f>
        <v/>
      </c>
    </row>
    <row r="193" ht="15.75" customHeight="1">
      <c r="A193" s="52" t="str">
        <f>IF(ADS!C288="","","ADS")</f>
        <v/>
      </c>
      <c r="B193" s="52" t="str">
        <f>IF(ADS!B288="","",ADS!B288)</f>
        <v/>
      </c>
      <c r="C193" s="52" t="str">
        <f>IF(ADS!C288="","",ADS!C288)</f>
        <v/>
      </c>
      <c r="D193" s="52" t="str">
        <f>IF(ADS!D288="","",ADS!D288)</f>
        <v/>
      </c>
      <c r="E193" s="52" t="str">
        <f>IF(ADS!E288="","",ADS!E288)</f>
        <v/>
      </c>
      <c r="F193" s="52" t="str">
        <f>IF(ADS!F288="","",ADS!F288)</f>
        <v/>
      </c>
      <c r="G193" s="52" t="str">
        <f>IF(ADS!G288="","",ADS!G288)</f>
        <v/>
      </c>
      <c r="H193" s="52" t="str">
        <f>IF(ADS!J288="","",ADS!J288)</f>
        <v/>
      </c>
      <c r="I193" s="52" t="str">
        <f>IF(ADS!M288="","",ADS!M288)</f>
        <v/>
      </c>
      <c r="J193" s="52" t="str">
        <f>IF(ADS!R288="","",ADS!R288)</f>
        <v/>
      </c>
      <c r="K193" s="52" t="str">
        <f t="array" ref="K193">IF(COUNTA(ADS!T288:AE288)=0,"",INDEX(ADS!T288:AE288,1,SUMPRODUCT(MAX((ADS!T288:AE288&lt;&gt;"")*(COLUMN(ADS!T288:AE288)-COLUMN(ADS!T288)+1)))))</f>
        <v/>
      </c>
      <c r="L193" s="52" t="str">
        <f>IF(AND(G193&lt;&gt;"",G193='Tổng hợp'!$C$4),MAX(L$1:L192)+1,"")</f>
        <v/>
      </c>
    </row>
    <row r="194" ht="15.75" customHeight="1">
      <c r="A194" s="52" t="str">
        <f>IF(ADS!C312="","","ADS")</f>
        <v>ADS</v>
      </c>
      <c r="B194" s="52" t="str">
        <f>IF(ADS!B312="","",ADS!B312)</f>
        <v>ADS-307</v>
      </c>
      <c r="C194" s="52" t="str">
        <f>IF(ADS!C312="","",ADS!C312)</f>
        <v>Page</v>
      </c>
      <c r="D194" s="79" t="str">
        <f>IF(ADS!D312="","",ADS!D312)</f>
        <v>1127676680422030</v>
      </c>
      <c r="E194" s="52" t="str">
        <f>IF(ADS!E312="","",ADS!E312)</f>
        <v>Page</v>
      </c>
      <c r="F194" s="134" t="str">
        <f>IF(ADS!F312="","",ADS!F312)</f>
        <v>https://www.facebook.com/thammyapexmed.bacsytien?locale=vi_VN</v>
      </c>
      <c r="G194" s="52" t="str">
        <f>IF(ADS!G312="","",ADS!G312)</f>
        <v>ĐÀO ĐÌNH DƯƠNG</v>
      </c>
      <c r="H194" s="52" t="str">
        <f>IF(ADS!J312="","",ADS!J312)</f>
        <v>Thành viên</v>
      </c>
      <c r="I194" s="52" t="str">
        <f>IF(ADS!M312="","",ADS!M312)</f>
        <v/>
      </c>
      <c r="J194" s="52" t="str">
        <f>IF(ADS!R312="","",ADS!R312)</f>
        <v/>
      </c>
      <c r="K194" s="52" t="str">
        <f t="array" ref="K194">IF(COUNTA(ADS!T312:AE312)=0,"",INDEX(ADS!T312:AE312,1,SUMPRODUCT(MAX((ADS!T312:AE312&lt;&gt;"")*(COLUMN(ADS!T312:AE312)-COLUMN(ADS!T312)+1)))))</f>
        <v/>
      </c>
      <c r="L194" s="52" t="str">
        <f>IF(AND(G194&lt;&gt;"",G194='Tổng hợp'!$C$4),MAX(L$1:L193)+1,"")</f>
        <v/>
      </c>
    </row>
    <row r="195" ht="15.75" customHeight="1">
      <c r="A195" s="52" t="str">
        <f>IF(ADS!C313="","","ADS")</f>
        <v>ADS</v>
      </c>
      <c r="B195" s="52" t="str">
        <f>IF(ADS!B313="","",ADS!B313)</f>
        <v>ADS-308</v>
      </c>
      <c r="C195" s="52" t="str">
        <f>IF(ADS!C313="","",ADS!C313)</f>
        <v>Page</v>
      </c>
      <c r="D195" s="79" t="str">
        <f>IF(ADS!D313="","",ADS!D313)</f>
        <v>1124788264050519</v>
      </c>
      <c r="E195" s="52" t="str">
        <f>IF(ADS!E313="","",ADS!E313)</f>
        <v>Page</v>
      </c>
      <c r="F195" s="134" t="str">
        <f>IF(ADS!F313="","",ADS!F313)</f>
        <v>https://www.facebook.com/profile.php?id=61567594395943&amp;locale=vi_VN</v>
      </c>
      <c r="G195" s="52" t="str">
        <f>IF(ADS!G313="","",ADS!G313)</f>
        <v>ĐÀO ĐÌNH DƯƠNG</v>
      </c>
      <c r="H195" s="52" t="str">
        <f>IF(ADS!J313="","",ADS!J313)</f>
        <v>Thành viên</v>
      </c>
      <c r="I195" s="52" t="str">
        <f>IF(ADS!M313="","",ADS!M313)</f>
        <v/>
      </c>
      <c r="J195" s="52" t="str">
        <f>IF(ADS!R313="","",ADS!R313)</f>
        <v/>
      </c>
      <c r="K195" s="52" t="str">
        <f t="array" ref="K195">IF(COUNTA(ADS!T313:AE313)=0,"",INDEX(ADS!T313:AE313,1,SUMPRODUCT(MAX((ADS!T313:AE313&lt;&gt;"")*(COLUMN(ADS!T313:AE313)-COLUMN(ADS!T313)+1)))))</f>
        <v/>
      </c>
      <c r="L195" s="52" t="str">
        <f>IF(AND(G195&lt;&gt;"",G195='Tổng hợp'!$C$4),MAX(L$1:L194)+1,"")</f>
        <v/>
      </c>
    </row>
    <row r="196" ht="15.75" customHeight="1">
      <c r="A196" s="52" t="str">
        <f>IF(ADS!C314="","","ADS")</f>
        <v>ADS</v>
      </c>
      <c r="B196" s="52" t="str">
        <f>IF(ADS!B314="","",ADS!B314)</f>
        <v>ADS-309</v>
      </c>
      <c r="C196" s="52" t="str">
        <f>IF(ADS!C314="","",ADS!C314)</f>
        <v>Page</v>
      </c>
      <c r="D196" s="79" t="str">
        <f>IF(ADS!D314="","",ADS!D314)</f>
        <v>102244245851456</v>
      </c>
      <c r="E196" s="52" t="str">
        <f>IF(ADS!E314="","",ADS!E314)</f>
        <v>Page</v>
      </c>
      <c r="F196" s="134" t="str">
        <f>IF(ADS!F314="","",ADS!F314)</f>
        <v>https://www.facebook.com/profile.php?id=100083579491796</v>
      </c>
      <c r="G196" s="52" t="str">
        <f>IF(ADS!G314="","",ADS!G314)</f>
        <v>ĐÀO ĐÌNH DƯƠNG</v>
      </c>
      <c r="H196" s="52" t="str">
        <f>IF(ADS!J314="","",ADS!J314)</f>
        <v>Thành viên</v>
      </c>
      <c r="I196" s="52" t="str">
        <f>IF(ADS!M314="","",ADS!M314)</f>
        <v/>
      </c>
      <c r="J196" s="52" t="str">
        <f>IF(ADS!R314="","",ADS!R314)</f>
        <v/>
      </c>
      <c r="K196" s="52" t="str">
        <f t="array" ref="K196">IF(COUNTA(ADS!T314:AE314)=0,"",INDEX(ADS!T314:AE314,1,SUMPRODUCT(MAX((ADS!T314:AE314&lt;&gt;"")*(COLUMN(ADS!T314:AE314)-COLUMN(ADS!T314)+1)))))</f>
        <v/>
      </c>
      <c r="L196" s="52" t="str">
        <f>IF(AND(G196&lt;&gt;"",G196='Tổng hợp'!$C$4),MAX(L$1:L195)+1,"")</f>
        <v/>
      </c>
    </row>
    <row r="197" ht="15.75" customHeight="1">
      <c r="A197" s="52" t="str">
        <f>IF(ADS!C315="","","ADS")</f>
        <v>ADS</v>
      </c>
      <c r="B197" s="52" t="str">
        <f>IF(ADS!B315="","",ADS!B315)</f>
        <v>ADS-310</v>
      </c>
      <c r="C197" s="52" t="str">
        <f>IF(ADS!C315="","",ADS!C315)</f>
        <v>TKQC</v>
      </c>
      <c r="D197" s="79" t="str">
        <f>IF(ADS!D315="","",ADS!D315)</f>
        <v>1439128174649087</v>
      </c>
      <c r="E197" s="52" t="str">
        <f>IF(ADS!E315="","",ADS!E315)</f>
        <v>TKQC</v>
      </c>
      <c r="F197" s="52" t="str">
        <f>IF(ADS!F315="","",ADS!F315)</f>
        <v/>
      </c>
      <c r="G197" s="52" t="str">
        <f>IF(ADS!G315="","",ADS!G315)</f>
        <v>ĐÀO ĐÌNH DƯƠNG</v>
      </c>
      <c r="H197" s="52" t="str">
        <f>IF(ADS!J315="","",ADS!J315)</f>
        <v>Nhà quảng cáo</v>
      </c>
      <c r="I197" s="52" t="str">
        <f>IF(ADS!M315="","",ADS!M315)</f>
        <v/>
      </c>
      <c r="J197" s="52" t="str">
        <f>IF(ADS!R315="","",ADS!R315)</f>
        <v/>
      </c>
      <c r="K197" s="52" t="str">
        <f t="array" ref="K197">IF(COUNTA(ADS!T315:AE315)=0,"",INDEX(ADS!T315:AE315,1,SUMPRODUCT(MAX((ADS!T315:AE315&lt;&gt;"")*(COLUMN(ADS!T315:AE315)-COLUMN(ADS!T315)+1)))))</f>
        <v/>
      </c>
      <c r="L197" s="52" t="str">
        <f>IF(AND(G197&lt;&gt;"",G197='Tổng hợp'!$C$4),MAX(L$1:L196)+1,"")</f>
        <v/>
      </c>
    </row>
    <row r="198" ht="15.75" customHeight="1">
      <c r="A198" s="52" t="str">
        <f>IF(ADS!C316="","","ADS")</f>
        <v>ADS</v>
      </c>
      <c r="B198" s="52" t="str">
        <f>IF(ADS!B316="","",ADS!B316)</f>
        <v>ADS-311</v>
      </c>
      <c r="C198" s="52" t="str">
        <f>IF(ADS!C316="","",ADS!C316)</f>
        <v>TKQC</v>
      </c>
      <c r="D198" s="79" t="str">
        <f>IF(ADS!D316="","",ADS!D316)</f>
        <v>627493355187197</v>
      </c>
      <c r="E198" s="52" t="str">
        <f>IF(ADS!E316="","",ADS!E316)</f>
        <v>TKQC</v>
      </c>
      <c r="F198" s="52" t="str">
        <f>IF(ADS!F316="","",ADS!F316)</f>
        <v/>
      </c>
      <c r="G198" s="52" t="str">
        <f>IF(ADS!G316="","",ADS!G316)</f>
        <v>ĐÀO ĐÌNH DƯƠNG</v>
      </c>
      <c r="H198" s="52" t="str">
        <f>IF(ADS!J316="","",ADS!J316)</f>
        <v>Nhà quảng cáo</v>
      </c>
      <c r="I198" s="52" t="str">
        <f>IF(ADS!M316="","",ADS!M316)</f>
        <v/>
      </c>
      <c r="J198" s="52" t="str">
        <f>IF(ADS!R316="","",ADS!R316)</f>
        <v/>
      </c>
      <c r="K198" s="52" t="str">
        <f t="array" ref="K198">IF(COUNTA(ADS!T316:AE316)=0,"",INDEX(ADS!T316:AE316,1,SUMPRODUCT(MAX((ADS!T316:AE316&lt;&gt;"")*(COLUMN(ADS!T316:AE316)-COLUMN(ADS!T316)+1)))))</f>
        <v/>
      </c>
      <c r="L198" s="52" t="str">
        <f>IF(AND(G198&lt;&gt;"",G198='Tổng hợp'!$C$4),MAX(L$1:L197)+1,"")</f>
        <v/>
      </c>
    </row>
    <row r="199" ht="15.75" customHeight="1">
      <c r="A199" s="52" t="str">
        <f>IF(ADS!C317="","","ADS")</f>
        <v>ADS</v>
      </c>
      <c r="B199" s="52" t="str">
        <f>IF(ADS!B317="","",ADS!B317)</f>
        <v>ADS-312</v>
      </c>
      <c r="C199" s="52" t="str">
        <f>IF(ADS!C317="","",ADS!C317)</f>
        <v>TKQC</v>
      </c>
      <c r="D199" s="79" t="str">
        <f>IF(ADS!D317="","",ADS!D317)</f>
        <v>3162001184070209</v>
      </c>
      <c r="E199" s="52" t="str">
        <f>IF(ADS!E317="","",ADS!E317)</f>
        <v>TKQC</v>
      </c>
      <c r="F199" s="52" t="str">
        <f>IF(ADS!F317="","",ADS!F317)</f>
        <v/>
      </c>
      <c r="G199" s="52" t="str">
        <f>IF(ADS!G317="","",ADS!G317)</f>
        <v>ĐÀO ĐÌNH DƯƠNG</v>
      </c>
      <c r="H199" s="52" t="str">
        <f>IF(ADS!J317="","",ADS!J317)</f>
        <v>Nhà quảng cáo</v>
      </c>
      <c r="I199" s="52" t="str">
        <f>IF(ADS!M317="","",ADS!M317)</f>
        <v/>
      </c>
      <c r="J199" s="52" t="str">
        <f>IF(ADS!R317="","",ADS!R317)</f>
        <v/>
      </c>
      <c r="K199" s="52" t="str">
        <f t="array" ref="K199">IF(COUNTA(ADS!T317:AE317)=0,"",INDEX(ADS!T317:AE317,1,SUMPRODUCT(MAX((ADS!T317:AE317&lt;&gt;"")*(COLUMN(ADS!T317:AE317)-COLUMN(ADS!T317)+1)))))</f>
        <v/>
      </c>
      <c r="L199" s="52" t="str">
        <f>IF(AND(G199&lt;&gt;"",G199='Tổng hợp'!$C$4),MAX(L$1:L198)+1,"")</f>
        <v/>
      </c>
    </row>
    <row r="200" ht="15.75" customHeight="1">
      <c r="A200" s="52" t="str">
        <f>IF(ADS!C318="","","ADS")</f>
        <v>ADS</v>
      </c>
      <c r="B200" s="52" t="str">
        <f>IF(ADS!B318="","",ADS!B318)</f>
        <v>ADS-313</v>
      </c>
      <c r="C200" s="52" t="str">
        <f>IF(ADS!C318="","",ADS!C318)</f>
        <v>TKQC</v>
      </c>
      <c r="D200" s="79" t="str">
        <f>IF(ADS!D318="","",ADS!D318)</f>
        <v>4948210388551778</v>
      </c>
      <c r="E200" s="52" t="str">
        <f>IF(ADS!E318="","",ADS!E318)</f>
        <v>TKQC</v>
      </c>
      <c r="F200" s="52" t="str">
        <f>IF(ADS!F318="","",ADS!F318)</f>
        <v/>
      </c>
      <c r="G200" s="52" t="str">
        <f>IF(ADS!G318="","",ADS!G318)</f>
        <v>ĐÀO ĐÌNH DƯƠNG</v>
      </c>
      <c r="H200" s="52" t="str">
        <f>IF(ADS!J318="","",ADS!J318)</f>
        <v>Nhà quảng cáo</v>
      </c>
      <c r="I200" s="52" t="str">
        <f>IF(ADS!M318="","",ADS!M318)</f>
        <v/>
      </c>
      <c r="J200" s="52" t="str">
        <f>IF(ADS!R318="","",ADS!R318)</f>
        <v/>
      </c>
      <c r="K200" s="52" t="str">
        <f t="array" ref="K200">IF(COUNTA(ADS!T318:AE318)=0,"",INDEX(ADS!T318:AE318,1,SUMPRODUCT(MAX((ADS!T318:AE318&lt;&gt;"")*(COLUMN(ADS!T318:AE318)-COLUMN(ADS!T318)+1)))))</f>
        <v/>
      </c>
      <c r="L200" s="52" t="str">
        <f>IF(AND(G200&lt;&gt;"",G200='Tổng hợp'!$C$4),MAX(L$1:L199)+1,"")</f>
        <v/>
      </c>
    </row>
    <row r="201" ht="15.75" customHeight="1">
      <c r="A201" s="52" t="str">
        <f>IF(ADS!C319="","","ADS")</f>
        <v>ADS</v>
      </c>
      <c r="B201" s="52" t="str">
        <f>IF(ADS!B319="","",ADS!B319)</f>
        <v>ADS-314</v>
      </c>
      <c r="C201" s="52" t="str">
        <f>IF(ADS!C319="","",ADS!C319)</f>
        <v>TKQC</v>
      </c>
      <c r="D201" s="79" t="str">
        <f>IF(ADS!D319="","",ADS!D319)</f>
        <v>2060220357891277</v>
      </c>
      <c r="E201" s="52" t="str">
        <f>IF(ADS!E319="","",ADS!E319)</f>
        <v>TKQC</v>
      </c>
      <c r="F201" s="52" t="str">
        <f>IF(ADS!F319="","",ADS!F319)</f>
        <v/>
      </c>
      <c r="G201" s="52" t="str">
        <f>IF(ADS!G319="","",ADS!G319)</f>
        <v>ĐÀO ĐÌNH DƯƠNG</v>
      </c>
      <c r="H201" s="52" t="str">
        <f>IF(ADS!J319="","",ADS!J319)</f>
        <v>Nhà quảng cáo</v>
      </c>
      <c r="I201" s="52" t="str">
        <f>IF(ADS!M319="","",ADS!M319)</f>
        <v/>
      </c>
      <c r="J201" s="52" t="str">
        <f>IF(ADS!R319="","",ADS!R319)</f>
        <v/>
      </c>
      <c r="K201" s="52" t="str">
        <f t="array" ref="K201">IF(COUNTA(ADS!T319:AE319)=0,"",INDEX(ADS!T319:AE319,1,SUMPRODUCT(MAX((ADS!T319:AE319&lt;&gt;"")*(COLUMN(ADS!T319:AE319)-COLUMN(ADS!T319)+1)))))</f>
        <v/>
      </c>
      <c r="L201" s="52" t="str">
        <f>IF(AND(G201&lt;&gt;"",G201='Tổng hợp'!$C$4),MAX(L$1:L200)+1,"")</f>
        <v/>
      </c>
    </row>
    <row r="202" ht="15.75" customHeight="1">
      <c r="A202" s="52" t="str">
        <f>IF('Biên Tập'!C6="","","Biên Tập")</f>
        <v>Biên Tập</v>
      </c>
      <c r="B202" s="52" t="str">
        <f>IF('Biên Tập'!B6="","",'Biên Tập'!B6)</f>
        <v>BT-001</v>
      </c>
      <c r="C202" s="52" t="str">
        <f>IF('Biên Tập'!C6="","",'Biên Tập'!C6)</f>
        <v>AI</v>
      </c>
      <c r="D202" s="52" t="str">
        <f>IF('Biên Tập'!D6="","",'Biên Tập'!D6)</f>
        <v/>
      </c>
      <c r="E202" s="52" t="str">
        <f>IF('Biên Tập'!E6="","",'Biên Tập'!E6)</f>
        <v/>
      </c>
      <c r="F202" s="52" t="str">
        <f>IF('Biên Tập'!F6="","",'Biên Tập'!F6)</f>
        <v/>
      </c>
      <c r="G202" s="52" t="str">
        <f>IF('Biên Tập'!G6="","",'Biên Tập'!G6)</f>
        <v/>
      </c>
      <c r="H202" s="52" t="str">
        <f>IF('Biên Tập'!J6="","",'Biên Tập'!J6)</f>
        <v/>
      </c>
      <c r="I202" s="52" t="str">
        <f>IF('Biên Tập'!M6="","",'Biên Tập'!M6)</f>
        <v/>
      </c>
      <c r="J202" s="52" t="str">
        <f>IF('Biên Tập'!R6="","",'Biên Tập'!R6)</f>
        <v/>
      </c>
      <c r="K202" s="52" t="str">
        <f t="array" ref="K202">IF(COUNTA('Biên Tập'!T6:AE6)=0,"",INDEX('Biên Tập'!T6:AE6,1,SUMPRODUCT(MAX(('Biên Tập'!T6:AE6&lt;&gt;"")*(COLUMN('Biên Tập'!T6:AE6)-COLUMN('Biên Tập'!T6)+1)))))</f>
        <v/>
      </c>
      <c r="L202" s="52" t="str">
        <f>IF(AND(G202&lt;&gt;"",G202='Tổng hợp'!$C$4),MAX(L$1:L201)+1,"")</f>
        <v/>
      </c>
    </row>
    <row r="203" ht="15.75" customHeight="1">
      <c r="A203" s="52" t="str">
        <f>IF('Biên Tập'!C7="","","Biên Tập")</f>
        <v/>
      </c>
      <c r="B203" s="52" t="str">
        <f>IF('Biên Tập'!B7="","",'Biên Tập'!B7)</f>
        <v/>
      </c>
      <c r="C203" s="52" t="str">
        <f>IF('Biên Tập'!C7="","",'Biên Tập'!C7)</f>
        <v/>
      </c>
      <c r="D203" s="52" t="str">
        <f>IF('Biên Tập'!D7="","",'Biên Tập'!D7)</f>
        <v/>
      </c>
      <c r="E203" s="52" t="str">
        <f>IF('Biên Tập'!E7="","",'Biên Tập'!E7)</f>
        <v/>
      </c>
      <c r="F203" s="52" t="str">
        <f>IF('Biên Tập'!F7="","",'Biên Tập'!F7)</f>
        <v/>
      </c>
      <c r="G203" s="52" t="str">
        <f>IF('Biên Tập'!G7="","",'Biên Tập'!G7)</f>
        <v/>
      </c>
      <c r="H203" s="52" t="str">
        <f>IF('Biên Tập'!J7="","",'Biên Tập'!J7)</f>
        <v/>
      </c>
      <c r="I203" s="52" t="str">
        <f>IF('Biên Tập'!M7="","",'Biên Tập'!M7)</f>
        <v/>
      </c>
      <c r="J203" s="52" t="str">
        <f>IF('Biên Tập'!R7="","",'Biên Tập'!R7)</f>
        <v/>
      </c>
      <c r="K203" s="52" t="str">
        <f t="array" ref="K203">IF(COUNTA('Biên Tập'!T7:AE7)=0,"",INDEX('Biên Tập'!T7:AE7,1,SUMPRODUCT(MAX(('Biên Tập'!T7:AE7&lt;&gt;"")*(COLUMN('Biên Tập'!T7:AE7)-COLUMN('Biên Tập'!T7)+1)))))</f>
        <v/>
      </c>
      <c r="L203" s="52" t="str">
        <f>IF(AND(G203&lt;&gt;"",G203='Tổng hợp'!$C$4),MAX(L$1:L202)+1,"")</f>
        <v/>
      </c>
    </row>
    <row r="204" ht="15.75" customHeight="1">
      <c r="A204" s="52" t="str">
        <f>IF('Biên Tập'!C8="","","Biên Tập")</f>
        <v/>
      </c>
      <c r="B204" s="52" t="str">
        <f>IF('Biên Tập'!B8="","",'Biên Tập'!B8)</f>
        <v/>
      </c>
      <c r="C204" s="52" t="str">
        <f>IF('Biên Tập'!C8="","",'Biên Tập'!C8)</f>
        <v/>
      </c>
      <c r="D204" s="52" t="str">
        <f>IF('Biên Tập'!D8="","",'Biên Tập'!D8)</f>
        <v/>
      </c>
      <c r="E204" s="52" t="str">
        <f>IF('Biên Tập'!E8="","",'Biên Tập'!E8)</f>
        <v/>
      </c>
      <c r="F204" s="52" t="str">
        <f>IF('Biên Tập'!F8="","",'Biên Tập'!F8)</f>
        <v/>
      </c>
      <c r="G204" s="52" t="str">
        <f>IF('Biên Tập'!G8="","",'Biên Tập'!G8)</f>
        <v/>
      </c>
      <c r="H204" s="52" t="str">
        <f>IF('Biên Tập'!J8="","",'Biên Tập'!J8)</f>
        <v/>
      </c>
      <c r="I204" s="52" t="str">
        <f>IF('Biên Tập'!M8="","",'Biên Tập'!M8)</f>
        <v/>
      </c>
      <c r="J204" s="52" t="str">
        <f>IF('Biên Tập'!R8="","",'Biên Tập'!R8)</f>
        <v/>
      </c>
      <c r="K204" s="52" t="str">
        <f t="array" ref="K204">IF(COUNTA('Biên Tập'!T8:AE8)=0,"",INDEX('Biên Tập'!T8:AE8,1,SUMPRODUCT(MAX(('Biên Tập'!T8:AE8&lt;&gt;"")*(COLUMN('Biên Tập'!T8:AE8)-COLUMN('Biên Tập'!T8)+1)))))</f>
        <v/>
      </c>
      <c r="L204" s="52" t="str">
        <f>IF(AND(G204&lt;&gt;"",G204='Tổng hợp'!$C$4),MAX(L$1:L203)+1,"")</f>
        <v/>
      </c>
    </row>
    <row r="205" ht="15.75" customHeight="1">
      <c r="A205" s="52" t="str">
        <f>IF('Biên Tập'!C9="","","Biên Tập")</f>
        <v/>
      </c>
      <c r="B205" s="52" t="str">
        <f>IF('Biên Tập'!B9="","",'Biên Tập'!B9)</f>
        <v/>
      </c>
      <c r="C205" s="52" t="str">
        <f>IF('Biên Tập'!C9="","",'Biên Tập'!C9)</f>
        <v/>
      </c>
      <c r="D205" s="52" t="str">
        <f>IF('Biên Tập'!D9="","",'Biên Tập'!D9)</f>
        <v/>
      </c>
      <c r="E205" s="52" t="str">
        <f>IF('Biên Tập'!E9="","",'Biên Tập'!E9)</f>
        <v/>
      </c>
      <c r="F205" s="52" t="str">
        <f>IF('Biên Tập'!F9="","",'Biên Tập'!F9)</f>
        <v/>
      </c>
      <c r="G205" s="52" t="str">
        <f>IF('Biên Tập'!G9="","",'Biên Tập'!G9)</f>
        <v/>
      </c>
      <c r="H205" s="52" t="str">
        <f>IF('Biên Tập'!J9="","",'Biên Tập'!J9)</f>
        <v/>
      </c>
      <c r="I205" s="52" t="str">
        <f>IF('Biên Tập'!M9="","",'Biên Tập'!M9)</f>
        <v/>
      </c>
      <c r="J205" s="52" t="str">
        <f>IF('Biên Tập'!R9="","",'Biên Tập'!R9)</f>
        <v/>
      </c>
      <c r="K205" s="52" t="str">
        <f t="array" ref="K205">IF(COUNTA('Biên Tập'!T9:AE9)=0,"",INDEX('Biên Tập'!T9:AE9,1,SUMPRODUCT(MAX(('Biên Tập'!T9:AE9&lt;&gt;"")*(COLUMN('Biên Tập'!T9:AE9)-COLUMN('Biên Tập'!T9)+1)))))</f>
        <v/>
      </c>
      <c r="L205" s="52" t="str">
        <f>IF(AND(G205&lt;&gt;"",G205='Tổng hợp'!$C$4),MAX(L$1:L204)+1,"")</f>
        <v/>
      </c>
    </row>
    <row r="206" ht="15.75" customHeight="1">
      <c r="A206" s="52" t="str">
        <f>IF('Biên Tập'!C10="","","Biên Tập")</f>
        <v/>
      </c>
      <c r="B206" s="52" t="str">
        <f>IF('Biên Tập'!B10="","",'Biên Tập'!B10)</f>
        <v/>
      </c>
      <c r="C206" s="52" t="str">
        <f>IF('Biên Tập'!C10="","",'Biên Tập'!C10)</f>
        <v/>
      </c>
      <c r="D206" s="52" t="str">
        <f>IF('Biên Tập'!D10="","",'Biên Tập'!D10)</f>
        <v/>
      </c>
      <c r="E206" s="52" t="str">
        <f>IF('Biên Tập'!E10="","",'Biên Tập'!E10)</f>
        <v/>
      </c>
      <c r="F206" s="52" t="str">
        <f>IF('Biên Tập'!F10="","",'Biên Tập'!F10)</f>
        <v/>
      </c>
      <c r="G206" s="52" t="str">
        <f>IF('Biên Tập'!G10="","",'Biên Tập'!G10)</f>
        <v/>
      </c>
      <c r="H206" s="52" t="str">
        <f>IF('Biên Tập'!J10="","",'Biên Tập'!J10)</f>
        <v/>
      </c>
      <c r="I206" s="52" t="str">
        <f>IF('Biên Tập'!M10="","",'Biên Tập'!M10)</f>
        <v/>
      </c>
      <c r="J206" s="52" t="str">
        <f>IF('Biên Tập'!R10="","",'Biên Tập'!R10)</f>
        <v/>
      </c>
      <c r="K206" s="52" t="str">
        <f t="array" ref="K206">IF(COUNTA('Biên Tập'!T10:AE10)=0,"",INDEX('Biên Tập'!T10:AE10,1,SUMPRODUCT(MAX(('Biên Tập'!T10:AE10&lt;&gt;"")*(COLUMN('Biên Tập'!T10:AE10)-COLUMN('Biên Tập'!T10)+1)))))</f>
        <v/>
      </c>
      <c r="L206" s="52" t="str">
        <f>IF(AND(G206&lt;&gt;"",G206='Tổng hợp'!$C$4),MAX(L$1:L205)+1,"")</f>
        <v/>
      </c>
    </row>
    <row r="207" ht="15.75" customHeight="1">
      <c r="A207" s="52" t="str">
        <f>IF('Biên Tập'!C11="","","Biên Tập")</f>
        <v/>
      </c>
      <c r="B207" s="52" t="str">
        <f>IF('Biên Tập'!B11="","",'Biên Tập'!B11)</f>
        <v/>
      </c>
      <c r="C207" s="52" t="str">
        <f>IF('Biên Tập'!C11="","",'Biên Tập'!C11)</f>
        <v/>
      </c>
      <c r="D207" s="52" t="str">
        <f>IF('Biên Tập'!D11="","",'Biên Tập'!D11)</f>
        <v/>
      </c>
      <c r="E207" s="52" t="str">
        <f>IF('Biên Tập'!E11="","",'Biên Tập'!E11)</f>
        <v/>
      </c>
      <c r="F207" s="52" t="str">
        <f>IF('Biên Tập'!F11="","",'Biên Tập'!F11)</f>
        <v/>
      </c>
      <c r="G207" s="52" t="str">
        <f>IF('Biên Tập'!G11="","",'Biên Tập'!G11)</f>
        <v/>
      </c>
      <c r="H207" s="52" t="str">
        <f>IF('Biên Tập'!J11="","",'Biên Tập'!J11)</f>
        <v/>
      </c>
      <c r="I207" s="52" t="str">
        <f>IF('Biên Tập'!M11="","",'Biên Tập'!M11)</f>
        <v/>
      </c>
      <c r="J207" s="52" t="str">
        <f>IF('Biên Tập'!R11="","",'Biên Tập'!R11)</f>
        <v/>
      </c>
      <c r="K207" s="52" t="str">
        <f t="array" ref="K207">IF(COUNTA('Biên Tập'!T11:AE11)=0,"",INDEX('Biên Tập'!T11:AE11,1,SUMPRODUCT(MAX(('Biên Tập'!T11:AE11&lt;&gt;"")*(COLUMN('Biên Tập'!T11:AE11)-COLUMN('Biên Tập'!T11)+1)))))</f>
        <v/>
      </c>
      <c r="L207" s="52" t="str">
        <f>IF(AND(G207&lt;&gt;"",G207='Tổng hợp'!$C$4),MAX(L$1:L206)+1,"")</f>
        <v/>
      </c>
    </row>
    <row r="208" ht="15.75" customHeight="1">
      <c r="A208" s="52" t="str">
        <f>IF('Biên Tập'!C12="","","Biên Tập")</f>
        <v/>
      </c>
      <c r="B208" s="52" t="str">
        <f>IF('Biên Tập'!B12="","",'Biên Tập'!B12)</f>
        <v/>
      </c>
      <c r="C208" s="52" t="str">
        <f>IF('Biên Tập'!C12="","",'Biên Tập'!C12)</f>
        <v/>
      </c>
      <c r="D208" s="52" t="str">
        <f>IF('Biên Tập'!D12="","",'Biên Tập'!D12)</f>
        <v/>
      </c>
      <c r="E208" s="52" t="str">
        <f>IF('Biên Tập'!E12="","",'Biên Tập'!E12)</f>
        <v/>
      </c>
      <c r="F208" s="52" t="str">
        <f>IF('Biên Tập'!F12="","",'Biên Tập'!F12)</f>
        <v/>
      </c>
      <c r="G208" s="52" t="str">
        <f>IF('Biên Tập'!G12="","",'Biên Tập'!G12)</f>
        <v/>
      </c>
      <c r="H208" s="52" t="str">
        <f>IF('Biên Tập'!J12="","",'Biên Tập'!J12)</f>
        <v/>
      </c>
      <c r="I208" s="52" t="str">
        <f>IF('Biên Tập'!M12="","",'Biên Tập'!M12)</f>
        <v/>
      </c>
      <c r="J208" s="52" t="str">
        <f>IF('Biên Tập'!R12="","",'Biên Tập'!R12)</f>
        <v/>
      </c>
      <c r="K208" s="52" t="str">
        <f t="array" ref="K208">IF(COUNTA('Biên Tập'!T12:AE12)=0,"",INDEX('Biên Tập'!T12:AE12,1,SUMPRODUCT(MAX(('Biên Tập'!T12:AE12&lt;&gt;"")*(COLUMN('Biên Tập'!T12:AE12)-COLUMN('Biên Tập'!T12)+1)))))</f>
        <v/>
      </c>
      <c r="L208" s="52" t="str">
        <f>IF(AND(G208&lt;&gt;"",G208='Tổng hợp'!$C$4),MAX(L$1:L207)+1,"")</f>
        <v/>
      </c>
    </row>
    <row r="209" ht="15.75" customHeight="1">
      <c r="A209" s="52" t="str">
        <f>IF('Biên Tập'!C13="","","Biên Tập")</f>
        <v/>
      </c>
      <c r="B209" s="52" t="str">
        <f>IF('Biên Tập'!B13="","",'Biên Tập'!B13)</f>
        <v/>
      </c>
      <c r="C209" s="52" t="str">
        <f>IF('Biên Tập'!C13="","",'Biên Tập'!C13)</f>
        <v/>
      </c>
      <c r="D209" s="52" t="str">
        <f>IF('Biên Tập'!D13="","",'Biên Tập'!D13)</f>
        <v/>
      </c>
      <c r="E209" s="52" t="str">
        <f>IF('Biên Tập'!E13="","",'Biên Tập'!E13)</f>
        <v/>
      </c>
      <c r="F209" s="52" t="str">
        <f>IF('Biên Tập'!F13="","",'Biên Tập'!F13)</f>
        <v/>
      </c>
      <c r="G209" s="52" t="str">
        <f>IF('Biên Tập'!G13="","",'Biên Tập'!G13)</f>
        <v/>
      </c>
      <c r="H209" s="52" t="str">
        <f>IF('Biên Tập'!J13="","",'Biên Tập'!J13)</f>
        <v/>
      </c>
      <c r="I209" s="52" t="str">
        <f>IF('Biên Tập'!M13="","",'Biên Tập'!M13)</f>
        <v/>
      </c>
      <c r="J209" s="52" t="str">
        <f>IF('Biên Tập'!R13="","",'Biên Tập'!R13)</f>
        <v/>
      </c>
      <c r="K209" s="52" t="str">
        <f t="array" ref="K209">IF(COUNTA('Biên Tập'!T13:AE13)=0,"",INDEX('Biên Tập'!T13:AE13,1,SUMPRODUCT(MAX(('Biên Tập'!T13:AE13&lt;&gt;"")*(COLUMN('Biên Tập'!T13:AE13)-COLUMN('Biên Tập'!T13)+1)))))</f>
        <v/>
      </c>
      <c r="L209" s="52" t="str">
        <f>IF(AND(G209&lt;&gt;"",G209='Tổng hợp'!$C$4),MAX(L$1:L208)+1,"")</f>
        <v/>
      </c>
    </row>
    <row r="210" ht="15.75" customHeight="1">
      <c r="A210" s="52" t="str">
        <f>IF('Biên Tập'!C14="","","Biên Tập")</f>
        <v/>
      </c>
      <c r="B210" s="52" t="str">
        <f>IF('Biên Tập'!B14="","",'Biên Tập'!B14)</f>
        <v/>
      </c>
      <c r="C210" s="52" t="str">
        <f>IF('Biên Tập'!C14="","",'Biên Tập'!C14)</f>
        <v/>
      </c>
      <c r="D210" s="52" t="str">
        <f>IF('Biên Tập'!D14="","",'Biên Tập'!D14)</f>
        <v/>
      </c>
      <c r="E210" s="52" t="str">
        <f>IF('Biên Tập'!E14="","",'Biên Tập'!E14)</f>
        <v/>
      </c>
      <c r="F210" s="52" t="str">
        <f>IF('Biên Tập'!F14="","",'Biên Tập'!F14)</f>
        <v/>
      </c>
      <c r="G210" s="52" t="str">
        <f>IF('Biên Tập'!G14="","",'Biên Tập'!G14)</f>
        <v/>
      </c>
      <c r="H210" s="52" t="str">
        <f>IF('Biên Tập'!J14="","",'Biên Tập'!J14)</f>
        <v/>
      </c>
      <c r="I210" s="52" t="str">
        <f>IF('Biên Tập'!M14="","",'Biên Tập'!M14)</f>
        <v/>
      </c>
      <c r="J210" s="52" t="str">
        <f>IF('Biên Tập'!R14="","",'Biên Tập'!R14)</f>
        <v/>
      </c>
      <c r="K210" s="52" t="str">
        <f t="array" ref="K210">IF(COUNTA('Biên Tập'!T14:AE14)=0,"",INDEX('Biên Tập'!T14:AE14,1,SUMPRODUCT(MAX(('Biên Tập'!T14:AE14&lt;&gt;"")*(COLUMN('Biên Tập'!T14:AE14)-COLUMN('Biên Tập'!T14)+1)))))</f>
        <v/>
      </c>
      <c r="L210" s="52" t="str">
        <f>IF(AND(G210&lt;&gt;"",G210='Tổng hợp'!$C$4),MAX(L$1:L209)+1,"")</f>
        <v/>
      </c>
    </row>
    <row r="211" ht="15.75" customHeight="1">
      <c r="A211" s="52" t="str">
        <f>IF('Biên Tập'!C15="","","Biên Tập")</f>
        <v/>
      </c>
      <c r="B211" s="52" t="str">
        <f>IF('Biên Tập'!B15="","",'Biên Tập'!B15)</f>
        <v/>
      </c>
      <c r="C211" s="52" t="str">
        <f>IF('Biên Tập'!C15="","",'Biên Tập'!C15)</f>
        <v/>
      </c>
      <c r="D211" s="52" t="str">
        <f>IF('Biên Tập'!D15="","",'Biên Tập'!D15)</f>
        <v/>
      </c>
      <c r="E211" s="52" t="str">
        <f>IF('Biên Tập'!E15="","",'Biên Tập'!E15)</f>
        <v/>
      </c>
      <c r="F211" s="52" t="str">
        <f>IF('Biên Tập'!F15="","",'Biên Tập'!F15)</f>
        <v/>
      </c>
      <c r="G211" s="52" t="str">
        <f>IF('Biên Tập'!G15="","",'Biên Tập'!G15)</f>
        <v/>
      </c>
      <c r="H211" s="52" t="str">
        <f>IF('Biên Tập'!J15="","",'Biên Tập'!J15)</f>
        <v/>
      </c>
      <c r="I211" s="52" t="str">
        <f>IF('Biên Tập'!M15="","",'Biên Tập'!M15)</f>
        <v/>
      </c>
      <c r="J211" s="52" t="str">
        <f>IF('Biên Tập'!R15="","",'Biên Tập'!R15)</f>
        <v/>
      </c>
      <c r="K211" s="52" t="str">
        <f t="array" ref="K211">IF(COUNTA('Biên Tập'!T15:AE15)=0,"",INDEX('Biên Tập'!T15:AE15,1,SUMPRODUCT(MAX(('Biên Tập'!T15:AE15&lt;&gt;"")*(COLUMN('Biên Tập'!T15:AE15)-COLUMN('Biên Tập'!T15)+1)))))</f>
        <v/>
      </c>
      <c r="L211" s="52" t="str">
        <f>IF(AND(G211&lt;&gt;"",G211='Tổng hợp'!$C$4),MAX(L$1:L210)+1,"")</f>
        <v/>
      </c>
    </row>
    <row r="212" ht="15.75" customHeight="1">
      <c r="A212" s="52" t="str">
        <f>IF('Biên Tập'!C16="","","Biên Tập")</f>
        <v/>
      </c>
      <c r="B212" s="52" t="str">
        <f>IF('Biên Tập'!B16="","",'Biên Tập'!B16)</f>
        <v/>
      </c>
      <c r="C212" s="52" t="str">
        <f>IF('Biên Tập'!C16="","",'Biên Tập'!C16)</f>
        <v/>
      </c>
      <c r="D212" s="52" t="str">
        <f>IF('Biên Tập'!D16="","",'Biên Tập'!D16)</f>
        <v/>
      </c>
      <c r="E212" s="52" t="str">
        <f>IF('Biên Tập'!E16="","",'Biên Tập'!E16)</f>
        <v/>
      </c>
      <c r="F212" s="52" t="str">
        <f>IF('Biên Tập'!F16="","",'Biên Tập'!F16)</f>
        <v/>
      </c>
      <c r="G212" s="52" t="str">
        <f>IF('Biên Tập'!G16="","",'Biên Tập'!G16)</f>
        <v/>
      </c>
      <c r="H212" s="52" t="str">
        <f>IF('Biên Tập'!J16="","",'Biên Tập'!J16)</f>
        <v/>
      </c>
      <c r="I212" s="52" t="str">
        <f>IF('Biên Tập'!M16="","",'Biên Tập'!M16)</f>
        <v/>
      </c>
      <c r="J212" s="52" t="str">
        <f>IF('Biên Tập'!R16="","",'Biên Tập'!R16)</f>
        <v/>
      </c>
      <c r="K212" s="52" t="str">
        <f t="array" ref="K212">IF(COUNTA('Biên Tập'!T16:AE16)=0,"",INDEX('Biên Tập'!T16:AE16,1,SUMPRODUCT(MAX(('Biên Tập'!T16:AE16&lt;&gt;"")*(COLUMN('Biên Tập'!T16:AE16)-COLUMN('Biên Tập'!T16)+1)))))</f>
        <v/>
      </c>
      <c r="L212" s="52" t="str">
        <f>IF(AND(G212&lt;&gt;"",G212='Tổng hợp'!$C$4),MAX(L$1:L211)+1,"")</f>
        <v/>
      </c>
    </row>
    <row r="213" ht="15.75" customHeight="1">
      <c r="A213" s="52" t="str">
        <f>IF('Biên Tập'!C17="","","Biên Tập")</f>
        <v/>
      </c>
      <c r="B213" s="52" t="str">
        <f>IF('Biên Tập'!B17="","",'Biên Tập'!B17)</f>
        <v/>
      </c>
      <c r="C213" s="52" t="str">
        <f>IF('Biên Tập'!C17="","",'Biên Tập'!C17)</f>
        <v/>
      </c>
      <c r="D213" s="52" t="str">
        <f>IF('Biên Tập'!D17="","",'Biên Tập'!D17)</f>
        <v/>
      </c>
      <c r="E213" s="52" t="str">
        <f>IF('Biên Tập'!E17="","",'Biên Tập'!E17)</f>
        <v/>
      </c>
      <c r="F213" s="52" t="str">
        <f>IF('Biên Tập'!F17="","",'Biên Tập'!F17)</f>
        <v/>
      </c>
      <c r="G213" s="52" t="str">
        <f>IF('Biên Tập'!G17="","",'Biên Tập'!G17)</f>
        <v/>
      </c>
      <c r="H213" s="52" t="str">
        <f>IF('Biên Tập'!J17="","",'Biên Tập'!J17)</f>
        <v/>
      </c>
      <c r="I213" s="52" t="str">
        <f>IF('Biên Tập'!M17="","",'Biên Tập'!M17)</f>
        <v/>
      </c>
      <c r="J213" s="52" t="str">
        <f>IF('Biên Tập'!R17="","",'Biên Tập'!R17)</f>
        <v/>
      </c>
      <c r="K213" s="52" t="str">
        <f t="array" ref="K213">IF(COUNTA('Biên Tập'!T17:AE17)=0,"",INDEX('Biên Tập'!T17:AE17,1,SUMPRODUCT(MAX(('Biên Tập'!T17:AE17&lt;&gt;"")*(COLUMN('Biên Tập'!T17:AE17)-COLUMN('Biên Tập'!T17)+1)))))</f>
        <v/>
      </c>
      <c r="L213" s="52" t="str">
        <f>IF(AND(G213&lt;&gt;"",G213='Tổng hợp'!$C$4),MAX(L$1:L212)+1,"")</f>
        <v/>
      </c>
    </row>
    <row r="214" ht="15.75" customHeight="1">
      <c r="A214" s="52" t="str">
        <f>IF('Biên Tập'!C18="","","Biên Tập")</f>
        <v/>
      </c>
      <c r="B214" s="52" t="str">
        <f>IF('Biên Tập'!B18="","",'Biên Tập'!B18)</f>
        <v/>
      </c>
      <c r="C214" s="52" t="str">
        <f>IF('Biên Tập'!C18="","",'Biên Tập'!C18)</f>
        <v/>
      </c>
      <c r="D214" s="52" t="str">
        <f>IF('Biên Tập'!D18="","",'Biên Tập'!D18)</f>
        <v/>
      </c>
      <c r="E214" s="52" t="str">
        <f>IF('Biên Tập'!E18="","",'Biên Tập'!E18)</f>
        <v/>
      </c>
      <c r="F214" s="52" t="str">
        <f>IF('Biên Tập'!F18="","",'Biên Tập'!F18)</f>
        <v/>
      </c>
      <c r="G214" s="52" t="str">
        <f>IF('Biên Tập'!G18="","",'Biên Tập'!G18)</f>
        <v/>
      </c>
      <c r="H214" s="52" t="str">
        <f>IF('Biên Tập'!J18="","",'Biên Tập'!J18)</f>
        <v/>
      </c>
      <c r="I214" s="52" t="str">
        <f>IF('Biên Tập'!M18="","",'Biên Tập'!M18)</f>
        <v/>
      </c>
      <c r="J214" s="52" t="str">
        <f>IF('Biên Tập'!R18="","",'Biên Tập'!R18)</f>
        <v/>
      </c>
      <c r="K214" s="52" t="str">
        <f t="array" ref="K214">IF(COUNTA('Biên Tập'!T18:AE18)=0,"",INDEX('Biên Tập'!T18:AE18,1,SUMPRODUCT(MAX(('Biên Tập'!T18:AE18&lt;&gt;"")*(COLUMN('Biên Tập'!T18:AE18)-COLUMN('Biên Tập'!T18)+1)))))</f>
        <v/>
      </c>
      <c r="L214" s="52" t="str">
        <f>IF(AND(G214&lt;&gt;"",G214='Tổng hợp'!$C$4),MAX(L$1:L213)+1,"")</f>
        <v/>
      </c>
    </row>
    <row r="215" ht="15.75" customHeight="1">
      <c r="A215" s="52" t="str">
        <f>IF('Biên Tập'!C19="","","Biên Tập")</f>
        <v/>
      </c>
      <c r="B215" s="52" t="str">
        <f>IF('Biên Tập'!B19="","",'Biên Tập'!B19)</f>
        <v/>
      </c>
      <c r="C215" s="52" t="str">
        <f>IF('Biên Tập'!C19="","",'Biên Tập'!C19)</f>
        <v/>
      </c>
      <c r="D215" s="52" t="str">
        <f>IF('Biên Tập'!D19="","",'Biên Tập'!D19)</f>
        <v/>
      </c>
      <c r="E215" s="52" t="str">
        <f>IF('Biên Tập'!E19="","",'Biên Tập'!E19)</f>
        <v/>
      </c>
      <c r="F215" s="52" t="str">
        <f>IF('Biên Tập'!F19="","",'Biên Tập'!F19)</f>
        <v/>
      </c>
      <c r="G215" s="52" t="str">
        <f>IF('Biên Tập'!G19="","",'Biên Tập'!G19)</f>
        <v/>
      </c>
      <c r="H215" s="52" t="str">
        <f>IF('Biên Tập'!J19="","",'Biên Tập'!J19)</f>
        <v/>
      </c>
      <c r="I215" s="52" t="str">
        <f>IF('Biên Tập'!M19="","",'Biên Tập'!M19)</f>
        <v/>
      </c>
      <c r="J215" s="52" t="str">
        <f>IF('Biên Tập'!R19="","",'Biên Tập'!R19)</f>
        <v/>
      </c>
      <c r="K215" s="52" t="str">
        <f t="array" ref="K215">IF(COUNTA('Biên Tập'!T19:AE19)=0,"",INDEX('Biên Tập'!T19:AE19,1,SUMPRODUCT(MAX(('Biên Tập'!T19:AE19&lt;&gt;"")*(COLUMN('Biên Tập'!T19:AE19)-COLUMN('Biên Tập'!T19)+1)))))</f>
        <v/>
      </c>
      <c r="L215" s="52" t="str">
        <f>IF(AND(G215&lt;&gt;"",G215='Tổng hợp'!$C$4),MAX(L$1:L214)+1,"")</f>
        <v/>
      </c>
    </row>
    <row r="216" ht="15.75" customHeight="1">
      <c r="A216" s="52" t="str">
        <f>IF('Biên Tập'!C20="","","Biên Tập")</f>
        <v/>
      </c>
      <c r="B216" s="52" t="str">
        <f>IF('Biên Tập'!B20="","",'Biên Tập'!B20)</f>
        <v/>
      </c>
      <c r="C216" s="52" t="str">
        <f>IF('Biên Tập'!C20="","",'Biên Tập'!C20)</f>
        <v/>
      </c>
      <c r="D216" s="52" t="str">
        <f>IF('Biên Tập'!D20="","",'Biên Tập'!D20)</f>
        <v/>
      </c>
      <c r="E216" s="52" t="str">
        <f>IF('Biên Tập'!E20="","",'Biên Tập'!E20)</f>
        <v/>
      </c>
      <c r="F216" s="52" t="str">
        <f>IF('Biên Tập'!F20="","",'Biên Tập'!F20)</f>
        <v/>
      </c>
      <c r="G216" s="52" t="str">
        <f>IF('Biên Tập'!G20="","",'Biên Tập'!G20)</f>
        <v/>
      </c>
      <c r="H216" s="52" t="str">
        <f>IF('Biên Tập'!J20="","",'Biên Tập'!J20)</f>
        <v/>
      </c>
      <c r="I216" s="52" t="str">
        <f>IF('Biên Tập'!M20="","",'Biên Tập'!M20)</f>
        <v/>
      </c>
      <c r="J216" s="52" t="str">
        <f>IF('Biên Tập'!R20="","",'Biên Tập'!R20)</f>
        <v/>
      </c>
      <c r="K216" s="52" t="str">
        <f t="array" ref="K216">IF(COUNTA('Biên Tập'!T20:AE20)=0,"",INDEX('Biên Tập'!T20:AE20,1,SUMPRODUCT(MAX(('Biên Tập'!T20:AE20&lt;&gt;"")*(COLUMN('Biên Tập'!T20:AE20)-COLUMN('Biên Tập'!T20)+1)))))</f>
        <v/>
      </c>
      <c r="L216" s="52" t="str">
        <f>IF(AND(G216&lt;&gt;"",G216='Tổng hợp'!$C$4),MAX(L$1:L215)+1,"")</f>
        <v/>
      </c>
    </row>
    <row r="217" ht="15.75" customHeight="1">
      <c r="A217" s="52" t="str">
        <f>IF('Biên Tập'!C21="","","Biên Tập")</f>
        <v/>
      </c>
      <c r="B217" s="52" t="str">
        <f>IF('Biên Tập'!B21="","",'Biên Tập'!B21)</f>
        <v/>
      </c>
      <c r="C217" s="52" t="str">
        <f>IF('Biên Tập'!C21="","",'Biên Tập'!C21)</f>
        <v/>
      </c>
      <c r="D217" s="52" t="str">
        <f>IF('Biên Tập'!D21="","",'Biên Tập'!D21)</f>
        <v/>
      </c>
      <c r="E217" s="52" t="str">
        <f>IF('Biên Tập'!E21="","",'Biên Tập'!E21)</f>
        <v/>
      </c>
      <c r="F217" s="52" t="str">
        <f>IF('Biên Tập'!F21="","",'Biên Tập'!F21)</f>
        <v/>
      </c>
      <c r="G217" s="52" t="str">
        <f>IF('Biên Tập'!G21="","",'Biên Tập'!G21)</f>
        <v/>
      </c>
      <c r="H217" s="52" t="str">
        <f>IF('Biên Tập'!J21="","",'Biên Tập'!J21)</f>
        <v/>
      </c>
      <c r="I217" s="52" t="str">
        <f>IF('Biên Tập'!M21="","",'Biên Tập'!M21)</f>
        <v/>
      </c>
      <c r="J217" s="52" t="str">
        <f>IF('Biên Tập'!R21="","",'Biên Tập'!R21)</f>
        <v/>
      </c>
      <c r="K217" s="52" t="str">
        <f t="array" ref="K217">IF(COUNTA('Biên Tập'!T21:AE21)=0,"",INDEX('Biên Tập'!T21:AE21,1,SUMPRODUCT(MAX(('Biên Tập'!T21:AE21&lt;&gt;"")*(COLUMN('Biên Tập'!T21:AE21)-COLUMN('Biên Tập'!T21)+1)))))</f>
        <v/>
      </c>
      <c r="L217" s="52" t="str">
        <f>IF(AND(G217&lt;&gt;"",G217='Tổng hợp'!$C$4),MAX(L$1:L216)+1,"")</f>
        <v/>
      </c>
    </row>
    <row r="218" ht="15.75" customHeight="1">
      <c r="A218" s="52" t="str">
        <f>IF('Biên Tập'!C22="","","Biên Tập")</f>
        <v/>
      </c>
      <c r="B218" s="52" t="str">
        <f>IF('Biên Tập'!B22="","",'Biên Tập'!B22)</f>
        <v/>
      </c>
      <c r="C218" s="52" t="str">
        <f>IF('Biên Tập'!C22="","",'Biên Tập'!C22)</f>
        <v/>
      </c>
      <c r="D218" s="52" t="str">
        <f>IF('Biên Tập'!D22="","",'Biên Tập'!D22)</f>
        <v/>
      </c>
      <c r="E218" s="52" t="str">
        <f>IF('Biên Tập'!E22="","",'Biên Tập'!E22)</f>
        <v/>
      </c>
      <c r="F218" s="52" t="str">
        <f>IF('Biên Tập'!F22="","",'Biên Tập'!F22)</f>
        <v/>
      </c>
      <c r="G218" s="52" t="str">
        <f>IF('Biên Tập'!G22="","",'Biên Tập'!G22)</f>
        <v/>
      </c>
      <c r="H218" s="52" t="str">
        <f>IF('Biên Tập'!J22="","",'Biên Tập'!J22)</f>
        <v/>
      </c>
      <c r="I218" s="52" t="str">
        <f>IF('Biên Tập'!M22="","",'Biên Tập'!M22)</f>
        <v/>
      </c>
      <c r="J218" s="52" t="str">
        <f>IF('Biên Tập'!R22="","",'Biên Tập'!R22)</f>
        <v/>
      </c>
      <c r="K218" s="52" t="str">
        <f t="array" ref="K218">IF(COUNTA('Biên Tập'!T22:AE22)=0,"",INDEX('Biên Tập'!T22:AE22,1,SUMPRODUCT(MAX(('Biên Tập'!T22:AE22&lt;&gt;"")*(COLUMN('Biên Tập'!T22:AE22)-COLUMN('Biên Tập'!T22)+1)))))</f>
        <v/>
      </c>
      <c r="L218" s="52" t="str">
        <f>IF(AND(G218&lt;&gt;"",G218='Tổng hợp'!$C$4),MAX(L$1:L217)+1,"")</f>
        <v/>
      </c>
    </row>
    <row r="219" ht="15.75" customHeight="1">
      <c r="A219" s="52" t="str">
        <f>IF('Biên Tập'!C23="","","Biên Tập")</f>
        <v/>
      </c>
      <c r="B219" s="52" t="str">
        <f>IF('Biên Tập'!B23="","",'Biên Tập'!B23)</f>
        <v/>
      </c>
      <c r="C219" s="52" t="str">
        <f>IF('Biên Tập'!C23="","",'Biên Tập'!C23)</f>
        <v/>
      </c>
      <c r="D219" s="52" t="str">
        <f>IF('Biên Tập'!D23="","",'Biên Tập'!D23)</f>
        <v/>
      </c>
      <c r="E219" s="52" t="str">
        <f>IF('Biên Tập'!E23="","",'Biên Tập'!E23)</f>
        <v/>
      </c>
      <c r="F219" s="52" t="str">
        <f>IF('Biên Tập'!F23="","",'Biên Tập'!F23)</f>
        <v/>
      </c>
      <c r="G219" s="52" t="str">
        <f>IF('Biên Tập'!G23="","",'Biên Tập'!G23)</f>
        <v/>
      </c>
      <c r="H219" s="52" t="str">
        <f>IF('Biên Tập'!J23="","",'Biên Tập'!J23)</f>
        <v/>
      </c>
      <c r="I219" s="52" t="str">
        <f>IF('Biên Tập'!M23="","",'Biên Tập'!M23)</f>
        <v/>
      </c>
      <c r="J219" s="52" t="str">
        <f>IF('Biên Tập'!R23="","",'Biên Tập'!R23)</f>
        <v/>
      </c>
      <c r="K219" s="52" t="str">
        <f t="array" ref="K219">IF(COUNTA('Biên Tập'!T23:AE23)=0,"",INDEX('Biên Tập'!T23:AE23,1,SUMPRODUCT(MAX(('Biên Tập'!T23:AE23&lt;&gt;"")*(COLUMN('Biên Tập'!T23:AE23)-COLUMN('Biên Tập'!T23)+1)))))</f>
        <v/>
      </c>
      <c r="L219" s="52" t="str">
        <f>IF(AND(G219&lt;&gt;"",G219='Tổng hợp'!$C$4),MAX(L$1:L218)+1,"")</f>
        <v/>
      </c>
    </row>
    <row r="220" ht="15.75" customHeight="1">
      <c r="A220" s="52" t="str">
        <f>IF('Biên Tập'!C24="","","Biên Tập")</f>
        <v/>
      </c>
      <c r="B220" s="52" t="str">
        <f>IF('Biên Tập'!B24="","",'Biên Tập'!B24)</f>
        <v/>
      </c>
      <c r="C220" s="52" t="str">
        <f>IF('Biên Tập'!C24="","",'Biên Tập'!C24)</f>
        <v/>
      </c>
      <c r="D220" s="52" t="str">
        <f>IF('Biên Tập'!D24="","",'Biên Tập'!D24)</f>
        <v/>
      </c>
      <c r="E220" s="52" t="str">
        <f>IF('Biên Tập'!E24="","",'Biên Tập'!E24)</f>
        <v/>
      </c>
      <c r="F220" s="52" t="str">
        <f>IF('Biên Tập'!F24="","",'Biên Tập'!F24)</f>
        <v/>
      </c>
      <c r="G220" s="52" t="str">
        <f>IF('Biên Tập'!G24="","",'Biên Tập'!G24)</f>
        <v/>
      </c>
      <c r="H220" s="52" t="str">
        <f>IF('Biên Tập'!J24="","",'Biên Tập'!J24)</f>
        <v/>
      </c>
      <c r="I220" s="52" t="str">
        <f>IF('Biên Tập'!M24="","",'Biên Tập'!M24)</f>
        <v/>
      </c>
      <c r="J220" s="52" t="str">
        <f>IF('Biên Tập'!R24="","",'Biên Tập'!R24)</f>
        <v/>
      </c>
      <c r="K220" s="52" t="str">
        <f t="array" ref="K220">IF(COUNTA('Biên Tập'!T24:AE24)=0,"",INDEX('Biên Tập'!T24:AE24,1,SUMPRODUCT(MAX(('Biên Tập'!T24:AE24&lt;&gt;"")*(COLUMN('Biên Tập'!T24:AE24)-COLUMN('Biên Tập'!T24)+1)))))</f>
        <v/>
      </c>
      <c r="L220" s="52" t="str">
        <f>IF(AND(G220&lt;&gt;"",G220='Tổng hợp'!$C$4),MAX(L$1:L219)+1,"")</f>
        <v/>
      </c>
    </row>
    <row r="221" ht="15.75" customHeight="1">
      <c r="A221" s="52" t="str">
        <f>IF('Biên Tập'!C25="","","Biên Tập")</f>
        <v/>
      </c>
      <c r="B221" s="52" t="str">
        <f>IF('Biên Tập'!B25="","",'Biên Tập'!B25)</f>
        <v/>
      </c>
      <c r="C221" s="52" t="str">
        <f>IF('Biên Tập'!C25="","",'Biên Tập'!C25)</f>
        <v/>
      </c>
      <c r="D221" s="52" t="str">
        <f>IF('Biên Tập'!D25="","",'Biên Tập'!D25)</f>
        <v/>
      </c>
      <c r="E221" s="52" t="str">
        <f>IF('Biên Tập'!E25="","",'Biên Tập'!E25)</f>
        <v/>
      </c>
      <c r="F221" s="52" t="str">
        <f>IF('Biên Tập'!F25="","",'Biên Tập'!F25)</f>
        <v/>
      </c>
      <c r="G221" s="52" t="str">
        <f>IF('Biên Tập'!G25="","",'Biên Tập'!G25)</f>
        <v/>
      </c>
      <c r="H221" s="52" t="str">
        <f>IF('Biên Tập'!J25="","",'Biên Tập'!J25)</f>
        <v/>
      </c>
      <c r="I221" s="52" t="str">
        <f>IF('Biên Tập'!M25="","",'Biên Tập'!M25)</f>
        <v/>
      </c>
      <c r="J221" s="52" t="str">
        <f>IF('Biên Tập'!R25="","",'Biên Tập'!R25)</f>
        <v/>
      </c>
      <c r="K221" s="52" t="str">
        <f t="array" ref="K221">IF(COUNTA('Biên Tập'!T25:AE25)=0,"",INDEX('Biên Tập'!T25:AE25,1,SUMPRODUCT(MAX(('Biên Tập'!T25:AE25&lt;&gt;"")*(COLUMN('Biên Tập'!T25:AE25)-COLUMN('Biên Tập'!T25)+1)))))</f>
        <v/>
      </c>
      <c r="L221" s="52" t="str">
        <f>IF(AND(G221&lt;&gt;"",G221='Tổng hợp'!$C$4),MAX(L$1:L220)+1,"")</f>
        <v/>
      </c>
    </row>
    <row r="222" ht="15.75" customHeight="1">
      <c r="A222" s="52" t="str">
        <f>IF('Biên Tập'!C26="","","Biên Tập")</f>
        <v/>
      </c>
      <c r="B222" s="52" t="str">
        <f>IF('Biên Tập'!B26="","",'Biên Tập'!B26)</f>
        <v/>
      </c>
      <c r="C222" s="52" t="str">
        <f>IF('Biên Tập'!C26="","",'Biên Tập'!C26)</f>
        <v/>
      </c>
      <c r="D222" s="52" t="str">
        <f>IF('Biên Tập'!D26="","",'Biên Tập'!D26)</f>
        <v/>
      </c>
      <c r="E222" s="52" t="str">
        <f>IF('Biên Tập'!E26="","",'Biên Tập'!E26)</f>
        <v/>
      </c>
      <c r="F222" s="52" t="str">
        <f>IF('Biên Tập'!F26="","",'Biên Tập'!F26)</f>
        <v/>
      </c>
      <c r="G222" s="52" t="str">
        <f>IF('Biên Tập'!G26="","",'Biên Tập'!G26)</f>
        <v/>
      </c>
      <c r="H222" s="52" t="str">
        <f>IF('Biên Tập'!J26="","",'Biên Tập'!J26)</f>
        <v/>
      </c>
      <c r="I222" s="52" t="str">
        <f>IF('Biên Tập'!M26="","",'Biên Tập'!M26)</f>
        <v/>
      </c>
      <c r="J222" s="52" t="str">
        <f>IF('Biên Tập'!R26="","",'Biên Tập'!R26)</f>
        <v/>
      </c>
      <c r="K222" s="52" t="str">
        <f t="array" ref="K222">IF(COUNTA('Biên Tập'!T26:AE26)=0,"",INDEX('Biên Tập'!T26:AE26,1,SUMPRODUCT(MAX(('Biên Tập'!T26:AE26&lt;&gt;"")*(COLUMN('Biên Tập'!T26:AE26)-COLUMN('Biên Tập'!T26)+1)))))</f>
        <v/>
      </c>
      <c r="L222" s="52" t="str">
        <f>IF(AND(G222&lt;&gt;"",G222='Tổng hợp'!$C$4),MAX(L$1:L221)+1,"")</f>
        <v/>
      </c>
    </row>
    <row r="223" ht="15.75" customHeight="1">
      <c r="A223" s="52" t="str">
        <f>IF('Biên Tập'!C27="","","Biên Tập")</f>
        <v/>
      </c>
      <c r="B223" s="52" t="str">
        <f>IF('Biên Tập'!B27="","",'Biên Tập'!B27)</f>
        <v/>
      </c>
      <c r="C223" s="52" t="str">
        <f>IF('Biên Tập'!C27="","",'Biên Tập'!C27)</f>
        <v/>
      </c>
      <c r="D223" s="52" t="str">
        <f>IF('Biên Tập'!D27="","",'Biên Tập'!D27)</f>
        <v/>
      </c>
      <c r="E223" s="52" t="str">
        <f>IF('Biên Tập'!E27="","",'Biên Tập'!E27)</f>
        <v/>
      </c>
      <c r="F223" s="52" t="str">
        <f>IF('Biên Tập'!F27="","",'Biên Tập'!F27)</f>
        <v/>
      </c>
      <c r="G223" s="52" t="str">
        <f>IF('Biên Tập'!G27="","",'Biên Tập'!G27)</f>
        <v/>
      </c>
      <c r="H223" s="52" t="str">
        <f>IF('Biên Tập'!J27="","",'Biên Tập'!J27)</f>
        <v/>
      </c>
      <c r="I223" s="52" t="str">
        <f>IF('Biên Tập'!M27="","",'Biên Tập'!M27)</f>
        <v/>
      </c>
      <c r="J223" s="52" t="str">
        <f>IF('Biên Tập'!R27="","",'Biên Tập'!R27)</f>
        <v/>
      </c>
      <c r="K223" s="52" t="str">
        <f t="array" ref="K223">IF(COUNTA('Biên Tập'!T27:AE27)=0,"",INDEX('Biên Tập'!T27:AE27,1,SUMPRODUCT(MAX(('Biên Tập'!T27:AE27&lt;&gt;"")*(COLUMN('Biên Tập'!T27:AE27)-COLUMN('Biên Tập'!T27)+1)))))</f>
        <v/>
      </c>
      <c r="L223" s="52" t="str">
        <f>IF(AND(G223&lt;&gt;"",G223='Tổng hợp'!$C$4),MAX(L$1:L222)+1,"")</f>
        <v/>
      </c>
    </row>
    <row r="224" ht="15.75" customHeight="1">
      <c r="A224" s="52" t="str">
        <f>IF('Biên Tập'!C28="","","Biên Tập")</f>
        <v/>
      </c>
      <c r="B224" s="52" t="str">
        <f>IF('Biên Tập'!B28="","",'Biên Tập'!B28)</f>
        <v/>
      </c>
      <c r="C224" s="52" t="str">
        <f>IF('Biên Tập'!C28="","",'Biên Tập'!C28)</f>
        <v/>
      </c>
      <c r="D224" s="52" t="str">
        <f>IF('Biên Tập'!D28="","",'Biên Tập'!D28)</f>
        <v/>
      </c>
      <c r="E224" s="52" t="str">
        <f>IF('Biên Tập'!E28="","",'Biên Tập'!E28)</f>
        <v/>
      </c>
      <c r="F224" s="52" t="str">
        <f>IF('Biên Tập'!F28="","",'Biên Tập'!F28)</f>
        <v/>
      </c>
      <c r="G224" s="52" t="str">
        <f>IF('Biên Tập'!G28="","",'Biên Tập'!G28)</f>
        <v/>
      </c>
      <c r="H224" s="52" t="str">
        <f>IF('Biên Tập'!J28="","",'Biên Tập'!J28)</f>
        <v/>
      </c>
      <c r="I224" s="52" t="str">
        <f>IF('Biên Tập'!M28="","",'Biên Tập'!M28)</f>
        <v/>
      </c>
      <c r="J224" s="52" t="str">
        <f>IF('Biên Tập'!R28="","",'Biên Tập'!R28)</f>
        <v/>
      </c>
      <c r="K224" s="52" t="str">
        <f t="array" ref="K224">IF(COUNTA('Biên Tập'!T28:AE28)=0,"",INDEX('Biên Tập'!T28:AE28,1,SUMPRODUCT(MAX(('Biên Tập'!T28:AE28&lt;&gt;"")*(COLUMN('Biên Tập'!T28:AE28)-COLUMN('Biên Tập'!T28)+1)))))</f>
        <v/>
      </c>
      <c r="L224" s="52" t="str">
        <f>IF(AND(G224&lt;&gt;"",G224='Tổng hợp'!$C$4),MAX(L$1:L223)+1,"")</f>
        <v/>
      </c>
    </row>
    <row r="225" ht="15.75" customHeight="1">
      <c r="A225" s="52" t="str">
        <f>IF('Biên Tập'!C29="","","Biên Tập")</f>
        <v/>
      </c>
      <c r="B225" s="52" t="str">
        <f>IF('Biên Tập'!B29="","",'Biên Tập'!B29)</f>
        <v/>
      </c>
      <c r="C225" s="52" t="str">
        <f>IF('Biên Tập'!C29="","",'Biên Tập'!C29)</f>
        <v/>
      </c>
      <c r="D225" s="52" t="str">
        <f>IF('Biên Tập'!D29="","",'Biên Tập'!D29)</f>
        <v/>
      </c>
      <c r="E225" s="52" t="str">
        <f>IF('Biên Tập'!E29="","",'Biên Tập'!E29)</f>
        <v/>
      </c>
      <c r="F225" s="52" t="str">
        <f>IF('Biên Tập'!F29="","",'Biên Tập'!F29)</f>
        <v/>
      </c>
      <c r="G225" s="52" t="str">
        <f>IF('Biên Tập'!G29="","",'Biên Tập'!G29)</f>
        <v/>
      </c>
      <c r="H225" s="52" t="str">
        <f>IF('Biên Tập'!J29="","",'Biên Tập'!J29)</f>
        <v/>
      </c>
      <c r="I225" s="52" t="str">
        <f>IF('Biên Tập'!M29="","",'Biên Tập'!M29)</f>
        <v/>
      </c>
      <c r="J225" s="52" t="str">
        <f>IF('Biên Tập'!R29="","",'Biên Tập'!R29)</f>
        <v/>
      </c>
      <c r="K225" s="52" t="str">
        <f t="array" ref="K225">IF(COUNTA('Biên Tập'!T29:AE29)=0,"",INDEX('Biên Tập'!T29:AE29,1,SUMPRODUCT(MAX(('Biên Tập'!T29:AE29&lt;&gt;"")*(COLUMN('Biên Tập'!T29:AE29)-COLUMN('Biên Tập'!T29)+1)))))</f>
        <v/>
      </c>
      <c r="L225" s="52" t="str">
        <f>IF(AND(G225&lt;&gt;"",G225='Tổng hợp'!$C$4),MAX(L$1:L224)+1,"")</f>
        <v/>
      </c>
    </row>
    <row r="226" ht="15.75" customHeight="1">
      <c r="A226" s="52" t="str">
        <f>IF('Biên Tập'!C30="","","Biên Tập")</f>
        <v/>
      </c>
      <c r="B226" s="52" t="str">
        <f>IF('Biên Tập'!B30="","",'Biên Tập'!B30)</f>
        <v/>
      </c>
      <c r="C226" s="52" t="str">
        <f>IF('Biên Tập'!C30="","",'Biên Tập'!C30)</f>
        <v/>
      </c>
      <c r="D226" s="52" t="str">
        <f>IF('Biên Tập'!D30="","",'Biên Tập'!D30)</f>
        <v/>
      </c>
      <c r="E226" s="52" t="str">
        <f>IF('Biên Tập'!E30="","",'Biên Tập'!E30)</f>
        <v/>
      </c>
      <c r="F226" s="52" t="str">
        <f>IF('Biên Tập'!F30="","",'Biên Tập'!F30)</f>
        <v/>
      </c>
      <c r="G226" s="52" t="str">
        <f>IF('Biên Tập'!G30="","",'Biên Tập'!G30)</f>
        <v/>
      </c>
      <c r="H226" s="52" t="str">
        <f>IF('Biên Tập'!J30="","",'Biên Tập'!J30)</f>
        <v/>
      </c>
      <c r="I226" s="52" t="str">
        <f>IF('Biên Tập'!M30="","",'Biên Tập'!M30)</f>
        <v/>
      </c>
      <c r="J226" s="52" t="str">
        <f>IF('Biên Tập'!R30="","",'Biên Tập'!R30)</f>
        <v/>
      </c>
      <c r="K226" s="52" t="str">
        <f t="array" ref="K226">IF(COUNTA('Biên Tập'!T30:AE30)=0,"",INDEX('Biên Tập'!T30:AE30,1,SUMPRODUCT(MAX(('Biên Tập'!T30:AE30&lt;&gt;"")*(COLUMN('Biên Tập'!T30:AE30)-COLUMN('Biên Tập'!T30)+1)))))</f>
        <v/>
      </c>
      <c r="L226" s="52" t="str">
        <f>IF(AND(G226&lt;&gt;"",G226='Tổng hợp'!$C$4),MAX(L$1:L225)+1,"")</f>
        <v/>
      </c>
    </row>
    <row r="227" ht="15.75" customHeight="1">
      <c r="A227" s="52" t="str">
        <f>IF('Biên Tập'!C31="","","Biên Tập")</f>
        <v/>
      </c>
      <c r="B227" s="52" t="str">
        <f>IF('Biên Tập'!B31="","",'Biên Tập'!B31)</f>
        <v/>
      </c>
      <c r="C227" s="52" t="str">
        <f>IF('Biên Tập'!C31="","",'Biên Tập'!C31)</f>
        <v/>
      </c>
      <c r="D227" s="52" t="str">
        <f>IF('Biên Tập'!D31="","",'Biên Tập'!D31)</f>
        <v/>
      </c>
      <c r="E227" s="52" t="str">
        <f>IF('Biên Tập'!E31="","",'Biên Tập'!E31)</f>
        <v/>
      </c>
      <c r="F227" s="52" t="str">
        <f>IF('Biên Tập'!F31="","",'Biên Tập'!F31)</f>
        <v/>
      </c>
      <c r="G227" s="52" t="str">
        <f>IF('Biên Tập'!G31="","",'Biên Tập'!G31)</f>
        <v/>
      </c>
      <c r="H227" s="52" t="str">
        <f>IF('Biên Tập'!J31="","",'Biên Tập'!J31)</f>
        <v/>
      </c>
      <c r="I227" s="52" t="str">
        <f>IF('Biên Tập'!M31="","",'Biên Tập'!M31)</f>
        <v/>
      </c>
      <c r="J227" s="52" t="str">
        <f>IF('Biên Tập'!R31="","",'Biên Tập'!R31)</f>
        <v/>
      </c>
      <c r="K227" s="52" t="str">
        <f t="array" ref="K227">IF(COUNTA('Biên Tập'!T31:AE31)=0,"",INDEX('Biên Tập'!T31:AE31,1,SUMPRODUCT(MAX(('Biên Tập'!T31:AE31&lt;&gt;"")*(COLUMN('Biên Tập'!T31:AE31)-COLUMN('Biên Tập'!T31)+1)))))</f>
        <v/>
      </c>
      <c r="L227" s="52" t="str">
        <f>IF(AND(G227&lt;&gt;"",G227='Tổng hợp'!$C$4),MAX(L$1:L226)+1,"")</f>
        <v/>
      </c>
    </row>
    <row r="228" ht="15.75" customHeight="1">
      <c r="A228" s="52" t="str">
        <f>IF('Biên Tập'!C32="","","Biên Tập")</f>
        <v/>
      </c>
      <c r="B228" s="52" t="str">
        <f>IF('Biên Tập'!B32="","",'Biên Tập'!B32)</f>
        <v/>
      </c>
      <c r="C228" s="52" t="str">
        <f>IF('Biên Tập'!C32="","",'Biên Tập'!C32)</f>
        <v/>
      </c>
      <c r="D228" s="52" t="str">
        <f>IF('Biên Tập'!D32="","",'Biên Tập'!D32)</f>
        <v/>
      </c>
      <c r="E228" s="52" t="str">
        <f>IF('Biên Tập'!E32="","",'Biên Tập'!E32)</f>
        <v/>
      </c>
      <c r="F228" s="52" t="str">
        <f>IF('Biên Tập'!F32="","",'Biên Tập'!F32)</f>
        <v/>
      </c>
      <c r="G228" s="52" t="str">
        <f>IF('Biên Tập'!G32="","",'Biên Tập'!G32)</f>
        <v/>
      </c>
      <c r="H228" s="52" t="str">
        <f>IF('Biên Tập'!J32="","",'Biên Tập'!J32)</f>
        <v/>
      </c>
      <c r="I228" s="52" t="str">
        <f>IF('Biên Tập'!M32="","",'Biên Tập'!M32)</f>
        <v/>
      </c>
      <c r="J228" s="52" t="str">
        <f>IF('Biên Tập'!R32="","",'Biên Tập'!R32)</f>
        <v/>
      </c>
      <c r="K228" s="52" t="str">
        <f t="array" ref="K228">IF(COUNTA('Biên Tập'!T32:AE32)=0,"",INDEX('Biên Tập'!T32:AE32,1,SUMPRODUCT(MAX(('Biên Tập'!T32:AE32&lt;&gt;"")*(COLUMN('Biên Tập'!T32:AE32)-COLUMN('Biên Tập'!T32)+1)))))</f>
        <v/>
      </c>
      <c r="L228" s="52" t="str">
        <f>IF(AND(G228&lt;&gt;"",G228='Tổng hợp'!$C$4),MAX(L$1:L227)+1,"")</f>
        <v/>
      </c>
    </row>
    <row r="229" ht="15.75" customHeight="1">
      <c r="A229" s="52" t="str">
        <f>IF('Biên Tập'!C33="","","Biên Tập")</f>
        <v/>
      </c>
      <c r="B229" s="52" t="str">
        <f>IF('Biên Tập'!B33="","",'Biên Tập'!B33)</f>
        <v/>
      </c>
      <c r="C229" s="52" t="str">
        <f>IF('Biên Tập'!C33="","",'Biên Tập'!C33)</f>
        <v/>
      </c>
      <c r="D229" s="52" t="str">
        <f>IF('Biên Tập'!D33="","",'Biên Tập'!D33)</f>
        <v/>
      </c>
      <c r="E229" s="52" t="str">
        <f>IF('Biên Tập'!E33="","",'Biên Tập'!E33)</f>
        <v/>
      </c>
      <c r="F229" s="52" t="str">
        <f>IF('Biên Tập'!F33="","",'Biên Tập'!F33)</f>
        <v/>
      </c>
      <c r="G229" s="52" t="str">
        <f>IF('Biên Tập'!G33="","",'Biên Tập'!G33)</f>
        <v/>
      </c>
      <c r="H229" s="52" t="str">
        <f>IF('Biên Tập'!J33="","",'Biên Tập'!J33)</f>
        <v/>
      </c>
      <c r="I229" s="52" t="str">
        <f>IF('Biên Tập'!M33="","",'Biên Tập'!M33)</f>
        <v/>
      </c>
      <c r="J229" s="52" t="str">
        <f>IF('Biên Tập'!R33="","",'Biên Tập'!R33)</f>
        <v/>
      </c>
      <c r="K229" s="52" t="str">
        <f t="array" ref="K229">IF(COUNTA('Biên Tập'!T33:AE33)=0,"",INDEX('Biên Tập'!T33:AE33,1,SUMPRODUCT(MAX(('Biên Tập'!T33:AE33&lt;&gt;"")*(COLUMN('Biên Tập'!T33:AE33)-COLUMN('Biên Tập'!T33)+1)))))</f>
        <v/>
      </c>
      <c r="L229" s="52" t="str">
        <f>IF(AND(G229&lt;&gt;"",G229='Tổng hợp'!$C$4),MAX(L$1:L228)+1,"")</f>
        <v/>
      </c>
    </row>
    <row r="230" ht="15.75" customHeight="1">
      <c r="A230" s="52" t="str">
        <f>IF('Biên Tập'!C34="","","Biên Tập")</f>
        <v/>
      </c>
      <c r="B230" s="52" t="str">
        <f>IF('Biên Tập'!B34="","",'Biên Tập'!B34)</f>
        <v/>
      </c>
      <c r="C230" s="52" t="str">
        <f>IF('Biên Tập'!C34="","",'Biên Tập'!C34)</f>
        <v/>
      </c>
      <c r="D230" s="52" t="str">
        <f>IF('Biên Tập'!D34="","",'Biên Tập'!D34)</f>
        <v/>
      </c>
      <c r="E230" s="52" t="str">
        <f>IF('Biên Tập'!E34="","",'Biên Tập'!E34)</f>
        <v/>
      </c>
      <c r="F230" s="52" t="str">
        <f>IF('Biên Tập'!F34="","",'Biên Tập'!F34)</f>
        <v/>
      </c>
      <c r="G230" s="52" t="str">
        <f>IF('Biên Tập'!G34="","",'Biên Tập'!G34)</f>
        <v/>
      </c>
      <c r="H230" s="52" t="str">
        <f>IF('Biên Tập'!J34="","",'Biên Tập'!J34)</f>
        <v/>
      </c>
      <c r="I230" s="52" t="str">
        <f>IF('Biên Tập'!M34="","",'Biên Tập'!M34)</f>
        <v/>
      </c>
      <c r="J230" s="52" t="str">
        <f>IF('Biên Tập'!R34="","",'Biên Tập'!R34)</f>
        <v/>
      </c>
      <c r="K230" s="52" t="str">
        <f t="array" ref="K230">IF(COUNTA('Biên Tập'!T34:AE34)=0,"",INDEX('Biên Tập'!T34:AE34,1,SUMPRODUCT(MAX(('Biên Tập'!T34:AE34&lt;&gt;"")*(COLUMN('Biên Tập'!T34:AE34)-COLUMN('Biên Tập'!T34)+1)))))</f>
        <v/>
      </c>
      <c r="L230" s="52" t="str">
        <f>IF(AND(G230&lt;&gt;"",G230='Tổng hợp'!$C$4),MAX(L$1:L229)+1,"")</f>
        <v/>
      </c>
    </row>
    <row r="231" ht="15.75" customHeight="1">
      <c r="A231" s="52" t="str">
        <f>IF('Biên Tập'!C35="","","Biên Tập")</f>
        <v/>
      </c>
      <c r="B231" s="52" t="str">
        <f>IF('Biên Tập'!B35="","",'Biên Tập'!B35)</f>
        <v/>
      </c>
      <c r="C231" s="52" t="str">
        <f>IF('Biên Tập'!C35="","",'Biên Tập'!C35)</f>
        <v/>
      </c>
      <c r="D231" s="52" t="str">
        <f>IF('Biên Tập'!D35="","",'Biên Tập'!D35)</f>
        <v/>
      </c>
      <c r="E231" s="52" t="str">
        <f>IF('Biên Tập'!E35="","",'Biên Tập'!E35)</f>
        <v/>
      </c>
      <c r="F231" s="52" t="str">
        <f>IF('Biên Tập'!F35="","",'Biên Tập'!F35)</f>
        <v/>
      </c>
      <c r="G231" s="52" t="str">
        <f>IF('Biên Tập'!G35="","",'Biên Tập'!G35)</f>
        <v/>
      </c>
      <c r="H231" s="52" t="str">
        <f>IF('Biên Tập'!J35="","",'Biên Tập'!J35)</f>
        <v/>
      </c>
      <c r="I231" s="52" t="str">
        <f>IF('Biên Tập'!M35="","",'Biên Tập'!M35)</f>
        <v/>
      </c>
      <c r="J231" s="52" t="str">
        <f>IF('Biên Tập'!R35="","",'Biên Tập'!R35)</f>
        <v/>
      </c>
      <c r="K231" s="52" t="str">
        <f t="array" ref="K231">IF(COUNTA('Biên Tập'!T35:AE35)=0,"",INDEX('Biên Tập'!T35:AE35,1,SUMPRODUCT(MAX(('Biên Tập'!T35:AE35&lt;&gt;"")*(COLUMN('Biên Tập'!T35:AE35)-COLUMN('Biên Tập'!T35)+1)))))</f>
        <v/>
      </c>
      <c r="L231" s="52" t="str">
        <f>IF(AND(G231&lt;&gt;"",G231='Tổng hợp'!$C$4),MAX(L$1:L230)+1,"")</f>
        <v/>
      </c>
    </row>
    <row r="232" ht="15.75" customHeight="1">
      <c r="A232" s="52" t="str">
        <f>IF('Biên Tập'!C36="","","Biên Tập")</f>
        <v/>
      </c>
      <c r="B232" s="52" t="str">
        <f>IF('Biên Tập'!B36="","",'Biên Tập'!B36)</f>
        <v/>
      </c>
      <c r="C232" s="52" t="str">
        <f>IF('Biên Tập'!C36="","",'Biên Tập'!C36)</f>
        <v/>
      </c>
      <c r="D232" s="52" t="str">
        <f>IF('Biên Tập'!D36="","",'Biên Tập'!D36)</f>
        <v/>
      </c>
      <c r="E232" s="52" t="str">
        <f>IF('Biên Tập'!E36="","",'Biên Tập'!E36)</f>
        <v/>
      </c>
      <c r="F232" s="52" t="str">
        <f>IF('Biên Tập'!F36="","",'Biên Tập'!F36)</f>
        <v/>
      </c>
      <c r="G232" s="52" t="str">
        <f>IF('Biên Tập'!G36="","",'Biên Tập'!G36)</f>
        <v/>
      </c>
      <c r="H232" s="52" t="str">
        <f>IF('Biên Tập'!J36="","",'Biên Tập'!J36)</f>
        <v/>
      </c>
      <c r="I232" s="52" t="str">
        <f>IF('Biên Tập'!M36="","",'Biên Tập'!M36)</f>
        <v/>
      </c>
      <c r="J232" s="52" t="str">
        <f>IF('Biên Tập'!R36="","",'Biên Tập'!R36)</f>
        <v/>
      </c>
      <c r="K232" s="52" t="str">
        <f t="array" ref="K232">IF(COUNTA('Biên Tập'!T36:AE36)=0,"",INDEX('Biên Tập'!T36:AE36,1,SUMPRODUCT(MAX(('Biên Tập'!T36:AE36&lt;&gt;"")*(COLUMN('Biên Tập'!T36:AE36)-COLUMN('Biên Tập'!T36)+1)))))</f>
        <v/>
      </c>
      <c r="L232" s="52" t="str">
        <f>IF(AND(G232&lt;&gt;"",G232='Tổng hợp'!$C$4),MAX(L$1:L231)+1,"")</f>
        <v/>
      </c>
    </row>
    <row r="233" ht="15.75" customHeight="1">
      <c r="A233" s="52" t="str">
        <f>IF('Biên Tập'!C37="","","Biên Tập")</f>
        <v/>
      </c>
      <c r="B233" s="52" t="str">
        <f>IF('Biên Tập'!B37="","",'Biên Tập'!B37)</f>
        <v/>
      </c>
      <c r="C233" s="52" t="str">
        <f>IF('Biên Tập'!C37="","",'Biên Tập'!C37)</f>
        <v/>
      </c>
      <c r="D233" s="52" t="str">
        <f>IF('Biên Tập'!D37="","",'Biên Tập'!D37)</f>
        <v/>
      </c>
      <c r="E233" s="52" t="str">
        <f>IF('Biên Tập'!E37="","",'Biên Tập'!E37)</f>
        <v/>
      </c>
      <c r="F233" s="52" t="str">
        <f>IF('Biên Tập'!F37="","",'Biên Tập'!F37)</f>
        <v/>
      </c>
      <c r="G233" s="52" t="str">
        <f>IF('Biên Tập'!G37="","",'Biên Tập'!G37)</f>
        <v/>
      </c>
      <c r="H233" s="52" t="str">
        <f>IF('Biên Tập'!J37="","",'Biên Tập'!J37)</f>
        <v/>
      </c>
      <c r="I233" s="52" t="str">
        <f>IF('Biên Tập'!M37="","",'Biên Tập'!M37)</f>
        <v/>
      </c>
      <c r="J233" s="52" t="str">
        <f>IF('Biên Tập'!R37="","",'Biên Tập'!R37)</f>
        <v/>
      </c>
      <c r="K233" s="52" t="str">
        <f t="array" ref="K233">IF(COUNTA('Biên Tập'!T37:AE37)=0,"",INDEX('Biên Tập'!T37:AE37,1,SUMPRODUCT(MAX(('Biên Tập'!T37:AE37&lt;&gt;"")*(COLUMN('Biên Tập'!T37:AE37)-COLUMN('Biên Tập'!T37)+1)))))</f>
        <v/>
      </c>
      <c r="L233" s="52" t="str">
        <f>IF(AND(G233&lt;&gt;"",G233='Tổng hợp'!$C$4),MAX(L$1:L232)+1,"")</f>
        <v/>
      </c>
    </row>
    <row r="234" ht="15.75" customHeight="1">
      <c r="A234" s="52" t="str">
        <f>IF('Biên Tập'!C38="","","Biên Tập")</f>
        <v/>
      </c>
      <c r="B234" s="52" t="str">
        <f>IF('Biên Tập'!B38="","",'Biên Tập'!B38)</f>
        <v/>
      </c>
      <c r="C234" s="52" t="str">
        <f>IF('Biên Tập'!C38="","",'Biên Tập'!C38)</f>
        <v/>
      </c>
      <c r="D234" s="52" t="str">
        <f>IF('Biên Tập'!D38="","",'Biên Tập'!D38)</f>
        <v/>
      </c>
      <c r="E234" s="52" t="str">
        <f>IF('Biên Tập'!E38="","",'Biên Tập'!E38)</f>
        <v/>
      </c>
      <c r="F234" s="52" t="str">
        <f>IF('Biên Tập'!F38="","",'Biên Tập'!F38)</f>
        <v/>
      </c>
      <c r="G234" s="52" t="str">
        <f>IF('Biên Tập'!G38="","",'Biên Tập'!G38)</f>
        <v/>
      </c>
      <c r="H234" s="52" t="str">
        <f>IF('Biên Tập'!J38="","",'Biên Tập'!J38)</f>
        <v/>
      </c>
      <c r="I234" s="52" t="str">
        <f>IF('Biên Tập'!M38="","",'Biên Tập'!M38)</f>
        <v/>
      </c>
      <c r="J234" s="52" t="str">
        <f>IF('Biên Tập'!R38="","",'Biên Tập'!R38)</f>
        <v/>
      </c>
      <c r="K234" s="52" t="str">
        <f t="array" ref="K234">IF(COUNTA('Biên Tập'!T38:AE38)=0,"",INDEX('Biên Tập'!T38:AE38,1,SUMPRODUCT(MAX(('Biên Tập'!T38:AE38&lt;&gt;"")*(COLUMN('Biên Tập'!T38:AE38)-COLUMN('Biên Tập'!T38)+1)))))</f>
        <v/>
      </c>
      <c r="L234" s="52" t="str">
        <f>IF(AND(G234&lt;&gt;"",G234='Tổng hợp'!$C$4),MAX(L$1:L233)+1,"")</f>
        <v/>
      </c>
    </row>
    <row r="235" ht="15.75" customHeight="1">
      <c r="A235" s="52" t="str">
        <f>IF('Biên Tập'!C39="","","Biên Tập")</f>
        <v/>
      </c>
      <c r="B235" s="52" t="str">
        <f>IF('Biên Tập'!B39="","",'Biên Tập'!B39)</f>
        <v/>
      </c>
      <c r="C235" s="52" t="str">
        <f>IF('Biên Tập'!C39="","",'Biên Tập'!C39)</f>
        <v/>
      </c>
      <c r="D235" s="52" t="str">
        <f>IF('Biên Tập'!D39="","",'Biên Tập'!D39)</f>
        <v/>
      </c>
      <c r="E235" s="52" t="str">
        <f>IF('Biên Tập'!E39="","",'Biên Tập'!E39)</f>
        <v/>
      </c>
      <c r="F235" s="52" t="str">
        <f>IF('Biên Tập'!F39="","",'Biên Tập'!F39)</f>
        <v/>
      </c>
      <c r="G235" s="52" t="str">
        <f>IF('Biên Tập'!G39="","",'Biên Tập'!G39)</f>
        <v/>
      </c>
      <c r="H235" s="52" t="str">
        <f>IF('Biên Tập'!J39="","",'Biên Tập'!J39)</f>
        <v/>
      </c>
      <c r="I235" s="52" t="str">
        <f>IF('Biên Tập'!M39="","",'Biên Tập'!M39)</f>
        <v/>
      </c>
      <c r="J235" s="52" t="str">
        <f>IF('Biên Tập'!R39="","",'Biên Tập'!R39)</f>
        <v/>
      </c>
      <c r="K235" s="52" t="str">
        <f t="array" ref="K235">IF(COUNTA('Biên Tập'!T39:AE39)=0,"",INDEX('Biên Tập'!T39:AE39,1,SUMPRODUCT(MAX(('Biên Tập'!T39:AE39&lt;&gt;"")*(COLUMN('Biên Tập'!T39:AE39)-COLUMN('Biên Tập'!T39)+1)))))</f>
        <v/>
      </c>
      <c r="L235" s="52" t="str">
        <f>IF(AND(G235&lt;&gt;"",G235='Tổng hợp'!$C$4),MAX(L$1:L234)+1,"")</f>
        <v/>
      </c>
    </row>
    <row r="236" ht="15.75" customHeight="1">
      <c r="A236" s="52" t="str">
        <f>IF('Biên Tập'!C40="","","Biên Tập")</f>
        <v/>
      </c>
      <c r="B236" s="52" t="str">
        <f>IF('Biên Tập'!B40="","",'Biên Tập'!B40)</f>
        <v/>
      </c>
      <c r="C236" s="52" t="str">
        <f>IF('Biên Tập'!C40="","",'Biên Tập'!C40)</f>
        <v/>
      </c>
      <c r="D236" s="52" t="str">
        <f>IF('Biên Tập'!D40="","",'Biên Tập'!D40)</f>
        <v/>
      </c>
      <c r="E236" s="52" t="str">
        <f>IF('Biên Tập'!E40="","",'Biên Tập'!E40)</f>
        <v/>
      </c>
      <c r="F236" s="52" t="str">
        <f>IF('Biên Tập'!F40="","",'Biên Tập'!F40)</f>
        <v/>
      </c>
      <c r="G236" s="52" t="str">
        <f>IF('Biên Tập'!G40="","",'Biên Tập'!G40)</f>
        <v/>
      </c>
      <c r="H236" s="52" t="str">
        <f>IF('Biên Tập'!J40="","",'Biên Tập'!J40)</f>
        <v/>
      </c>
      <c r="I236" s="52" t="str">
        <f>IF('Biên Tập'!M40="","",'Biên Tập'!M40)</f>
        <v/>
      </c>
      <c r="J236" s="52" t="str">
        <f>IF('Biên Tập'!R40="","",'Biên Tập'!R40)</f>
        <v/>
      </c>
      <c r="K236" s="52" t="str">
        <f t="array" ref="K236">IF(COUNTA('Biên Tập'!T40:AE40)=0,"",INDEX('Biên Tập'!T40:AE40,1,SUMPRODUCT(MAX(('Biên Tập'!T40:AE40&lt;&gt;"")*(COLUMN('Biên Tập'!T40:AE40)-COLUMN('Biên Tập'!T40)+1)))))</f>
        <v/>
      </c>
      <c r="L236" s="52" t="str">
        <f>IF(AND(G236&lt;&gt;"",G236='Tổng hợp'!$C$4),MAX(L$1:L235)+1,"")</f>
        <v/>
      </c>
    </row>
    <row r="237" ht="15.75" customHeight="1">
      <c r="A237" s="52" t="str">
        <f>IF('Biên Tập'!C41="","","Biên Tập")</f>
        <v/>
      </c>
      <c r="B237" s="52" t="str">
        <f>IF('Biên Tập'!B41="","",'Biên Tập'!B41)</f>
        <v/>
      </c>
      <c r="C237" s="52" t="str">
        <f>IF('Biên Tập'!C41="","",'Biên Tập'!C41)</f>
        <v/>
      </c>
      <c r="D237" s="52" t="str">
        <f>IF('Biên Tập'!D41="","",'Biên Tập'!D41)</f>
        <v/>
      </c>
      <c r="E237" s="52" t="str">
        <f>IF('Biên Tập'!E41="","",'Biên Tập'!E41)</f>
        <v/>
      </c>
      <c r="F237" s="52" t="str">
        <f>IF('Biên Tập'!F41="","",'Biên Tập'!F41)</f>
        <v/>
      </c>
      <c r="G237" s="52" t="str">
        <f>IF('Biên Tập'!G41="","",'Biên Tập'!G41)</f>
        <v/>
      </c>
      <c r="H237" s="52" t="str">
        <f>IF('Biên Tập'!J41="","",'Biên Tập'!J41)</f>
        <v/>
      </c>
      <c r="I237" s="52" t="str">
        <f>IF('Biên Tập'!M41="","",'Biên Tập'!M41)</f>
        <v/>
      </c>
      <c r="J237" s="52" t="str">
        <f>IF('Biên Tập'!R41="","",'Biên Tập'!R41)</f>
        <v/>
      </c>
      <c r="K237" s="52" t="str">
        <f t="array" ref="K237">IF(COUNTA('Biên Tập'!T41:AE41)=0,"",INDEX('Biên Tập'!T41:AE41,1,SUMPRODUCT(MAX(('Biên Tập'!T41:AE41&lt;&gt;"")*(COLUMN('Biên Tập'!T41:AE41)-COLUMN('Biên Tập'!T41)+1)))))</f>
        <v/>
      </c>
      <c r="L237" s="52" t="str">
        <f>IF(AND(G237&lt;&gt;"",G237='Tổng hợp'!$C$4),MAX(L$1:L236)+1,"")</f>
        <v/>
      </c>
    </row>
    <row r="238" ht="15.75" customHeight="1">
      <c r="A238" s="52" t="str">
        <f>IF('Biên Tập'!C42="","","Biên Tập")</f>
        <v/>
      </c>
      <c r="B238" s="52" t="str">
        <f>IF('Biên Tập'!B42="","",'Biên Tập'!B42)</f>
        <v/>
      </c>
      <c r="C238" s="52" t="str">
        <f>IF('Biên Tập'!C42="","",'Biên Tập'!C42)</f>
        <v/>
      </c>
      <c r="D238" s="52" t="str">
        <f>IF('Biên Tập'!D42="","",'Biên Tập'!D42)</f>
        <v/>
      </c>
      <c r="E238" s="52" t="str">
        <f>IF('Biên Tập'!E42="","",'Biên Tập'!E42)</f>
        <v/>
      </c>
      <c r="F238" s="52" t="str">
        <f>IF('Biên Tập'!F42="","",'Biên Tập'!F42)</f>
        <v/>
      </c>
      <c r="G238" s="52" t="str">
        <f>IF('Biên Tập'!G42="","",'Biên Tập'!G42)</f>
        <v/>
      </c>
      <c r="H238" s="52" t="str">
        <f>IF('Biên Tập'!J42="","",'Biên Tập'!J42)</f>
        <v/>
      </c>
      <c r="I238" s="52" t="str">
        <f>IF('Biên Tập'!M42="","",'Biên Tập'!M42)</f>
        <v/>
      </c>
      <c r="J238" s="52" t="str">
        <f>IF('Biên Tập'!R42="","",'Biên Tập'!R42)</f>
        <v/>
      </c>
      <c r="K238" s="52" t="str">
        <f t="array" ref="K238">IF(COUNTA('Biên Tập'!T42:AE42)=0,"",INDEX('Biên Tập'!T42:AE42,1,SUMPRODUCT(MAX(('Biên Tập'!T42:AE42&lt;&gt;"")*(COLUMN('Biên Tập'!T42:AE42)-COLUMN('Biên Tập'!T42)+1)))))</f>
        <v/>
      </c>
      <c r="L238" s="52" t="str">
        <f>IF(AND(G238&lt;&gt;"",G238='Tổng hợp'!$C$4),MAX(L$1:L237)+1,"")</f>
        <v/>
      </c>
    </row>
    <row r="239" ht="15.75" customHeight="1">
      <c r="A239" s="52" t="str">
        <f>IF('Biên Tập'!C43="","","Biên Tập")</f>
        <v/>
      </c>
      <c r="B239" s="52" t="str">
        <f>IF('Biên Tập'!B43="","",'Biên Tập'!B43)</f>
        <v/>
      </c>
      <c r="C239" s="52" t="str">
        <f>IF('Biên Tập'!C43="","",'Biên Tập'!C43)</f>
        <v/>
      </c>
      <c r="D239" s="52" t="str">
        <f>IF('Biên Tập'!D43="","",'Biên Tập'!D43)</f>
        <v/>
      </c>
      <c r="E239" s="52" t="str">
        <f>IF('Biên Tập'!E43="","",'Biên Tập'!E43)</f>
        <v/>
      </c>
      <c r="F239" s="52" t="str">
        <f>IF('Biên Tập'!F43="","",'Biên Tập'!F43)</f>
        <v/>
      </c>
      <c r="G239" s="52" t="str">
        <f>IF('Biên Tập'!G43="","",'Biên Tập'!G43)</f>
        <v/>
      </c>
      <c r="H239" s="52" t="str">
        <f>IF('Biên Tập'!J43="","",'Biên Tập'!J43)</f>
        <v/>
      </c>
      <c r="I239" s="52" t="str">
        <f>IF('Biên Tập'!M43="","",'Biên Tập'!M43)</f>
        <v/>
      </c>
      <c r="J239" s="52" t="str">
        <f>IF('Biên Tập'!R43="","",'Biên Tập'!R43)</f>
        <v/>
      </c>
      <c r="K239" s="52" t="str">
        <f t="array" ref="K239">IF(COUNTA('Biên Tập'!T43:AE43)=0,"",INDEX('Biên Tập'!T43:AE43,1,SUMPRODUCT(MAX(('Biên Tập'!T43:AE43&lt;&gt;"")*(COLUMN('Biên Tập'!T43:AE43)-COLUMN('Biên Tập'!T43)+1)))))</f>
        <v/>
      </c>
      <c r="L239" s="52" t="str">
        <f>IF(AND(G239&lt;&gt;"",G239='Tổng hợp'!$C$4),MAX(L$1:L238)+1,"")</f>
        <v/>
      </c>
    </row>
    <row r="240" ht="15.75" customHeight="1">
      <c r="A240" s="52" t="str">
        <f>IF('Biên Tập'!C44="","","Biên Tập")</f>
        <v/>
      </c>
      <c r="B240" s="52" t="str">
        <f>IF('Biên Tập'!B44="","",'Biên Tập'!B44)</f>
        <v/>
      </c>
      <c r="C240" s="52" t="str">
        <f>IF('Biên Tập'!C44="","",'Biên Tập'!C44)</f>
        <v/>
      </c>
      <c r="D240" s="52" t="str">
        <f>IF('Biên Tập'!D44="","",'Biên Tập'!D44)</f>
        <v/>
      </c>
      <c r="E240" s="52" t="str">
        <f>IF('Biên Tập'!E44="","",'Biên Tập'!E44)</f>
        <v/>
      </c>
      <c r="F240" s="52" t="str">
        <f>IF('Biên Tập'!F44="","",'Biên Tập'!F44)</f>
        <v/>
      </c>
      <c r="G240" s="52" t="str">
        <f>IF('Biên Tập'!G44="","",'Biên Tập'!G44)</f>
        <v/>
      </c>
      <c r="H240" s="52" t="str">
        <f>IF('Biên Tập'!J44="","",'Biên Tập'!J44)</f>
        <v/>
      </c>
      <c r="I240" s="52" t="str">
        <f>IF('Biên Tập'!M44="","",'Biên Tập'!M44)</f>
        <v/>
      </c>
      <c r="J240" s="52" t="str">
        <f>IF('Biên Tập'!R44="","",'Biên Tập'!R44)</f>
        <v/>
      </c>
      <c r="K240" s="52" t="str">
        <f t="array" ref="K240">IF(COUNTA('Biên Tập'!T44:AE44)=0,"",INDEX('Biên Tập'!T44:AE44,1,SUMPRODUCT(MAX(('Biên Tập'!T44:AE44&lt;&gt;"")*(COLUMN('Biên Tập'!T44:AE44)-COLUMN('Biên Tập'!T44)+1)))))</f>
        <v/>
      </c>
      <c r="L240" s="52" t="str">
        <f>IF(AND(G240&lt;&gt;"",G240='Tổng hợp'!$C$4),MAX(L$1:L239)+1,"")</f>
        <v/>
      </c>
    </row>
    <row r="241" ht="15.75" customHeight="1">
      <c r="A241" s="52" t="str">
        <f>IF('Biên Tập'!C45="","","Biên Tập")</f>
        <v/>
      </c>
      <c r="B241" s="52" t="str">
        <f>IF('Biên Tập'!B45="","",'Biên Tập'!B45)</f>
        <v/>
      </c>
      <c r="C241" s="52" t="str">
        <f>IF('Biên Tập'!C45="","",'Biên Tập'!C45)</f>
        <v/>
      </c>
      <c r="D241" s="52" t="str">
        <f>IF('Biên Tập'!D45="","",'Biên Tập'!D45)</f>
        <v/>
      </c>
      <c r="E241" s="52" t="str">
        <f>IF('Biên Tập'!E45="","",'Biên Tập'!E45)</f>
        <v/>
      </c>
      <c r="F241" s="52" t="str">
        <f>IF('Biên Tập'!F45="","",'Biên Tập'!F45)</f>
        <v/>
      </c>
      <c r="G241" s="52" t="str">
        <f>IF('Biên Tập'!G45="","",'Biên Tập'!G45)</f>
        <v/>
      </c>
      <c r="H241" s="52" t="str">
        <f>IF('Biên Tập'!J45="","",'Biên Tập'!J45)</f>
        <v/>
      </c>
      <c r="I241" s="52" t="str">
        <f>IF('Biên Tập'!M45="","",'Biên Tập'!M45)</f>
        <v/>
      </c>
      <c r="J241" s="52" t="str">
        <f>IF('Biên Tập'!R45="","",'Biên Tập'!R45)</f>
        <v/>
      </c>
      <c r="K241" s="52" t="str">
        <f t="array" ref="K241">IF(COUNTA('Biên Tập'!T45:AE45)=0,"",INDEX('Biên Tập'!T45:AE45,1,SUMPRODUCT(MAX(('Biên Tập'!T45:AE45&lt;&gt;"")*(COLUMN('Biên Tập'!T45:AE45)-COLUMN('Biên Tập'!T45)+1)))))</f>
        <v/>
      </c>
      <c r="L241" s="52" t="str">
        <f>IF(AND(G241&lt;&gt;"",G241='Tổng hợp'!$C$4),MAX(L$1:L240)+1,"")</f>
        <v/>
      </c>
    </row>
    <row r="242" ht="15.75" customHeight="1">
      <c r="A242" s="52" t="str">
        <f>IF('Biên Tập'!C46="","","Biên Tập")</f>
        <v/>
      </c>
      <c r="B242" s="52" t="str">
        <f>IF('Biên Tập'!B46="","",'Biên Tập'!B46)</f>
        <v/>
      </c>
      <c r="C242" s="52" t="str">
        <f>IF('Biên Tập'!C46="","",'Biên Tập'!C46)</f>
        <v/>
      </c>
      <c r="D242" s="52" t="str">
        <f>IF('Biên Tập'!D46="","",'Biên Tập'!D46)</f>
        <v/>
      </c>
      <c r="E242" s="52" t="str">
        <f>IF('Biên Tập'!E46="","",'Biên Tập'!E46)</f>
        <v/>
      </c>
      <c r="F242" s="52" t="str">
        <f>IF('Biên Tập'!F46="","",'Biên Tập'!F46)</f>
        <v/>
      </c>
      <c r="G242" s="52" t="str">
        <f>IF('Biên Tập'!G46="","",'Biên Tập'!G46)</f>
        <v/>
      </c>
      <c r="H242" s="52" t="str">
        <f>IF('Biên Tập'!J46="","",'Biên Tập'!J46)</f>
        <v/>
      </c>
      <c r="I242" s="52" t="str">
        <f>IF('Biên Tập'!M46="","",'Biên Tập'!M46)</f>
        <v/>
      </c>
      <c r="J242" s="52" t="str">
        <f>IF('Biên Tập'!R46="","",'Biên Tập'!R46)</f>
        <v/>
      </c>
      <c r="K242" s="52" t="str">
        <f t="array" ref="K242">IF(COUNTA('Biên Tập'!T46:AE46)=0,"",INDEX('Biên Tập'!T46:AE46,1,SUMPRODUCT(MAX(('Biên Tập'!T46:AE46&lt;&gt;"")*(COLUMN('Biên Tập'!T46:AE46)-COLUMN('Biên Tập'!T46)+1)))))</f>
        <v/>
      </c>
      <c r="L242" s="52" t="str">
        <f>IF(AND(G242&lt;&gt;"",G242='Tổng hợp'!$C$4),MAX(L$1:L241)+1,"")</f>
        <v/>
      </c>
    </row>
    <row r="243" ht="15.75" customHeight="1">
      <c r="A243" s="52" t="str">
        <f>IF('Biên Tập'!C47="","","Biên Tập")</f>
        <v/>
      </c>
      <c r="B243" s="52" t="str">
        <f>IF('Biên Tập'!B47="","",'Biên Tập'!B47)</f>
        <v/>
      </c>
      <c r="C243" s="52" t="str">
        <f>IF('Biên Tập'!C47="","",'Biên Tập'!C47)</f>
        <v/>
      </c>
      <c r="D243" s="52" t="str">
        <f>IF('Biên Tập'!D47="","",'Biên Tập'!D47)</f>
        <v/>
      </c>
      <c r="E243" s="52" t="str">
        <f>IF('Biên Tập'!E47="","",'Biên Tập'!E47)</f>
        <v/>
      </c>
      <c r="F243" s="52" t="str">
        <f>IF('Biên Tập'!F47="","",'Biên Tập'!F47)</f>
        <v/>
      </c>
      <c r="G243" s="52" t="str">
        <f>IF('Biên Tập'!G47="","",'Biên Tập'!G47)</f>
        <v/>
      </c>
      <c r="H243" s="52" t="str">
        <f>IF('Biên Tập'!J47="","",'Biên Tập'!J47)</f>
        <v/>
      </c>
      <c r="I243" s="52" t="str">
        <f>IF('Biên Tập'!M47="","",'Biên Tập'!M47)</f>
        <v/>
      </c>
      <c r="J243" s="52" t="str">
        <f>IF('Biên Tập'!R47="","",'Biên Tập'!R47)</f>
        <v/>
      </c>
      <c r="K243" s="52" t="str">
        <f t="array" ref="K243">IF(COUNTA('Biên Tập'!T47:AE47)=0,"",INDEX('Biên Tập'!T47:AE47,1,SUMPRODUCT(MAX(('Biên Tập'!T47:AE47&lt;&gt;"")*(COLUMN('Biên Tập'!T47:AE47)-COLUMN('Biên Tập'!T47)+1)))))</f>
        <v/>
      </c>
      <c r="L243" s="52" t="str">
        <f>IF(AND(G243&lt;&gt;"",G243='Tổng hợp'!$C$4),MAX(L$1:L242)+1,"")</f>
        <v/>
      </c>
    </row>
    <row r="244" ht="15.75" customHeight="1">
      <c r="A244" s="52" t="str">
        <f>IF('Biên Tập'!C48="","","Biên Tập")</f>
        <v/>
      </c>
      <c r="B244" s="52" t="str">
        <f>IF('Biên Tập'!B48="","",'Biên Tập'!B48)</f>
        <v/>
      </c>
      <c r="C244" s="52" t="str">
        <f>IF('Biên Tập'!C48="","",'Biên Tập'!C48)</f>
        <v/>
      </c>
      <c r="D244" s="52" t="str">
        <f>IF('Biên Tập'!D48="","",'Biên Tập'!D48)</f>
        <v/>
      </c>
      <c r="E244" s="52" t="str">
        <f>IF('Biên Tập'!E48="","",'Biên Tập'!E48)</f>
        <v/>
      </c>
      <c r="F244" s="52" t="str">
        <f>IF('Biên Tập'!F48="","",'Biên Tập'!F48)</f>
        <v/>
      </c>
      <c r="G244" s="52" t="str">
        <f>IF('Biên Tập'!G48="","",'Biên Tập'!G48)</f>
        <v/>
      </c>
      <c r="H244" s="52" t="str">
        <f>IF('Biên Tập'!J48="","",'Biên Tập'!J48)</f>
        <v/>
      </c>
      <c r="I244" s="52" t="str">
        <f>IF('Biên Tập'!M48="","",'Biên Tập'!M48)</f>
        <v/>
      </c>
      <c r="J244" s="52" t="str">
        <f>IF('Biên Tập'!R48="","",'Biên Tập'!R48)</f>
        <v/>
      </c>
      <c r="K244" s="52" t="str">
        <f t="array" ref="K244">IF(COUNTA('Biên Tập'!T48:AE48)=0,"",INDEX('Biên Tập'!T48:AE48,1,SUMPRODUCT(MAX(('Biên Tập'!T48:AE48&lt;&gt;"")*(COLUMN('Biên Tập'!T48:AE48)-COLUMN('Biên Tập'!T48)+1)))))</f>
        <v/>
      </c>
      <c r="L244" s="52" t="str">
        <f>IF(AND(G244&lt;&gt;"",G244='Tổng hợp'!$C$4),MAX(L$1:L243)+1,"")</f>
        <v/>
      </c>
    </row>
    <row r="245" ht="15.75" customHeight="1">
      <c r="A245" s="52" t="str">
        <f>IF('Biên Tập'!C49="","","Biên Tập")</f>
        <v/>
      </c>
      <c r="B245" s="52" t="str">
        <f>IF('Biên Tập'!B49="","",'Biên Tập'!B49)</f>
        <v/>
      </c>
      <c r="C245" s="52" t="str">
        <f>IF('Biên Tập'!C49="","",'Biên Tập'!C49)</f>
        <v/>
      </c>
      <c r="D245" s="52" t="str">
        <f>IF('Biên Tập'!D49="","",'Biên Tập'!D49)</f>
        <v/>
      </c>
      <c r="E245" s="52" t="str">
        <f>IF('Biên Tập'!E49="","",'Biên Tập'!E49)</f>
        <v/>
      </c>
      <c r="F245" s="52" t="str">
        <f>IF('Biên Tập'!F49="","",'Biên Tập'!F49)</f>
        <v/>
      </c>
      <c r="G245" s="52" t="str">
        <f>IF('Biên Tập'!G49="","",'Biên Tập'!G49)</f>
        <v/>
      </c>
      <c r="H245" s="52" t="str">
        <f>IF('Biên Tập'!J49="","",'Biên Tập'!J49)</f>
        <v/>
      </c>
      <c r="I245" s="52" t="str">
        <f>IF('Biên Tập'!M49="","",'Biên Tập'!M49)</f>
        <v/>
      </c>
      <c r="J245" s="52" t="str">
        <f>IF('Biên Tập'!R49="","",'Biên Tập'!R49)</f>
        <v/>
      </c>
      <c r="K245" s="52" t="str">
        <f t="array" ref="K245">IF(COUNTA('Biên Tập'!T49:AE49)=0,"",INDEX('Biên Tập'!T49:AE49,1,SUMPRODUCT(MAX(('Biên Tập'!T49:AE49&lt;&gt;"")*(COLUMN('Biên Tập'!T49:AE49)-COLUMN('Biên Tập'!T49)+1)))))</f>
        <v/>
      </c>
      <c r="L245" s="52" t="str">
        <f>IF(AND(G245&lt;&gt;"",G245='Tổng hợp'!$C$4),MAX(L$1:L244)+1,"")</f>
        <v/>
      </c>
    </row>
    <row r="246" ht="15.75" customHeight="1">
      <c r="A246" s="52" t="str">
        <f>IF('Biên Tập'!C50="","","Biên Tập")</f>
        <v/>
      </c>
      <c r="B246" s="52" t="str">
        <f>IF('Biên Tập'!B50="","",'Biên Tập'!B50)</f>
        <v/>
      </c>
      <c r="C246" s="52" t="str">
        <f>IF('Biên Tập'!C50="","",'Biên Tập'!C50)</f>
        <v/>
      </c>
      <c r="D246" s="52" t="str">
        <f>IF('Biên Tập'!D50="","",'Biên Tập'!D50)</f>
        <v/>
      </c>
      <c r="E246" s="52" t="str">
        <f>IF('Biên Tập'!E50="","",'Biên Tập'!E50)</f>
        <v/>
      </c>
      <c r="F246" s="52" t="str">
        <f>IF('Biên Tập'!F50="","",'Biên Tập'!F50)</f>
        <v/>
      </c>
      <c r="G246" s="52" t="str">
        <f>IF('Biên Tập'!G50="","",'Biên Tập'!G50)</f>
        <v/>
      </c>
      <c r="H246" s="52" t="str">
        <f>IF('Biên Tập'!J50="","",'Biên Tập'!J50)</f>
        <v/>
      </c>
      <c r="I246" s="52" t="str">
        <f>IF('Biên Tập'!M50="","",'Biên Tập'!M50)</f>
        <v/>
      </c>
      <c r="J246" s="52" t="str">
        <f>IF('Biên Tập'!R50="","",'Biên Tập'!R50)</f>
        <v/>
      </c>
      <c r="K246" s="52" t="str">
        <f t="array" ref="K246">IF(COUNTA('Biên Tập'!T50:AE50)=0,"",INDEX('Biên Tập'!T50:AE50,1,SUMPRODUCT(MAX(('Biên Tập'!T50:AE50&lt;&gt;"")*(COLUMN('Biên Tập'!T50:AE50)-COLUMN('Biên Tập'!T50)+1)))))</f>
        <v/>
      </c>
      <c r="L246" s="52" t="str">
        <f>IF(AND(G246&lt;&gt;"",G246='Tổng hợp'!$C$4),MAX(L$1:L245)+1,"")</f>
        <v/>
      </c>
    </row>
    <row r="247" ht="15.75" customHeight="1">
      <c r="A247" s="52" t="str">
        <f>IF('Biên Tập'!C51="","","Biên Tập")</f>
        <v/>
      </c>
      <c r="B247" s="52" t="str">
        <f>IF('Biên Tập'!B51="","",'Biên Tập'!B51)</f>
        <v/>
      </c>
      <c r="C247" s="52" t="str">
        <f>IF('Biên Tập'!C51="","",'Biên Tập'!C51)</f>
        <v/>
      </c>
      <c r="D247" s="52" t="str">
        <f>IF('Biên Tập'!D51="","",'Biên Tập'!D51)</f>
        <v/>
      </c>
      <c r="E247" s="52" t="str">
        <f>IF('Biên Tập'!E51="","",'Biên Tập'!E51)</f>
        <v/>
      </c>
      <c r="F247" s="52" t="str">
        <f>IF('Biên Tập'!F51="","",'Biên Tập'!F51)</f>
        <v/>
      </c>
      <c r="G247" s="52" t="str">
        <f>IF('Biên Tập'!G51="","",'Biên Tập'!G51)</f>
        <v/>
      </c>
      <c r="H247" s="52" t="str">
        <f>IF('Biên Tập'!J51="","",'Biên Tập'!J51)</f>
        <v/>
      </c>
      <c r="I247" s="52" t="str">
        <f>IF('Biên Tập'!M51="","",'Biên Tập'!M51)</f>
        <v/>
      </c>
      <c r="J247" s="52" t="str">
        <f>IF('Biên Tập'!R51="","",'Biên Tập'!R51)</f>
        <v/>
      </c>
      <c r="K247" s="52" t="str">
        <f t="array" ref="K247">IF(COUNTA('Biên Tập'!T51:AE51)=0,"",INDEX('Biên Tập'!T51:AE51,1,SUMPRODUCT(MAX(('Biên Tập'!T51:AE51&lt;&gt;"")*(COLUMN('Biên Tập'!T51:AE51)-COLUMN('Biên Tập'!T51)+1)))))</f>
        <v/>
      </c>
      <c r="L247" s="52" t="str">
        <f>IF(AND(G247&lt;&gt;"",G247='Tổng hợp'!$C$4),MAX(L$1:L246)+1,"")</f>
        <v/>
      </c>
    </row>
    <row r="248" ht="15.75" customHeight="1">
      <c r="A248" s="52" t="str">
        <f>IF('Biên Tập'!C52="","","Biên Tập")</f>
        <v/>
      </c>
      <c r="B248" s="52" t="str">
        <f>IF('Biên Tập'!B52="","",'Biên Tập'!B52)</f>
        <v/>
      </c>
      <c r="C248" s="52" t="str">
        <f>IF('Biên Tập'!C52="","",'Biên Tập'!C52)</f>
        <v/>
      </c>
      <c r="D248" s="52" t="str">
        <f>IF('Biên Tập'!D52="","",'Biên Tập'!D52)</f>
        <v/>
      </c>
      <c r="E248" s="52" t="str">
        <f>IF('Biên Tập'!E52="","",'Biên Tập'!E52)</f>
        <v/>
      </c>
      <c r="F248" s="52" t="str">
        <f>IF('Biên Tập'!F52="","",'Biên Tập'!F52)</f>
        <v/>
      </c>
      <c r="G248" s="52" t="str">
        <f>IF('Biên Tập'!G52="","",'Biên Tập'!G52)</f>
        <v/>
      </c>
      <c r="H248" s="52" t="str">
        <f>IF('Biên Tập'!J52="","",'Biên Tập'!J52)</f>
        <v/>
      </c>
      <c r="I248" s="52" t="str">
        <f>IF('Biên Tập'!M52="","",'Biên Tập'!M52)</f>
        <v/>
      </c>
      <c r="J248" s="52" t="str">
        <f>IF('Biên Tập'!R52="","",'Biên Tập'!R52)</f>
        <v/>
      </c>
      <c r="K248" s="52" t="str">
        <f t="array" ref="K248">IF(COUNTA('Biên Tập'!T52:AE52)=0,"",INDEX('Biên Tập'!T52:AE52,1,SUMPRODUCT(MAX(('Biên Tập'!T52:AE52&lt;&gt;"")*(COLUMN('Biên Tập'!T52:AE52)-COLUMN('Biên Tập'!T52)+1)))))</f>
        <v/>
      </c>
      <c r="L248" s="52" t="str">
        <f>IF(AND(G248&lt;&gt;"",G248='Tổng hợp'!$C$4),MAX(L$1:L247)+1,"")</f>
        <v/>
      </c>
    </row>
    <row r="249" ht="15.75" customHeight="1">
      <c r="A249" s="52" t="str">
        <f>IF('Biên Tập'!C53="","","Biên Tập")</f>
        <v/>
      </c>
      <c r="B249" s="52" t="str">
        <f>IF('Biên Tập'!B53="","",'Biên Tập'!B53)</f>
        <v/>
      </c>
      <c r="C249" s="52" t="str">
        <f>IF('Biên Tập'!C53="","",'Biên Tập'!C53)</f>
        <v/>
      </c>
      <c r="D249" s="52" t="str">
        <f>IF('Biên Tập'!D53="","",'Biên Tập'!D53)</f>
        <v/>
      </c>
      <c r="E249" s="52" t="str">
        <f>IF('Biên Tập'!E53="","",'Biên Tập'!E53)</f>
        <v/>
      </c>
      <c r="F249" s="52" t="str">
        <f>IF('Biên Tập'!F53="","",'Biên Tập'!F53)</f>
        <v/>
      </c>
      <c r="G249" s="52" t="str">
        <f>IF('Biên Tập'!G53="","",'Biên Tập'!G53)</f>
        <v/>
      </c>
      <c r="H249" s="52" t="str">
        <f>IF('Biên Tập'!J53="","",'Biên Tập'!J53)</f>
        <v/>
      </c>
      <c r="I249" s="52" t="str">
        <f>IF('Biên Tập'!M53="","",'Biên Tập'!M53)</f>
        <v/>
      </c>
      <c r="J249" s="52" t="str">
        <f>IF('Biên Tập'!R53="","",'Biên Tập'!R53)</f>
        <v/>
      </c>
      <c r="K249" s="52" t="str">
        <f t="array" ref="K249">IF(COUNTA('Biên Tập'!T53:AE53)=0,"",INDEX('Biên Tập'!T53:AE53,1,SUMPRODUCT(MAX(('Biên Tập'!T53:AE53&lt;&gt;"")*(COLUMN('Biên Tập'!T53:AE53)-COLUMN('Biên Tập'!T53)+1)))))</f>
        <v/>
      </c>
      <c r="L249" s="52" t="str">
        <f>IF(AND(G249&lt;&gt;"",G249='Tổng hợp'!$C$4),MAX(L$1:L248)+1,"")</f>
        <v/>
      </c>
    </row>
    <row r="250" ht="15.75" customHeight="1">
      <c r="A250" s="52" t="str">
        <f>IF('Biên Tập'!C54="","","Biên Tập")</f>
        <v/>
      </c>
      <c r="B250" s="52" t="str">
        <f>IF('Biên Tập'!B54="","",'Biên Tập'!B54)</f>
        <v/>
      </c>
      <c r="C250" s="52" t="str">
        <f>IF('Biên Tập'!C54="","",'Biên Tập'!C54)</f>
        <v/>
      </c>
      <c r="D250" s="52" t="str">
        <f>IF('Biên Tập'!D54="","",'Biên Tập'!D54)</f>
        <v/>
      </c>
      <c r="E250" s="52" t="str">
        <f>IF('Biên Tập'!E54="","",'Biên Tập'!E54)</f>
        <v/>
      </c>
      <c r="F250" s="52" t="str">
        <f>IF('Biên Tập'!F54="","",'Biên Tập'!F54)</f>
        <v/>
      </c>
      <c r="G250" s="52" t="str">
        <f>IF('Biên Tập'!G54="","",'Biên Tập'!G54)</f>
        <v/>
      </c>
      <c r="H250" s="52" t="str">
        <f>IF('Biên Tập'!J54="","",'Biên Tập'!J54)</f>
        <v/>
      </c>
      <c r="I250" s="52" t="str">
        <f>IF('Biên Tập'!M54="","",'Biên Tập'!M54)</f>
        <v/>
      </c>
      <c r="J250" s="52" t="str">
        <f>IF('Biên Tập'!R54="","",'Biên Tập'!R54)</f>
        <v/>
      </c>
      <c r="K250" s="52" t="str">
        <f t="array" ref="K250">IF(COUNTA('Biên Tập'!T54:AE54)=0,"",INDEX('Biên Tập'!T54:AE54,1,SUMPRODUCT(MAX(('Biên Tập'!T54:AE54&lt;&gt;"")*(COLUMN('Biên Tập'!T54:AE54)-COLUMN('Biên Tập'!T54)+1)))))</f>
        <v/>
      </c>
      <c r="L250" s="52" t="str">
        <f>IF(AND(G250&lt;&gt;"",G250='Tổng hợp'!$C$4),MAX(L$1:L249)+1,"")</f>
        <v/>
      </c>
    </row>
    <row r="251" ht="15.75" customHeight="1">
      <c r="A251" s="52" t="str">
        <f>IF('Biên Tập'!C55="","","Biên Tập")</f>
        <v/>
      </c>
      <c r="B251" s="52" t="str">
        <f>IF('Biên Tập'!B55="","",'Biên Tập'!B55)</f>
        <v/>
      </c>
      <c r="C251" s="52" t="str">
        <f>IF('Biên Tập'!C55="","",'Biên Tập'!C55)</f>
        <v/>
      </c>
      <c r="D251" s="52" t="str">
        <f>IF('Biên Tập'!D55="","",'Biên Tập'!D55)</f>
        <v/>
      </c>
      <c r="E251" s="52" t="str">
        <f>IF('Biên Tập'!E55="","",'Biên Tập'!E55)</f>
        <v/>
      </c>
      <c r="F251" s="52" t="str">
        <f>IF('Biên Tập'!F55="","",'Biên Tập'!F55)</f>
        <v/>
      </c>
      <c r="G251" s="52" t="str">
        <f>IF('Biên Tập'!G55="","",'Biên Tập'!G55)</f>
        <v/>
      </c>
      <c r="H251" s="52" t="str">
        <f>IF('Biên Tập'!J55="","",'Biên Tập'!J55)</f>
        <v/>
      </c>
      <c r="I251" s="52" t="str">
        <f>IF('Biên Tập'!M55="","",'Biên Tập'!M55)</f>
        <v/>
      </c>
      <c r="J251" s="52" t="str">
        <f>IF('Biên Tập'!R55="","",'Biên Tập'!R55)</f>
        <v/>
      </c>
      <c r="K251" s="52" t="str">
        <f t="array" ref="K251">IF(COUNTA('Biên Tập'!T55:AE55)=0,"",INDEX('Biên Tập'!T55:AE55,1,SUMPRODUCT(MAX(('Biên Tập'!T55:AE55&lt;&gt;"")*(COLUMN('Biên Tập'!T55:AE55)-COLUMN('Biên Tập'!T55)+1)))))</f>
        <v/>
      </c>
      <c r="L251" s="52" t="str">
        <f>IF(AND(G251&lt;&gt;"",G251='Tổng hợp'!$C$4),MAX(L$1:L250)+1,"")</f>
        <v/>
      </c>
    </row>
    <row r="252" ht="15.75" customHeight="1">
      <c r="A252" s="52" t="str">
        <f>IF('Biên Tập'!C56="","","Biên Tập")</f>
        <v/>
      </c>
      <c r="B252" s="52" t="str">
        <f>IF('Biên Tập'!B56="","",'Biên Tập'!B56)</f>
        <v/>
      </c>
      <c r="C252" s="52" t="str">
        <f>IF('Biên Tập'!C56="","",'Biên Tập'!C56)</f>
        <v/>
      </c>
      <c r="D252" s="52" t="str">
        <f>IF('Biên Tập'!D56="","",'Biên Tập'!D56)</f>
        <v/>
      </c>
      <c r="E252" s="52" t="str">
        <f>IF('Biên Tập'!E56="","",'Biên Tập'!E56)</f>
        <v/>
      </c>
      <c r="F252" s="52" t="str">
        <f>IF('Biên Tập'!F56="","",'Biên Tập'!F56)</f>
        <v/>
      </c>
      <c r="G252" s="52" t="str">
        <f>IF('Biên Tập'!G56="","",'Biên Tập'!G56)</f>
        <v/>
      </c>
      <c r="H252" s="52" t="str">
        <f>IF('Biên Tập'!J56="","",'Biên Tập'!J56)</f>
        <v/>
      </c>
      <c r="I252" s="52" t="str">
        <f>IF('Biên Tập'!M56="","",'Biên Tập'!M56)</f>
        <v/>
      </c>
      <c r="J252" s="52" t="str">
        <f>IF('Biên Tập'!R56="","",'Biên Tập'!R56)</f>
        <v/>
      </c>
      <c r="K252" s="52" t="str">
        <f t="array" ref="K252">IF(COUNTA('Biên Tập'!T56:AE56)=0,"",INDEX('Biên Tập'!T56:AE56,1,SUMPRODUCT(MAX(('Biên Tập'!T56:AE56&lt;&gt;"")*(COLUMN('Biên Tập'!T56:AE56)-COLUMN('Biên Tập'!T56)+1)))))</f>
        <v/>
      </c>
      <c r="L252" s="52" t="str">
        <f>IF(AND(G252&lt;&gt;"",G252='Tổng hợp'!$C$4),MAX(L$1:L251)+1,"")</f>
        <v/>
      </c>
    </row>
    <row r="253" ht="15.75" customHeight="1">
      <c r="A253" s="52" t="str">
        <f>IF('Biên Tập'!C57="","","Biên Tập")</f>
        <v/>
      </c>
      <c r="B253" s="52" t="str">
        <f>IF('Biên Tập'!B57="","",'Biên Tập'!B57)</f>
        <v/>
      </c>
      <c r="C253" s="52" t="str">
        <f>IF('Biên Tập'!C57="","",'Biên Tập'!C57)</f>
        <v/>
      </c>
      <c r="D253" s="52" t="str">
        <f>IF('Biên Tập'!D57="","",'Biên Tập'!D57)</f>
        <v/>
      </c>
      <c r="E253" s="52" t="str">
        <f>IF('Biên Tập'!E57="","",'Biên Tập'!E57)</f>
        <v/>
      </c>
      <c r="F253" s="52" t="str">
        <f>IF('Biên Tập'!F57="","",'Biên Tập'!F57)</f>
        <v/>
      </c>
      <c r="G253" s="52" t="str">
        <f>IF('Biên Tập'!G57="","",'Biên Tập'!G57)</f>
        <v/>
      </c>
      <c r="H253" s="52" t="str">
        <f>IF('Biên Tập'!J57="","",'Biên Tập'!J57)</f>
        <v/>
      </c>
      <c r="I253" s="52" t="str">
        <f>IF('Biên Tập'!M57="","",'Biên Tập'!M57)</f>
        <v/>
      </c>
      <c r="J253" s="52" t="str">
        <f>IF('Biên Tập'!R57="","",'Biên Tập'!R57)</f>
        <v/>
      </c>
      <c r="K253" s="52" t="str">
        <f t="array" ref="K253">IF(COUNTA('Biên Tập'!T57:AE57)=0,"",INDEX('Biên Tập'!T57:AE57,1,SUMPRODUCT(MAX(('Biên Tập'!T57:AE57&lt;&gt;"")*(COLUMN('Biên Tập'!T57:AE57)-COLUMN('Biên Tập'!T57)+1)))))</f>
        <v/>
      </c>
      <c r="L253" s="52" t="str">
        <f>IF(AND(G253&lt;&gt;"",G253='Tổng hợp'!$C$4),MAX(L$1:L252)+1,"")</f>
        <v/>
      </c>
    </row>
    <row r="254" ht="15.75" customHeight="1">
      <c r="A254" s="52" t="str">
        <f>IF('Biên Tập'!C58="","","Biên Tập")</f>
        <v/>
      </c>
      <c r="B254" s="52" t="str">
        <f>IF('Biên Tập'!B58="","",'Biên Tập'!B58)</f>
        <v/>
      </c>
      <c r="C254" s="52" t="str">
        <f>IF('Biên Tập'!C58="","",'Biên Tập'!C58)</f>
        <v/>
      </c>
      <c r="D254" s="52" t="str">
        <f>IF('Biên Tập'!D58="","",'Biên Tập'!D58)</f>
        <v/>
      </c>
      <c r="E254" s="52" t="str">
        <f>IF('Biên Tập'!E58="","",'Biên Tập'!E58)</f>
        <v/>
      </c>
      <c r="F254" s="52" t="str">
        <f>IF('Biên Tập'!F58="","",'Biên Tập'!F58)</f>
        <v/>
      </c>
      <c r="G254" s="52" t="str">
        <f>IF('Biên Tập'!G58="","",'Biên Tập'!G58)</f>
        <v/>
      </c>
      <c r="H254" s="52" t="str">
        <f>IF('Biên Tập'!J58="","",'Biên Tập'!J58)</f>
        <v/>
      </c>
      <c r="I254" s="52" t="str">
        <f>IF('Biên Tập'!M58="","",'Biên Tập'!M58)</f>
        <v/>
      </c>
      <c r="J254" s="52" t="str">
        <f>IF('Biên Tập'!R58="","",'Biên Tập'!R58)</f>
        <v/>
      </c>
      <c r="K254" s="52" t="str">
        <f t="array" ref="K254">IF(COUNTA('Biên Tập'!T58:AE58)=0,"",INDEX('Biên Tập'!T58:AE58,1,SUMPRODUCT(MAX(('Biên Tập'!T58:AE58&lt;&gt;"")*(COLUMN('Biên Tập'!T58:AE58)-COLUMN('Biên Tập'!T58)+1)))))</f>
        <v/>
      </c>
      <c r="L254" s="52" t="str">
        <f>IF(AND(G254&lt;&gt;"",G254='Tổng hợp'!$C$4),MAX(L$1:L253)+1,"")</f>
        <v/>
      </c>
    </row>
    <row r="255" ht="15.75" customHeight="1">
      <c r="A255" s="52" t="str">
        <f>IF('Biên Tập'!C59="","","Biên Tập")</f>
        <v/>
      </c>
      <c r="B255" s="52" t="str">
        <f>IF('Biên Tập'!B59="","",'Biên Tập'!B59)</f>
        <v/>
      </c>
      <c r="C255" s="52" t="str">
        <f>IF('Biên Tập'!C59="","",'Biên Tập'!C59)</f>
        <v/>
      </c>
      <c r="D255" s="52" t="str">
        <f>IF('Biên Tập'!D59="","",'Biên Tập'!D59)</f>
        <v/>
      </c>
      <c r="E255" s="52" t="str">
        <f>IF('Biên Tập'!E59="","",'Biên Tập'!E59)</f>
        <v/>
      </c>
      <c r="F255" s="52" t="str">
        <f>IF('Biên Tập'!F59="","",'Biên Tập'!F59)</f>
        <v/>
      </c>
      <c r="G255" s="52" t="str">
        <f>IF('Biên Tập'!G59="","",'Biên Tập'!G59)</f>
        <v/>
      </c>
      <c r="H255" s="52" t="str">
        <f>IF('Biên Tập'!J59="","",'Biên Tập'!J59)</f>
        <v/>
      </c>
      <c r="I255" s="52" t="str">
        <f>IF('Biên Tập'!M59="","",'Biên Tập'!M59)</f>
        <v/>
      </c>
      <c r="J255" s="52" t="str">
        <f>IF('Biên Tập'!R59="","",'Biên Tập'!R59)</f>
        <v/>
      </c>
      <c r="K255" s="52" t="str">
        <f t="array" ref="K255">IF(COUNTA('Biên Tập'!T59:AE59)=0,"",INDEX('Biên Tập'!T59:AE59,1,SUMPRODUCT(MAX(('Biên Tập'!T59:AE59&lt;&gt;"")*(COLUMN('Biên Tập'!T59:AE59)-COLUMN('Biên Tập'!T59)+1)))))</f>
        <v/>
      </c>
      <c r="L255" s="52" t="str">
        <f>IF(AND(G255&lt;&gt;"",G255='Tổng hợp'!$C$4),MAX(L$1:L254)+1,"")</f>
        <v/>
      </c>
    </row>
    <row r="256" ht="15.75" customHeight="1">
      <c r="A256" s="52" t="str">
        <f>IF('Biên Tập'!C60="","","Biên Tập")</f>
        <v/>
      </c>
      <c r="B256" s="52" t="str">
        <f>IF('Biên Tập'!B60="","",'Biên Tập'!B60)</f>
        <v/>
      </c>
      <c r="C256" s="52" t="str">
        <f>IF('Biên Tập'!C60="","",'Biên Tập'!C60)</f>
        <v/>
      </c>
      <c r="D256" s="52" t="str">
        <f>IF('Biên Tập'!D60="","",'Biên Tập'!D60)</f>
        <v/>
      </c>
      <c r="E256" s="52" t="str">
        <f>IF('Biên Tập'!E60="","",'Biên Tập'!E60)</f>
        <v/>
      </c>
      <c r="F256" s="52" t="str">
        <f>IF('Biên Tập'!F60="","",'Biên Tập'!F60)</f>
        <v/>
      </c>
      <c r="G256" s="52" t="str">
        <f>IF('Biên Tập'!G60="","",'Biên Tập'!G60)</f>
        <v/>
      </c>
      <c r="H256" s="52" t="str">
        <f>IF('Biên Tập'!J60="","",'Biên Tập'!J60)</f>
        <v/>
      </c>
      <c r="I256" s="52" t="str">
        <f>IF('Biên Tập'!M60="","",'Biên Tập'!M60)</f>
        <v/>
      </c>
      <c r="J256" s="52" t="str">
        <f>IF('Biên Tập'!R60="","",'Biên Tập'!R60)</f>
        <v/>
      </c>
      <c r="K256" s="52" t="str">
        <f t="array" ref="K256">IF(COUNTA('Biên Tập'!T60:AE60)=0,"",INDEX('Biên Tập'!T60:AE60,1,SUMPRODUCT(MAX(('Biên Tập'!T60:AE60&lt;&gt;"")*(COLUMN('Biên Tập'!T60:AE60)-COLUMN('Biên Tập'!T60)+1)))))</f>
        <v/>
      </c>
      <c r="L256" s="52" t="str">
        <f>IF(AND(G256&lt;&gt;"",G256='Tổng hợp'!$C$4),MAX(L$1:L255)+1,"")</f>
        <v/>
      </c>
    </row>
    <row r="257" ht="15.75" customHeight="1">
      <c r="A257" s="52" t="str">
        <f>IF('Biên Tập'!C61="","","Biên Tập")</f>
        <v/>
      </c>
      <c r="B257" s="52" t="str">
        <f>IF('Biên Tập'!B61="","",'Biên Tập'!B61)</f>
        <v/>
      </c>
      <c r="C257" s="52" t="str">
        <f>IF('Biên Tập'!C61="","",'Biên Tập'!C61)</f>
        <v/>
      </c>
      <c r="D257" s="52" t="str">
        <f>IF('Biên Tập'!D61="","",'Biên Tập'!D61)</f>
        <v/>
      </c>
      <c r="E257" s="52" t="str">
        <f>IF('Biên Tập'!E61="","",'Biên Tập'!E61)</f>
        <v/>
      </c>
      <c r="F257" s="52" t="str">
        <f>IF('Biên Tập'!F61="","",'Biên Tập'!F61)</f>
        <v/>
      </c>
      <c r="G257" s="52" t="str">
        <f>IF('Biên Tập'!G61="","",'Biên Tập'!G61)</f>
        <v/>
      </c>
      <c r="H257" s="52" t="str">
        <f>IF('Biên Tập'!J61="","",'Biên Tập'!J61)</f>
        <v/>
      </c>
      <c r="I257" s="52" t="str">
        <f>IF('Biên Tập'!M61="","",'Biên Tập'!M61)</f>
        <v/>
      </c>
      <c r="J257" s="52" t="str">
        <f>IF('Biên Tập'!R61="","",'Biên Tập'!R61)</f>
        <v/>
      </c>
      <c r="K257" s="52" t="str">
        <f t="array" ref="K257">IF(COUNTA('Biên Tập'!T61:AE61)=0,"",INDEX('Biên Tập'!T61:AE61,1,SUMPRODUCT(MAX(('Biên Tập'!T61:AE61&lt;&gt;"")*(COLUMN('Biên Tập'!T61:AE61)-COLUMN('Biên Tập'!T61)+1)))))</f>
        <v/>
      </c>
      <c r="L257" s="52" t="str">
        <f>IF(AND(G257&lt;&gt;"",G257='Tổng hợp'!$C$4),MAX(L$1:L256)+1,"")</f>
        <v/>
      </c>
    </row>
    <row r="258" ht="15.75" customHeight="1">
      <c r="A258" s="52" t="str">
        <f>IF('Biên Tập'!C62="","","Biên Tập")</f>
        <v/>
      </c>
      <c r="B258" s="52" t="str">
        <f>IF('Biên Tập'!B62="","",'Biên Tập'!B62)</f>
        <v/>
      </c>
      <c r="C258" s="52" t="str">
        <f>IF('Biên Tập'!C62="","",'Biên Tập'!C62)</f>
        <v/>
      </c>
      <c r="D258" s="52" t="str">
        <f>IF('Biên Tập'!D62="","",'Biên Tập'!D62)</f>
        <v/>
      </c>
      <c r="E258" s="52" t="str">
        <f>IF('Biên Tập'!E62="","",'Biên Tập'!E62)</f>
        <v/>
      </c>
      <c r="F258" s="52" t="str">
        <f>IF('Biên Tập'!F62="","",'Biên Tập'!F62)</f>
        <v/>
      </c>
      <c r="G258" s="52" t="str">
        <f>IF('Biên Tập'!G62="","",'Biên Tập'!G62)</f>
        <v/>
      </c>
      <c r="H258" s="52" t="str">
        <f>IF('Biên Tập'!J62="","",'Biên Tập'!J62)</f>
        <v/>
      </c>
      <c r="I258" s="52" t="str">
        <f>IF('Biên Tập'!M62="","",'Biên Tập'!M62)</f>
        <v/>
      </c>
      <c r="J258" s="52" t="str">
        <f>IF('Biên Tập'!R62="","",'Biên Tập'!R62)</f>
        <v/>
      </c>
      <c r="K258" s="52" t="str">
        <f t="array" ref="K258">IF(COUNTA('Biên Tập'!T62:AE62)=0,"",INDEX('Biên Tập'!T62:AE62,1,SUMPRODUCT(MAX(('Biên Tập'!T62:AE62&lt;&gt;"")*(COLUMN('Biên Tập'!T62:AE62)-COLUMN('Biên Tập'!T62)+1)))))</f>
        <v/>
      </c>
      <c r="L258" s="52" t="str">
        <f>IF(AND(G258&lt;&gt;"",G258='Tổng hợp'!$C$4),MAX(L$1:L257)+1,"")</f>
        <v/>
      </c>
    </row>
    <row r="259" ht="15.75" customHeight="1">
      <c r="A259" s="52" t="str">
        <f>IF('Biên Tập'!C63="","","Biên Tập")</f>
        <v/>
      </c>
      <c r="B259" s="52" t="str">
        <f>IF('Biên Tập'!B63="","",'Biên Tập'!B63)</f>
        <v/>
      </c>
      <c r="C259" s="52" t="str">
        <f>IF('Biên Tập'!C63="","",'Biên Tập'!C63)</f>
        <v/>
      </c>
      <c r="D259" s="52" t="str">
        <f>IF('Biên Tập'!D63="","",'Biên Tập'!D63)</f>
        <v/>
      </c>
      <c r="E259" s="52" t="str">
        <f>IF('Biên Tập'!E63="","",'Biên Tập'!E63)</f>
        <v/>
      </c>
      <c r="F259" s="52" t="str">
        <f>IF('Biên Tập'!F63="","",'Biên Tập'!F63)</f>
        <v/>
      </c>
      <c r="G259" s="52" t="str">
        <f>IF('Biên Tập'!G63="","",'Biên Tập'!G63)</f>
        <v/>
      </c>
      <c r="H259" s="52" t="str">
        <f>IF('Biên Tập'!J63="","",'Biên Tập'!J63)</f>
        <v/>
      </c>
      <c r="I259" s="52" t="str">
        <f>IF('Biên Tập'!M63="","",'Biên Tập'!M63)</f>
        <v/>
      </c>
      <c r="J259" s="52" t="str">
        <f>IF('Biên Tập'!R63="","",'Biên Tập'!R63)</f>
        <v/>
      </c>
      <c r="K259" s="52" t="str">
        <f t="array" ref="K259">IF(COUNTA('Biên Tập'!T63:AE63)=0,"",INDEX('Biên Tập'!T63:AE63,1,SUMPRODUCT(MAX(('Biên Tập'!T63:AE63&lt;&gt;"")*(COLUMN('Biên Tập'!T63:AE63)-COLUMN('Biên Tập'!T63)+1)))))</f>
        <v/>
      </c>
      <c r="L259" s="52" t="str">
        <f>IF(AND(G259&lt;&gt;"",G259='Tổng hợp'!$C$4),MAX(L$1:L258)+1,"")</f>
        <v/>
      </c>
    </row>
    <row r="260" ht="15.75" customHeight="1">
      <c r="A260" s="52" t="str">
        <f>IF('Biên Tập'!C64="","","Biên Tập")</f>
        <v/>
      </c>
      <c r="B260" s="52" t="str">
        <f>IF('Biên Tập'!B64="","",'Biên Tập'!B64)</f>
        <v/>
      </c>
      <c r="C260" s="52" t="str">
        <f>IF('Biên Tập'!C64="","",'Biên Tập'!C64)</f>
        <v/>
      </c>
      <c r="D260" s="52" t="str">
        <f>IF('Biên Tập'!D64="","",'Biên Tập'!D64)</f>
        <v/>
      </c>
      <c r="E260" s="52" t="str">
        <f>IF('Biên Tập'!E64="","",'Biên Tập'!E64)</f>
        <v/>
      </c>
      <c r="F260" s="52" t="str">
        <f>IF('Biên Tập'!F64="","",'Biên Tập'!F64)</f>
        <v/>
      </c>
      <c r="G260" s="52" t="str">
        <f>IF('Biên Tập'!G64="","",'Biên Tập'!G64)</f>
        <v/>
      </c>
      <c r="H260" s="52" t="str">
        <f>IF('Biên Tập'!J64="","",'Biên Tập'!J64)</f>
        <v/>
      </c>
      <c r="I260" s="52" t="str">
        <f>IF('Biên Tập'!M64="","",'Biên Tập'!M64)</f>
        <v/>
      </c>
      <c r="J260" s="52" t="str">
        <f>IF('Biên Tập'!R64="","",'Biên Tập'!R64)</f>
        <v/>
      </c>
      <c r="K260" s="52" t="str">
        <f t="array" ref="K260">IF(COUNTA('Biên Tập'!T64:AE64)=0,"",INDEX('Biên Tập'!T64:AE64,1,SUMPRODUCT(MAX(('Biên Tập'!T64:AE64&lt;&gt;"")*(COLUMN('Biên Tập'!T64:AE64)-COLUMN('Biên Tập'!T64)+1)))))</f>
        <v/>
      </c>
      <c r="L260" s="52" t="str">
        <f>IF(AND(G260&lt;&gt;"",G260='Tổng hợp'!$C$4),MAX(L$1:L259)+1,"")</f>
        <v/>
      </c>
    </row>
    <row r="261" ht="15.75" customHeight="1">
      <c r="A261" s="52" t="str">
        <f>IF('Biên Tập'!C65="","","Biên Tập")</f>
        <v/>
      </c>
      <c r="B261" s="52" t="str">
        <f>IF('Biên Tập'!B65="","",'Biên Tập'!B65)</f>
        <v/>
      </c>
      <c r="C261" s="52" t="str">
        <f>IF('Biên Tập'!C65="","",'Biên Tập'!C65)</f>
        <v/>
      </c>
      <c r="D261" s="52" t="str">
        <f>IF('Biên Tập'!D65="","",'Biên Tập'!D65)</f>
        <v/>
      </c>
      <c r="E261" s="52" t="str">
        <f>IF('Biên Tập'!E65="","",'Biên Tập'!E65)</f>
        <v/>
      </c>
      <c r="F261" s="52" t="str">
        <f>IF('Biên Tập'!F65="","",'Biên Tập'!F65)</f>
        <v/>
      </c>
      <c r="G261" s="52" t="str">
        <f>IF('Biên Tập'!G65="","",'Biên Tập'!G65)</f>
        <v/>
      </c>
      <c r="H261" s="52" t="str">
        <f>IF('Biên Tập'!J65="","",'Biên Tập'!J65)</f>
        <v/>
      </c>
      <c r="I261" s="52" t="str">
        <f>IF('Biên Tập'!M65="","",'Biên Tập'!M65)</f>
        <v/>
      </c>
      <c r="J261" s="52" t="str">
        <f>IF('Biên Tập'!R65="","",'Biên Tập'!R65)</f>
        <v/>
      </c>
      <c r="K261" s="52" t="str">
        <f t="array" ref="K261">IF(COUNTA('Biên Tập'!T65:AE65)=0,"",INDEX('Biên Tập'!T65:AE65,1,SUMPRODUCT(MAX(('Biên Tập'!T65:AE65&lt;&gt;"")*(COLUMN('Biên Tập'!T65:AE65)-COLUMN('Biên Tập'!T65)+1)))))</f>
        <v/>
      </c>
      <c r="L261" s="52" t="str">
        <f>IF(AND(G261&lt;&gt;"",G261='Tổng hợp'!$C$4),MAX(L$1:L260)+1,"")</f>
        <v/>
      </c>
    </row>
    <row r="262" ht="15.75" customHeight="1">
      <c r="A262" s="52" t="str">
        <f>IF('Biên Tập'!C66="","","Biên Tập")</f>
        <v/>
      </c>
      <c r="B262" s="52" t="str">
        <f>IF('Biên Tập'!B66="","",'Biên Tập'!B66)</f>
        <v/>
      </c>
      <c r="C262" s="52" t="str">
        <f>IF('Biên Tập'!C66="","",'Biên Tập'!C66)</f>
        <v/>
      </c>
      <c r="D262" s="52" t="str">
        <f>IF('Biên Tập'!D66="","",'Biên Tập'!D66)</f>
        <v/>
      </c>
      <c r="E262" s="52" t="str">
        <f>IF('Biên Tập'!E66="","",'Biên Tập'!E66)</f>
        <v/>
      </c>
      <c r="F262" s="52" t="str">
        <f>IF('Biên Tập'!F66="","",'Biên Tập'!F66)</f>
        <v/>
      </c>
      <c r="G262" s="52" t="str">
        <f>IF('Biên Tập'!G66="","",'Biên Tập'!G66)</f>
        <v/>
      </c>
      <c r="H262" s="52" t="str">
        <f>IF('Biên Tập'!J66="","",'Biên Tập'!J66)</f>
        <v/>
      </c>
      <c r="I262" s="52" t="str">
        <f>IF('Biên Tập'!M66="","",'Biên Tập'!M66)</f>
        <v/>
      </c>
      <c r="J262" s="52" t="str">
        <f>IF('Biên Tập'!R66="","",'Biên Tập'!R66)</f>
        <v/>
      </c>
      <c r="K262" s="52" t="str">
        <f t="array" ref="K262">IF(COUNTA('Biên Tập'!T66:AE66)=0,"",INDEX('Biên Tập'!T66:AE66,1,SUMPRODUCT(MAX(('Biên Tập'!T66:AE66&lt;&gt;"")*(COLUMN('Biên Tập'!T66:AE66)-COLUMN('Biên Tập'!T66)+1)))))</f>
        <v/>
      </c>
      <c r="L262" s="52" t="str">
        <f>IF(AND(G262&lt;&gt;"",G262='Tổng hợp'!$C$4),MAX(L$1:L261)+1,"")</f>
        <v/>
      </c>
    </row>
    <row r="263" ht="15.75" customHeight="1">
      <c r="A263" s="52" t="str">
        <f>IF('Biên Tập'!C67="","","Biên Tập")</f>
        <v/>
      </c>
      <c r="B263" s="52" t="str">
        <f>IF('Biên Tập'!B67="","",'Biên Tập'!B67)</f>
        <v/>
      </c>
      <c r="C263" s="52" t="str">
        <f>IF('Biên Tập'!C67="","",'Biên Tập'!C67)</f>
        <v/>
      </c>
      <c r="D263" s="52" t="str">
        <f>IF('Biên Tập'!D67="","",'Biên Tập'!D67)</f>
        <v/>
      </c>
      <c r="E263" s="52" t="str">
        <f>IF('Biên Tập'!E67="","",'Biên Tập'!E67)</f>
        <v/>
      </c>
      <c r="F263" s="52" t="str">
        <f>IF('Biên Tập'!F67="","",'Biên Tập'!F67)</f>
        <v/>
      </c>
      <c r="G263" s="52" t="str">
        <f>IF('Biên Tập'!G67="","",'Biên Tập'!G67)</f>
        <v/>
      </c>
      <c r="H263" s="52" t="str">
        <f>IF('Biên Tập'!J67="","",'Biên Tập'!J67)</f>
        <v/>
      </c>
      <c r="I263" s="52" t="str">
        <f>IF('Biên Tập'!M67="","",'Biên Tập'!M67)</f>
        <v/>
      </c>
      <c r="J263" s="52" t="str">
        <f>IF('Biên Tập'!R67="","",'Biên Tập'!R67)</f>
        <v/>
      </c>
      <c r="K263" s="52" t="str">
        <f t="array" ref="K263">IF(COUNTA('Biên Tập'!T67:AE67)=0,"",INDEX('Biên Tập'!T67:AE67,1,SUMPRODUCT(MAX(('Biên Tập'!T67:AE67&lt;&gt;"")*(COLUMN('Biên Tập'!T67:AE67)-COLUMN('Biên Tập'!T67)+1)))))</f>
        <v/>
      </c>
      <c r="L263" s="52" t="str">
        <f>IF(AND(G263&lt;&gt;"",G263='Tổng hợp'!$C$4),MAX(L$1:L262)+1,"")</f>
        <v/>
      </c>
    </row>
    <row r="264" ht="15.75" customHeight="1">
      <c r="A264" s="52" t="str">
        <f>IF('Biên Tập'!C68="","","Biên Tập")</f>
        <v/>
      </c>
      <c r="B264" s="52" t="str">
        <f>IF('Biên Tập'!B68="","",'Biên Tập'!B68)</f>
        <v/>
      </c>
      <c r="C264" s="52" t="str">
        <f>IF('Biên Tập'!C68="","",'Biên Tập'!C68)</f>
        <v/>
      </c>
      <c r="D264" s="52" t="str">
        <f>IF('Biên Tập'!D68="","",'Biên Tập'!D68)</f>
        <v/>
      </c>
      <c r="E264" s="52" t="str">
        <f>IF('Biên Tập'!E68="","",'Biên Tập'!E68)</f>
        <v/>
      </c>
      <c r="F264" s="52" t="str">
        <f>IF('Biên Tập'!F68="","",'Biên Tập'!F68)</f>
        <v/>
      </c>
      <c r="G264" s="52" t="str">
        <f>IF('Biên Tập'!G68="","",'Biên Tập'!G68)</f>
        <v/>
      </c>
      <c r="H264" s="52" t="str">
        <f>IF('Biên Tập'!J68="","",'Biên Tập'!J68)</f>
        <v/>
      </c>
      <c r="I264" s="52" t="str">
        <f>IF('Biên Tập'!M68="","",'Biên Tập'!M68)</f>
        <v/>
      </c>
      <c r="J264" s="52" t="str">
        <f>IF('Biên Tập'!R68="","",'Biên Tập'!R68)</f>
        <v/>
      </c>
      <c r="K264" s="52" t="str">
        <f t="array" ref="K264">IF(COUNTA('Biên Tập'!T68:AE68)=0,"",INDEX('Biên Tập'!T68:AE68,1,SUMPRODUCT(MAX(('Biên Tập'!T68:AE68&lt;&gt;"")*(COLUMN('Biên Tập'!T68:AE68)-COLUMN('Biên Tập'!T68)+1)))))</f>
        <v/>
      </c>
      <c r="L264" s="52" t="str">
        <f>IF(AND(G264&lt;&gt;"",G264='Tổng hợp'!$C$4),MAX(L$1:L263)+1,"")</f>
        <v/>
      </c>
    </row>
    <row r="265" ht="15.75" customHeight="1">
      <c r="A265" s="52" t="str">
        <f>IF('Biên Tập'!C69="","","Biên Tập")</f>
        <v/>
      </c>
      <c r="B265" s="52" t="str">
        <f>IF('Biên Tập'!B69="","",'Biên Tập'!B69)</f>
        <v/>
      </c>
      <c r="C265" s="52" t="str">
        <f>IF('Biên Tập'!C69="","",'Biên Tập'!C69)</f>
        <v/>
      </c>
      <c r="D265" s="52" t="str">
        <f>IF('Biên Tập'!D69="","",'Biên Tập'!D69)</f>
        <v/>
      </c>
      <c r="E265" s="52" t="str">
        <f>IF('Biên Tập'!E69="","",'Biên Tập'!E69)</f>
        <v/>
      </c>
      <c r="F265" s="52" t="str">
        <f>IF('Biên Tập'!F69="","",'Biên Tập'!F69)</f>
        <v/>
      </c>
      <c r="G265" s="52" t="str">
        <f>IF('Biên Tập'!G69="","",'Biên Tập'!G69)</f>
        <v/>
      </c>
      <c r="H265" s="52" t="str">
        <f>IF('Biên Tập'!J69="","",'Biên Tập'!J69)</f>
        <v/>
      </c>
      <c r="I265" s="52" t="str">
        <f>IF('Biên Tập'!M69="","",'Biên Tập'!M69)</f>
        <v/>
      </c>
      <c r="J265" s="52" t="str">
        <f>IF('Biên Tập'!R69="","",'Biên Tập'!R69)</f>
        <v/>
      </c>
      <c r="K265" s="52" t="str">
        <f t="array" ref="K265">IF(COUNTA('Biên Tập'!T69:AE69)=0,"",INDEX('Biên Tập'!T69:AE69,1,SUMPRODUCT(MAX(('Biên Tập'!T69:AE69&lt;&gt;"")*(COLUMN('Biên Tập'!T69:AE69)-COLUMN('Biên Tập'!T69)+1)))))</f>
        <v/>
      </c>
      <c r="L265" s="52" t="str">
        <f>IF(AND(G265&lt;&gt;"",G265='Tổng hợp'!$C$4),MAX(L$1:L264)+1,"")</f>
        <v/>
      </c>
    </row>
    <row r="266" ht="15.75" customHeight="1">
      <c r="A266" s="52" t="str">
        <f>IF('Biên Tập'!C70="","","Biên Tập")</f>
        <v/>
      </c>
      <c r="B266" s="52" t="str">
        <f>IF('Biên Tập'!B70="","",'Biên Tập'!B70)</f>
        <v/>
      </c>
      <c r="C266" s="52" t="str">
        <f>IF('Biên Tập'!C70="","",'Biên Tập'!C70)</f>
        <v/>
      </c>
      <c r="D266" s="52" t="str">
        <f>IF('Biên Tập'!D70="","",'Biên Tập'!D70)</f>
        <v/>
      </c>
      <c r="E266" s="52" t="str">
        <f>IF('Biên Tập'!E70="","",'Biên Tập'!E70)</f>
        <v/>
      </c>
      <c r="F266" s="52" t="str">
        <f>IF('Biên Tập'!F70="","",'Biên Tập'!F70)</f>
        <v/>
      </c>
      <c r="G266" s="52" t="str">
        <f>IF('Biên Tập'!G70="","",'Biên Tập'!G70)</f>
        <v/>
      </c>
      <c r="H266" s="52" t="str">
        <f>IF('Biên Tập'!J70="","",'Biên Tập'!J70)</f>
        <v/>
      </c>
      <c r="I266" s="52" t="str">
        <f>IF('Biên Tập'!M70="","",'Biên Tập'!M70)</f>
        <v/>
      </c>
      <c r="J266" s="52" t="str">
        <f>IF('Biên Tập'!R70="","",'Biên Tập'!R70)</f>
        <v/>
      </c>
      <c r="K266" s="52" t="str">
        <f t="array" ref="K266">IF(COUNTA('Biên Tập'!T70:AE70)=0,"",INDEX('Biên Tập'!T70:AE70,1,SUMPRODUCT(MAX(('Biên Tập'!T70:AE70&lt;&gt;"")*(COLUMN('Biên Tập'!T70:AE70)-COLUMN('Biên Tập'!T70)+1)))))</f>
        <v/>
      </c>
      <c r="L266" s="52" t="str">
        <f>IF(AND(G266&lt;&gt;"",G266='Tổng hợp'!$C$4),MAX(L$1:L265)+1,"")</f>
        <v/>
      </c>
    </row>
    <row r="267" ht="15.75" customHeight="1">
      <c r="A267" s="52" t="str">
        <f>IF('Biên Tập'!C71="","","Biên Tập")</f>
        <v/>
      </c>
      <c r="B267" s="52" t="str">
        <f>IF('Biên Tập'!B71="","",'Biên Tập'!B71)</f>
        <v/>
      </c>
      <c r="C267" s="52" t="str">
        <f>IF('Biên Tập'!C71="","",'Biên Tập'!C71)</f>
        <v/>
      </c>
      <c r="D267" s="52" t="str">
        <f>IF('Biên Tập'!D71="","",'Biên Tập'!D71)</f>
        <v/>
      </c>
      <c r="E267" s="52" t="str">
        <f>IF('Biên Tập'!E71="","",'Biên Tập'!E71)</f>
        <v/>
      </c>
      <c r="F267" s="52" t="str">
        <f>IF('Biên Tập'!F71="","",'Biên Tập'!F71)</f>
        <v/>
      </c>
      <c r="G267" s="52" t="str">
        <f>IF('Biên Tập'!G71="","",'Biên Tập'!G71)</f>
        <v/>
      </c>
      <c r="H267" s="52" t="str">
        <f>IF('Biên Tập'!J71="","",'Biên Tập'!J71)</f>
        <v/>
      </c>
      <c r="I267" s="52" t="str">
        <f>IF('Biên Tập'!M71="","",'Biên Tập'!M71)</f>
        <v/>
      </c>
      <c r="J267" s="52" t="str">
        <f>IF('Biên Tập'!R71="","",'Biên Tập'!R71)</f>
        <v/>
      </c>
      <c r="K267" s="52" t="str">
        <f t="array" ref="K267">IF(COUNTA('Biên Tập'!T71:AE71)=0,"",INDEX('Biên Tập'!T71:AE71,1,SUMPRODUCT(MAX(('Biên Tập'!T71:AE71&lt;&gt;"")*(COLUMN('Biên Tập'!T71:AE71)-COLUMN('Biên Tập'!T71)+1)))))</f>
        <v/>
      </c>
      <c r="L267" s="52" t="str">
        <f>IF(AND(G267&lt;&gt;"",G267='Tổng hợp'!$C$4),MAX(L$1:L266)+1,"")</f>
        <v/>
      </c>
    </row>
    <row r="268" ht="15.75" customHeight="1">
      <c r="A268" s="52" t="str">
        <f>IF('Biên Tập'!C72="","","Biên Tập")</f>
        <v/>
      </c>
      <c r="B268" s="52" t="str">
        <f>IF('Biên Tập'!B72="","",'Biên Tập'!B72)</f>
        <v/>
      </c>
      <c r="C268" s="52" t="str">
        <f>IF('Biên Tập'!C72="","",'Biên Tập'!C72)</f>
        <v/>
      </c>
      <c r="D268" s="52" t="str">
        <f>IF('Biên Tập'!D72="","",'Biên Tập'!D72)</f>
        <v/>
      </c>
      <c r="E268" s="52" t="str">
        <f>IF('Biên Tập'!E72="","",'Biên Tập'!E72)</f>
        <v/>
      </c>
      <c r="F268" s="52" t="str">
        <f>IF('Biên Tập'!F72="","",'Biên Tập'!F72)</f>
        <v/>
      </c>
      <c r="G268" s="52" t="str">
        <f>IF('Biên Tập'!G72="","",'Biên Tập'!G72)</f>
        <v/>
      </c>
      <c r="H268" s="52" t="str">
        <f>IF('Biên Tập'!J72="","",'Biên Tập'!J72)</f>
        <v/>
      </c>
      <c r="I268" s="52" t="str">
        <f>IF('Biên Tập'!M72="","",'Biên Tập'!M72)</f>
        <v/>
      </c>
      <c r="J268" s="52" t="str">
        <f>IF('Biên Tập'!R72="","",'Biên Tập'!R72)</f>
        <v/>
      </c>
      <c r="K268" s="52" t="str">
        <f t="array" ref="K268">IF(COUNTA('Biên Tập'!T72:AE72)=0,"",INDEX('Biên Tập'!T72:AE72,1,SUMPRODUCT(MAX(('Biên Tập'!T72:AE72&lt;&gt;"")*(COLUMN('Biên Tập'!T72:AE72)-COLUMN('Biên Tập'!T72)+1)))))</f>
        <v/>
      </c>
      <c r="L268" s="52" t="str">
        <f>IF(AND(G268&lt;&gt;"",G268='Tổng hợp'!$C$4),MAX(L$1:L267)+1,"")</f>
        <v/>
      </c>
    </row>
    <row r="269" ht="15.75" customHeight="1">
      <c r="A269" s="52" t="str">
        <f>IF('Biên Tập'!C73="","","Biên Tập")</f>
        <v/>
      </c>
      <c r="B269" s="52" t="str">
        <f>IF('Biên Tập'!B73="","",'Biên Tập'!B73)</f>
        <v/>
      </c>
      <c r="C269" s="52" t="str">
        <f>IF('Biên Tập'!C73="","",'Biên Tập'!C73)</f>
        <v/>
      </c>
      <c r="D269" s="52" t="str">
        <f>IF('Biên Tập'!D73="","",'Biên Tập'!D73)</f>
        <v/>
      </c>
      <c r="E269" s="52" t="str">
        <f>IF('Biên Tập'!E73="","",'Biên Tập'!E73)</f>
        <v/>
      </c>
      <c r="F269" s="52" t="str">
        <f>IF('Biên Tập'!F73="","",'Biên Tập'!F73)</f>
        <v/>
      </c>
      <c r="G269" s="52" t="str">
        <f>IF('Biên Tập'!G73="","",'Biên Tập'!G73)</f>
        <v/>
      </c>
      <c r="H269" s="52" t="str">
        <f>IF('Biên Tập'!J73="","",'Biên Tập'!J73)</f>
        <v/>
      </c>
      <c r="I269" s="52" t="str">
        <f>IF('Biên Tập'!M73="","",'Biên Tập'!M73)</f>
        <v/>
      </c>
      <c r="J269" s="52" t="str">
        <f>IF('Biên Tập'!R73="","",'Biên Tập'!R73)</f>
        <v/>
      </c>
      <c r="K269" s="52" t="str">
        <f t="array" ref="K269">IF(COUNTA('Biên Tập'!T73:AE73)=0,"",INDEX('Biên Tập'!T73:AE73,1,SUMPRODUCT(MAX(('Biên Tập'!T73:AE73&lt;&gt;"")*(COLUMN('Biên Tập'!T73:AE73)-COLUMN('Biên Tập'!T73)+1)))))</f>
        <v/>
      </c>
      <c r="L269" s="52" t="str">
        <f>IF(AND(G269&lt;&gt;"",G269='Tổng hợp'!$C$4),MAX(L$1:L268)+1,"")</f>
        <v/>
      </c>
    </row>
    <row r="270" ht="15.75" customHeight="1">
      <c r="A270" s="52" t="str">
        <f>IF('Biên Tập'!C74="","","Biên Tập")</f>
        <v/>
      </c>
      <c r="B270" s="52" t="str">
        <f>IF('Biên Tập'!B74="","",'Biên Tập'!B74)</f>
        <v/>
      </c>
      <c r="C270" s="52" t="str">
        <f>IF('Biên Tập'!C74="","",'Biên Tập'!C74)</f>
        <v/>
      </c>
      <c r="D270" s="52" t="str">
        <f>IF('Biên Tập'!D74="","",'Biên Tập'!D74)</f>
        <v/>
      </c>
      <c r="E270" s="52" t="str">
        <f>IF('Biên Tập'!E74="","",'Biên Tập'!E74)</f>
        <v/>
      </c>
      <c r="F270" s="52" t="str">
        <f>IF('Biên Tập'!F74="","",'Biên Tập'!F74)</f>
        <v/>
      </c>
      <c r="G270" s="52" t="str">
        <f>IF('Biên Tập'!G74="","",'Biên Tập'!G74)</f>
        <v/>
      </c>
      <c r="H270" s="52" t="str">
        <f>IF('Biên Tập'!J74="","",'Biên Tập'!J74)</f>
        <v/>
      </c>
      <c r="I270" s="52" t="str">
        <f>IF('Biên Tập'!M74="","",'Biên Tập'!M74)</f>
        <v/>
      </c>
      <c r="J270" s="52" t="str">
        <f>IF('Biên Tập'!R74="","",'Biên Tập'!R74)</f>
        <v/>
      </c>
      <c r="K270" s="52" t="str">
        <f t="array" ref="K270">IF(COUNTA('Biên Tập'!T74:AE74)=0,"",INDEX('Biên Tập'!T74:AE74,1,SUMPRODUCT(MAX(('Biên Tập'!T74:AE74&lt;&gt;"")*(COLUMN('Biên Tập'!T74:AE74)-COLUMN('Biên Tập'!T74)+1)))))</f>
        <v/>
      </c>
      <c r="L270" s="52" t="str">
        <f>IF(AND(G270&lt;&gt;"",G270='Tổng hợp'!$C$4),MAX(L$1:L269)+1,"")</f>
        <v/>
      </c>
    </row>
    <row r="271" ht="15.75" customHeight="1">
      <c r="A271" s="52" t="str">
        <f>IF('Biên Tập'!C75="","","Biên Tập")</f>
        <v/>
      </c>
      <c r="B271" s="52" t="str">
        <f>IF('Biên Tập'!B75="","",'Biên Tập'!B75)</f>
        <v/>
      </c>
      <c r="C271" s="52" t="str">
        <f>IF('Biên Tập'!C75="","",'Biên Tập'!C75)</f>
        <v/>
      </c>
      <c r="D271" s="52" t="str">
        <f>IF('Biên Tập'!D75="","",'Biên Tập'!D75)</f>
        <v/>
      </c>
      <c r="E271" s="52" t="str">
        <f>IF('Biên Tập'!E75="","",'Biên Tập'!E75)</f>
        <v/>
      </c>
      <c r="F271" s="52" t="str">
        <f>IF('Biên Tập'!F75="","",'Biên Tập'!F75)</f>
        <v/>
      </c>
      <c r="G271" s="52" t="str">
        <f>IF('Biên Tập'!G75="","",'Biên Tập'!G75)</f>
        <v/>
      </c>
      <c r="H271" s="52" t="str">
        <f>IF('Biên Tập'!J75="","",'Biên Tập'!J75)</f>
        <v/>
      </c>
      <c r="I271" s="52" t="str">
        <f>IF('Biên Tập'!M75="","",'Biên Tập'!M75)</f>
        <v/>
      </c>
      <c r="J271" s="52" t="str">
        <f>IF('Biên Tập'!R75="","",'Biên Tập'!R75)</f>
        <v/>
      </c>
      <c r="K271" s="52" t="str">
        <f t="array" ref="K271">IF(COUNTA('Biên Tập'!T75:AE75)=0,"",INDEX('Biên Tập'!T75:AE75,1,SUMPRODUCT(MAX(('Biên Tập'!T75:AE75&lt;&gt;"")*(COLUMN('Biên Tập'!T75:AE75)-COLUMN('Biên Tập'!T75)+1)))))</f>
        <v/>
      </c>
      <c r="L271" s="52" t="str">
        <f>IF(AND(G271&lt;&gt;"",G271='Tổng hợp'!$C$4),MAX(L$1:L270)+1,"")</f>
        <v/>
      </c>
    </row>
    <row r="272" ht="15.75" customHeight="1">
      <c r="A272" s="52" t="str">
        <f>IF('Biên Tập'!C76="","","Biên Tập")</f>
        <v/>
      </c>
      <c r="B272" s="52" t="str">
        <f>IF('Biên Tập'!B76="","",'Biên Tập'!B76)</f>
        <v/>
      </c>
      <c r="C272" s="52" t="str">
        <f>IF('Biên Tập'!C76="","",'Biên Tập'!C76)</f>
        <v/>
      </c>
      <c r="D272" s="52" t="str">
        <f>IF('Biên Tập'!D76="","",'Biên Tập'!D76)</f>
        <v/>
      </c>
      <c r="E272" s="52" t="str">
        <f>IF('Biên Tập'!E76="","",'Biên Tập'!E76)</f>
        <v/>
      </c>
      <c r="F272" s="52" t="str">
        <f>IF('Biên Tập'!F76="","",'Biên Tập'!F76)</f>
        <v/>
      </c>
      <c r="G272" s="52" t="str">
        <f>IF('Biên Tập'!G76="","",'Biên Tập'!G76)</f>
        <v/>
      </c>
      <c r="H272" s="52" t="str">
        <f>IF('Biên Tập'!J76="","",'Biên Tập'!J76)</f>
        <v/>
      </c>
      <c r="I272" s="52" t="str">
        <f>IF('Biên Tập'!M76="","",'Biên Tập'!M76)</f>
        <v/>
      </c>
      <c r="J272" s="52" t="str">
        <f>IF('Biên Tập'!R76="","",'Biên Tập'!R76)</f>
        <v/>
      </c>
      <c r="K272" s="52" t="str">
        <f t="array" ref="K272">IF(COUNTA('Biên Tập'!T76:AE76)=0,"",INDEX('Biên Tập'!T76:AE76,1,SUMPRODUCT(MAX(('Biên Tập'!T76:AE76&lt;&gt;"")*(COLUMN('Biên Tập'!T76:AE76)-COLUMN('Biên Tập'!T76)+1)))))</f>
        <v/>
      </c>
      <c r="L272" s="52" t="str">
        <f>IF(AND(G272&lt;&gt;"",G272='Tổng hợp'!$C$4),MAX(L$1:L271)+1,"")</f>
        <v/>
      </c>
    </row>
    <row r="273" ht="15.75" customHeight="1">
      <c r="A273" s="52" t="str">
        <f>IF('Biên Tập'!C77="","","Biên Tập")</f>
        <v/>
      </c>
      <c r="B273" s="52" t="str">
        <f>IF('Biên Tập'!B77="","",'Biên Tập'!B77)</f>
        <v/>
      </c>
      <c r="C273" s="52" t="str">
        <f>IF('Biên Tập'!C77="","",'Biên Tập'!C77)</f>
        <v/>
      </c>
      <c r="D273" s="52" t="str">
        <f>IF('Biên Tập'!D77="","",'Biên Tập'!D77)</f>
        <v/>
      </c>
      <c r="E273" s="52" t="str">
        <f>IF('Biên Tập'!E77="","",'Biên Tập'!E77)</f>
        <v/>
      </c>
      <c r="F273" s="52" t="str">
        <f>IF('Biên Tập'!F77="","",'Biên Tập'!F77)</f>
        <v/>
      </c>
      <c r="G273" s="52" t="str">
        <f>IF('Biên Tập'!G77="","",'Biên Tập'!G77)</f>
        <v/>
      </c>
      <c r="H273" s="52" t="str">
        <f>IF('Biên Tập'!J77="","",'Biên Tập'!J77)</f>
        <v/>
      </c>
      <c r="I273" s="52" t="str">
        <f>IF('Biên Tập'!M77="","",'Biên Tập'!M77)</f>
        <v/>
      </c>
      <c r="J273" s="52" t="str">
        <f>IF('Biên Tập'!R77="","",'Biên Tập'!R77)</f>
        <v/>
      </c>
      <c r="K273" s="52" t="str">
        <f t="array" ref="K273">IF(COUNTA('Biên Tập'!T77:AE77)=0,"",INDEX('Biên Tập'!T77:AE77,1,SUMPRODUCT(MAX(('Biên Tập'!T77:AE77&lt;&gt;"")*(COLUMN('Biên Tập'!T77:AE77)-COLUMN('Biên Tập'!T77)+1)))))</f>
        <v/>
      </c>
      <c r="L273" s="52" t="str">
        <f>IF(AND(G273&lt;&gt;"",G273='Tổng hợp'!$C$4),MAX(L$1:L272)+1,"")</f>
        <v/>
      </c>
    </row>
    <row r="274" ht="15.75" customHeight="1">
      <c r="A274" s="52" t="str">
        <f>IF('Biên Tập'!C78="","","Biên Tập")</f>
        <v/>
      </c>
      <c r="B274" s="52" t="str">
        <f>IF('Biên Tập'!B78="","",'Biên Tập'!B78)</f>
        <v/>
      </c>
      <c r="C274" s="52" t="str">
        <f>IF('Biên Tập'!C78="","",'Biên Tập'!C78)</f>
        <v/>
      </c>
      <c r="D274" s="52" t="str">
        <f>IF('Biên Tập'!D78="","",'Biên Tập'!D78)</f>
        <v/>
      </c>
      <c r="E274" s="52" t="str">
        <f>IF('Biên Tập'!E78="","",'Biên Tập'!E78)</f>
        <v/>
      </c>
      <c r="F274" s="52" t="str">
        <f>IF('Biên Tập'!F78="","",'Biên Tập'!F78)</f>
        <v/>
      </c>
      <c r="G274" s="52" t="str">
        <f>IF('Biên Tập'!G78="","",'Biên Tập'!G78)</f>
        <v/>
      </c>
      <c r="H274" s="52" t="str">
        <f>IF('Biên Tập'!J78="","",'Biên Tập'!J78)</f>
        <v/>
      </c>
      <c r="I274" s="52" t="str">
        <f>IF('Biên Tập'!M78="","",'Biên Tập'!M78)</f>
        <v/>
      </c>
      <c r="J274" s="52" t="str">
        <f>IF('Biên Tập'!R78="","",'Biên Tập'!R78)</f>
        <v/>
      </c>
      <c r="K274" s="52" t="str">
        <f t="array" ref="K274">IF(COUNTA('Biên Tập'!T78:AE78)=0,"",INDEX('Biên Tập'!T78:AE78,1,SUMPRODUCT(MAX(('Biên Tập'!T78:AE78&lt;&gt;"")*(COLUMN('Biên Tập'!T78:AE78)-COLUMN('Biên Tập'!T78)+1)))))</f>
        <v/>
      </c>
      <c r="L274" s="52" t="str">
        <f>IF(AND(G274&lt;&gt;"",G274='Tổng hợp'!$C$4),MAX(L$1:L273)+1,"")</f>
        <v/>
      </c>
    </row>
    <row r="275" ht="15.75" customHeight="1">
      <c r="A275" s="52" t="str">
        <f>IF('Biên Tập'!C79="","","Biên Tập")</f>
        <v/>
      </c>
      <c r="B275" s="52" t="str">
        <f>IF('Biên Tập'!B79="","",'Biên Tập'!B79)</f>
        <v/>
      </c>
      <c r="C275" s="52" t="str">
        <f>IF('Biên Tập'!C79="","",'Biên Tập'!C79)</f>
        <v/>
      </c>
      <c r="D275" s="52" t="str">
        <f>IF('Biên Tập'!D79="","",'Biên Tập'!D79)</f>
        <v/>
      </c>
      <c r="E275" s="52" t="str">
        <f>IF('Biên Tập'!E79="","",'Biên Tập'!E79)</f>
        <v/>
      </c>
      <c r="F275" s="52" t="str">
        <f>IF('Biên Tập'!F79="","",'Biên Tập'!F79)</f>
        <v/>
      </c>
      <c r="G275" s="52" t="str">
        <f>IF('Biên Tập'!G79="","",'Biên Tập'!G79)</f>
        <v/>
      </c>
      <c r="H275" s="52" t="str">
        <f>IF('Biên Tập'!J79="","",'Biên Tập'!J79)</f>
        <v/>
      </c>
      <c r="I275" s="52" t="str">
        <f>IF('Biên Tập'!M79="","",'Biên Tập'!M79)</f>
        <v/>
      </c>
      <c r="J275" s="52" t="str">
        <f>IF('Biên Tập'!R79="","",'Biên Tập'!R79)</f>
        <v/>
      </c>
      <c r="K275" s="52" t="str">
        <f t="array" ref="K275">IF(COUNTA('Biên Tập'!T79:AE79)=0,"",INDEX('Biên Tập'!T79:AE79,1,SUMPRODUCT(MAX(('Biên Tập'!T79:AE79&lt;&gt;"")*(COLUMN('Biên Tập'!T79:AE79)-COLUMN('Biên Tập'!T79)+1)))))</f>
        <v/>
      </c>
      <c r="L275" s="52" t="str">
        <f>IF(AND(G275&lt;&gt;"",G275='Tổng hợp'!$C$4),MAX(L$1:L274)+1,"")</f>
        <v/>
      </c>
    </row>
    <row r="276" ht="15.75" customHeight="1">
      <c r="A276" s="52" t="str">
        <f>IF('Biên Tập'!C80="","","Biên Tập")</f>
        <v/>
      </c>
      <c r="B276" s="52" t="str">
        <f>IF('Biên Tập'!B80="","",'Biên Tập'!B80)</f>
        <v/>
      </c>
      <c r="C276" s="52" t="str">
        <f>IF('Biên Tập'!C80="","",'Biên Tập'!C80)</f>
        <v/>
      </c>
      <c r="D276" s="52" t="str">
        <f>IF('Biên Tập'!D80="","",'Biên Tập'!D80)</f>
        <v/>
      </c>
      <c r="E276" s="52" t="str">
        <f>IF('Biên Tập'!E80="","",'Biên Tập'!E80)</f>
        <v/>
      </c>
      <c r="F276" s="52" t="str">
        <f>IF('Biên Tập'!F80="","",'Biên Tập'!F80)</f>
        <v/>
      </c>
      <c r="G276" s="52" t="str">
        <f>IF('Biên Tập'!G80="","",'Biên Tập'!G80)</f>
        <v/>
      </c>
      <c r="H276" s="52" t="str">
        <f>IF('Biên Tập'!J80="","",'Biên Tập'!J80)</f>
        <v/>
      </c>
      <c r="I276" s="52" t="str">
        <f>IF('Biên Tập'!M80="","",'Biên Tập'!M80)</f>
        <v/>
      </c>
      <c r="J276" s="52" t="str">
        <f>IF('Biên Tập'!R80="","",'Biên Tập'!R80)</f>
        <v/>
      </c>
      <c r="K276" s="52" t="str">
        <f t="array" ref="K276">IF(COUNTA('Biên Tập'!T80:AE80)=0,"",INDEX('Biên Tập'!T80:AE80,1,SUMPRODUCT(MAX(('Biên Tập'!T80:AE80&lt;&gt;"")*(COLUMN('Biên Tập'!T80:AE80)-COLUMN('Biên Tập'!T80)+1)))))</f>
        <v/>
      </c>
      <c r="L276" s="52" t="str">
        <f>IF(AND(G276&lt;&gt;"",G276='Tổng hợp'!$C$4),MAX(L$1:L275)+1,"")</f>
        <v/>
      </c>
    </row>
    <row r="277" ht="15.75" customHeight="1">
      <c r="A277" s="52" t="str">
        <f>IF('Biên Tập'!C81="","","Biên Tập")</f>
        <v/>
      </c>
      <c r="B277" s="52" t="str">
        <f>IF('Biên Tập'!B81="","",'Biên Tập'!B81)</f>
        <v/>
      </c>
      <c r="C277" s="52" t="str">
        <f>IF('Biên Tập'!C81="","",'Biên Tập'!C81)</f>
        <v/>
      </c>
      <c r="D277" s="52" t="str">
        <f>IF('Biên Tập'!D81="","",'Biên Tập'!D81)</f>
        <v/>
      </c>
      <c r="E277" s="52" t="str">
        <f>IF('Biên Tập'!E81="","",'Biên Tập'!E81)</f>
        <v/>
      </c>
      <c r="F277" s="52" t="str">
        <f>IF('Biên Tập'!F81="","",'Biên Tập'!F81)</f>
        <v/>
      </c>
      <c r="G277" s="52" t="str">
        <f>IF('Biên Tập'!G81="","",'Biên Tập'!G81)</f>
        <v/>
      </c>
      <c r="H277" s="52" t="str">
        <f>IF('Biên Tập'!J81="","",'Biên Tập'!J81)</f>
        <v/>
      </c>
      <c r="I277" s="52" t="str">
        <f>IF('Biên Tập'!M81="","",'Biên Tập'!M81)</f>
        <v/>
      </c>
      <c r="J277" s="52" t="str">
        <f>IF('Biên Tập'!R81="","",'Biên Tập'!R81)</f>
        <v/>
      </c>
      <c r="K277" s="52" t="str">
        <f t="array" ref="K277">IF(COUNTA('Biên Tập'!T81:AE81)=0,"",INDEX('Biên Tập'!T81:AE81,1,SUMPRODUCT(MAX(('Biên Tập'!T81:AE81&lt;&gt;"")*(COLUMN('Biên Tập'!T81:AE81)-COLUMN('Biên Tập'!T81)+1)))))</f>
        <v/>
      </c>
      <c r="L277" s="52" t="str">
        <f>IF(AND(G277&lt;&gt;"",G277='Tổng hợp'!$C$4),MAX(L$1:L276)+1,"")</f>
        <v/>
      </c>
    </row>
    <row r="278" ht="15.75" customHeight="1">
      <c r="A278" s="52" t="str">
        <f>IF('Biên Tập'!C82="","","Biên Tập")</f>
        <v/>
      </c>
      <c r="B278" s="52" t="str">
        <f>IF('Biên Tập'!B82="","",'Biên Tập'!B82)</f>
        <v/>
      </c>
      <c r="C278" s="52" t="str">
        <f>IF('Biên Tập'!C82="","",'Biên Tập'!C82)</f>
        <v/>
      </c>
      <c r="D278" s="52" t="str">
        <f>IF('Biên Tập'!D82="","",'Biên Tập'!D82)</f>
        <v/>
      </c>
      <c r="E278" s="52" t="str">
        <f>IF('Biên Tập'!E82="","",'Biên Tập'!E82)</f>
        <v/>
      </c>
      <c r="F278" s="52" t="str">
        <f>IF('Biên Tập'!F82="","",'Biên Tập'!F82)</f>
        <v/>
      </c>
      <c r="G278" s="52" t="str">
        <f>IF('Biên Tập'!G82="","",'Biên Tập'!G82)</f>
        <v/>
      </c>
      <c r="H278" s="52" t="str">
        <f>IF('Biên Tập'!J82="","",'Biên Tập'!J82)</f>
        <v/>
      </c>
      <c r="I278" s="52" t="str">
        <f>IF('Biên Tập'!M82="","",'Biên Tập'!M82)</f>
        <v/>
      </c>
      <c r="J278" s="52" t="str">
        <f>IF('Biên Tập'!R82="","",'Biên Tập'!R82)</f>
        <v/>
      </c>
      <c r="K278" s="52" t="str">
        <f t="array" ref="K278">IF(COUNTA('Biên Tập'!T82:AE82)=0,"",INDEX('Biên Tập'!T82:AE82,1,SUMPRODUCT(MAX(('Biên Tập'!T82:AE82&lt;&gt;"")*(COLUMN('Biên Tập'!T82:AE82)-COLUMN('Biên Tập'!T82)+1)))))</f>
        <v/>
      </c>
      <c r="L278" s="52" t="str">
        <f>IF(AND(G278&lt;&gt;"",G278='Tổng hợp'!$C$4),MAX(L$1:L277)+1,"")</f>
        <v/>
      </c>
    </row>
    <row r="279" ht="15.75" customHeight="1">
      <c r="A279" s="52" t="str">
        <f>IF('Biên Tập'!C83="","","Biên Tập")</f>
        <v/>
      </c>
      <c r="B279" s="52" t="str">
        <f>IF('Biên Tập'!B83="","",'Biên Tập'!B83)</f>
        <v/>
      </c>
      <c r="C279" s="52" t="str">
        <f>IF('Biên Tập'!C83="","",'Biên Tập'!C83)</f>
        <v/>
      </c>
      <c r="D279" s="52" t="str">
        <f>IF('Biên Tập'!D83="","",'Biên Tập'!D83)</f>
        <v/>
      </c>
      <c r="E279" s="52" t="str">
        <f>IF('Biên Tập'!E83="","",'Biên Tập'!E83)</f>
        <v/>
      </c>
      <c r="F279" s="52" t="str">
        <f>IF('Biên Tập'!F83="","",'Biên Tập'!F83)</f>
        <v/>
      </c>
      <c r="G279" s="52" t="str">
        <f>IF('Biên Tập'!G83="","",'Biên Tập'!G83)</f>
        <v/>
      </c>
      <c r="H279" s="52" t="str">
        <f>IF('Biên Tập'!J83="","",'Biên Tập'!J83)</f>
        <v/>
      </c>
      <c r="I279" s="52" t="str">
        <f>IF('Biên Tập'!M83="","",'Biên Tập'!M83)</f>
        <v/>
      </c>
      <c r="J279" s="52" t="str">
        <f>IF('Biên Tập'!R83="","",'Biên Tập'!R83)</f>
        <v/>
      </c>
      <c r="K279" s="52" t="str">
        <f t="array" ref="K279">IF(COUNTA('Biên Tập'!T83:AE83)=0,"",INDEX('Biên Tập'!T83:AE83,1,SUMPRODUCT(MAX(('Biên Tập'!T83:AE83&lt;&gt;"")*(COLUMN('Biên Tập'!T83:AE83)-COLUMN('Biên Tập'!T83)+1)))))</f>
        <v/>
      </c>
      <c r="L279" s="52" t="str">
        <f>IF(AND(G279&lt;&gt;"",G279='Tổng hợp'!$C$4),MAX(L$1:L278)+1,"")</f>
        <v/>
      </c>
    </row>
    <row r="280" ht="15.75" customHeight="1">
      <c r="A280" s="52" t="str">
        <f>IF('Biên Tập'!C84="","","Biên Tập")</f>
        <v/>
      </c>
      <c r="B280" s="52" t="str">
        <f>IF('Biên Tập'!B84="","",'Biên Tập'!B84)</f>
        <v/>
      </c>
      <c r="C280" s="52" t="str">
        <f>IF('Biên Tập'!C84="","",'Biên Tập'!C84)</f>
        <v/>
      </c>
      <c r="D280" s="52" t="str">
        <f>IF('Biên Tập'!D84="","",'Biên Tập'!D84)</f>
        <v/>
      </c>
      <c r="E280" s="52" t="str">
        <f>IF('Biên Tập'!E84="","",'Biên Tập'!E84)</f>
        <v/>
      </c>
      <c r="F280" s="52" t="str">
        <f>IF('Biên Tập'!F84="","",'Biên Tập'!F84)</f>
        <v/>
      </c>
      <c r="G280" s="52" t="str">
        <f>IF('Biên Tập'!G84="","",'Biên Tập'!G84)</f>
        <v/>
      </c>
      <c r="H280" s="52" t="str">
        <f>IF('Biên Tập'!J84="","",'Biên Tập'!J84)</f>
        <v/>
      </c>
      <c r="I280" s="52" t="str">
        <f>IF('Biên Tập'!M84="","",'Biên Tập'!M84)</f>
        <v/>
      </c>
      <c r="J280" s="52" t="str">
        <f>IF('Biên Tập'!R84="","",'Biên Tập'!R84)</f>
        <v/>
      </c>
      <c r="K280" s="52" t="str">
        <f t="array" ref="K280">IF(COUNTA('Biên Tập'!T84:AE84)=0,"",INDEX('Biên Tập'!T84:AE84,1,SUMPRODUCT(MAX(('Biên Tập'!T84:AE84&lt;&gt;"")*(COLUMN('Biên Tập'!T84:AE84)-COLUMN('Biên Tập'!T84)+1)))))</f>
        <v/>
      </c>
      <c r="L280" s="52" t="str">
        <f>IF(AND(G280&lt;&gt;"",G280='Tổng hợp'!$C$4),MAX(L$1:L279)+1,"")</f>
        <v/>
      </c>
    </row>
    <row r="281" ht="15.75" customHeight="1">
      <c r="A281" s="52" t="str">
        <f>IF('Biên Tập'!C85="","","Biên Tập")</f>
        <v/>
      </c>
      <c r="B281" s="52" t="str">
        <f>IF('Biên Tập'!B85="","",'Biên Tập'!B85)</f>
        <v/>
      </c>
      <c r="C281" s="52" t="str">
        <f>IF('Biên Tập'!C85="","",'Biên Tập'!C85)</f>
        <v/>
      </c>
      <c r="D281" s="52" t="str">
        <f>IF('Biên Tập'!D85="","",'Biên Tập'!D85)</f>
        <v/>
      </c>
      <c r="E281" s="52" t="str">
        <f>IF('Biên Tập'!E85="","",'Biên Tập'!E85)</f>
        <v/>
      </c>
      <c r="F281" s="52" t="str">
        <f>IF('Biên Tập'!F85="","",'Biên Tập'!F85)</f>
        <v/>
      </c>
      <c r="G281" s="52" t="str">
        <f>IF('Biên Tập'!G85="","",'Biên Tập'!G85)</f>
        <v/>
      </c>
      <c r="H281" s="52" t="str">
        <f>IF('Biên Tập'!J85="","",'Biên Tập'!J85)</f>
        <v/>
      </c>
      <c r="I281" s="52" t="str">
        <f>IF('Biên Tập'!M85="","",'Biên Tập'!M85)</f>
        <v/>
      </c>
      <c r="J281" s="52" t="str">
        <f>IF('Biên Tập'!R85="","",'Biên Tập'!R85)</f>
        <v/>
      </c>
      <c r="K281" s="52" t="str">
        <f t="array" ref="K281">IF(COUNTA('Biên Tập'!T85:AE85)=0,"",INDEX('Biên Tập'!T85:AE85,1,SUMPRODUCT(MAX(('Biên Tập'!T85:AE85&lt;&gt;"")*(COLUMN('Biên Tập'!T85:AE85)-COLUMN('Biên Tập'!T85)+1)))))</f>
        <v/>
      </c>
      <c r="L281" s="52" t="str">
        <f>IF(AND(G281&lt;&gt;"",G281='Tổng hợp'!$C$4),MAX(L$1:L280)+1,"")</f>
        <v/>
      </c>
    </row>
    <row r="282" ht="15.75" customHeight="1">
      <c r="A282" s="52" t="str">
        <f>IF('Biên Tập'!C86="","","Biên Tập")</f>
        <v/>
      </c>
      <c r="B282" s="52" t="str">
        <f>IF('Biên Tập'!B86="","",'Biên Tập'!B86)</f>
        <v/>
      </c>
      <c r="C282" s="52" t="str">
        <f>IF('Biên Tập'!C86="","",'Biên Tập'!C86)</f>
        <v/>
      </c>
      <c r="D282" s="52" t="str">
        <f>IF('Biên Tập'!D86="","",'Biên Tập'!D86)</f>
        <v/>
      </c>
      <c r="E282" s="52" t="str">
        <f>IF('Biên Tập'!E86="","",'Biên Tập'!E86)</f>
        <v/>
      </c>
      <c r="F282" s="52" t="str">
        <f>IF('Biên Tập'!F86="","",'Biên Tập'!F86)</f>
        <v/>
      </c>
      <c r="G282" s="52" t="str">
        <f>IF('Biên Tập'!G86="","",'Biên Tập'!G86)</f>
        <v/>
      </c>
      <c r="H282" s="52" t="str">
        <f>IF('Biên Tập'!J86="","",'Biên Tập'!J86)</f>
        <v/>
      </c>
      <c r="I282" s="52" t="str">
        <f>IF('Biên Tập'!M86="","",'Biên Tập'!M86)</f>
        <v/>
      </c>
      <c r="J282" s="52" t="str">
        <f>IF('Biên Tập'!R86="","",'Biên Tập'!R86)</f>
        <v/>
      </c>
      <c r="K282" s="52" t="str">
        <f t="array" ref="K282">IF(COUNTA('Biên Tập'!T86:AE86)=0,"",INDEX('Biên Tập'!T86:AE86,1,SUMPRODUCT(MAX(('Biên Tập'!T86:AE86&lt;&gt;"")*(COLUMN('Biên Tập'!T86:AE86)-COLUMN('Biên Tập'!T86)+1)))))</f>
        <v/>
      </c>
      <c r="L282" s="52" t="str">
        <f>IF(AND(G282&lt;&gt;"",G282='Tổng hợp'!$C$4),MAX(L$1:L281)+1,"")</f>
        <v/>
      </c>
    </row>
    <row r="283" ht="15.75" customHeight="1">
      <c r="A283" s="52" t="str">
        <f>IF('Biên Tập'!C87="","","Biên Tập")</f>
        <v/>
      </c>
      <c r="B283" s="52" t="str">
        <f>IF('Biên Tập'!B87="","",'Biên Tập'!B87)</f>
        <v/>
      </c>
      <c r="C283" s="52" t="str">
        <f>IF('Biên Tập'!C87="","",'Biên Tập'!C87)</f>
        <v/>
      </c>
      <c r="D283" s="52" t="str">
        <f>IF('Biên Tập'!D87="","",'Biên Tập'!D87)</f>
        <v/>
      </c>
      <c r="E283" s="52" t="str">
        <f>IF('Biên Tập'!E87="","",'Biên Tập'!E87)</f>
        <v/>
      </c>
      <c r="F283" s="52" t="str">
        <f>IF('Biên Tập'!F87="","",'Biên Tập'!F87)</f>
        <v/>
      </c>
      <c r="G283" s="52" t="str">
        <f>IF('Biên Tập'!G87="","",'Biên Tập'!G87)</f>
        <v/>
      </c>
      <c r="H283" s="52" t="str">
        <f>IF('Biên Tập'!J87="","",'Biên Tập'!J87)</f>
        <v/>
      </c>
      <c r="I283" s="52" t="str">
        <f>IF('Biên Tập'!M87="","",'Biên Tập'!M87)</f>
        <v/>
      </c>
      <c r="J283" s="52" t="str">
        <f>IF('Biên Tập'!R87="","",'Biên Tập'!R87)</f>
        <v/>
      </c>
      <c r="K283" s="52" t="str">
        <f t="array" ref="K283">IF(COUNTA('Biên Tập'!T87:AE87)=0,"",INDEX('Biên Tập'!T87:AE87,1,SUMPRODUCT(MAX(('Biên Tập'!T87:AE87&lt;&gt;"")*(COLUMN('Biên Tập'!T87:AE87)-COLUMN('Biên Tập'!T87)+1)))))</f>
        <v/>
      </c>
      <c r="L283" s="52" t="str">
        <f>IF(AND(G283&lt;&gt;"",G283='Tổng hợp'!$C$4),MAX(L$1:L282)+1,"")</f>
        <v/>
      </c>
    </row>
    <row r="284" ht="15.75" customHeight="1">
      <c r="A284" s="52" t="str">
        <f>IF('Biên Tập'!C88="","","Biên Tập")</f>
        <v/>
      </c>
      <c r="B284" s="52" t="str">
        <f>IF('Biên Tập'!B88="","",'Biên Tập'!B88)</f>
        <v/>
      </c>
      <c r="C284" s="52" t="str">
        <f>IF('Biên Tập'!C88="","",'Biên Tập'!C88)</f>
        <v/>
      </c>
      <c r="D284" s="52" t="str">
        <f>IF('Biên Tập'!D88="","",'Biên Tập'!D88)</f>
        <v/>
      </c>
      <c r="E284" s="52" t="str">
        <f>IF('Biên Tập'!E88="","",'Biên Tập'!E88)</f>
        <v/>
      </c>
      <c r="F284" s="52" t="str">
        <f>IF('Biên Tập'!F88="","",'Biên Tập'!F88)</f>
        <v/>
      </c>
      <c r="G284" s="52" t="str">
        <f>IF('Biên Tập'!G88="","",'Biên Tập'!G88)</f>
        <v/>
      </c>
      <c r="H284" s="52" t="str">
        <f>IF('Biên Tập'!J88="","",'Biên Tập'!J88)</f>
        <v/>
      </c>
      <c r="I284" s="52" t="str">
        <f>IF('Biên Tập'!M88="","",'Biên Tập'!M88)</f>
        <v/>
      </c>
      <c r="J284" s="52" t="str">
        <f>IF('Biên Tập'!R88="","",'Biên Tập'!R88)</f>
        <v/>
      </c>
      <c r="K284" s="52" t="str">
        <f t="array" ref="K284">IF(COUNTA('Biên Tập'!T88:AE88)=0,"",INDEX('Biên Tập'!T88:AE88,1,SUMPRODUCT(MAX(('Biên Tập'!T88:AE88&lt;&gt;"")*(COLUMN('Biên Tập'!T88:AE88)-COLUMN('Biên Tập'!T88)+1)))))</f>
        <v/>
      </c>
      <c r="L284" s="52" t="str">
        <f>IF(AND(G284&lt;&gt;"",G284='Tổng hợp'!$C$4),MAX(L$1:L283)+1,"")</f>
        <v/>
      </c>
    </row>
    <row r="285" ht="15.75" customHeight="1">
      <c r="A285" s="52" t="str">
        <f>IF('Biên Tập'!C89="","","Biên Tập")</f>
        <v/>
      </c>
      <c r="B285" s="52" t="str">
        <f>IF('Biên Tập'!B89="","",'Biên Tập'!B89)</f>
        <v/>
      </c>
      <c r="C285" s="52" t="str">
        <f>IF('Biên Tập'!C89="","",'Biên Tập'!C89)</f>
        <v/>
      </c>
      <c r="D285" s="52" t="str">
        <f>IF('Biên Tập'!D89="","",'Biên Tập'!D89)</f>
        <v/>
      </c>
      <c r="E285" s="52" t="str">
        <f>IF('Biên Tập'!E89="","",'Biên Tập'!E89)</f>
        <v/>
      </c>
      <c r="F285" s="52" t="str">
        <f>IF('Biên Tập'!F89="","",'Biên Tập'!F89)</f>
        <v/>
      </c>
      <c r="G285" s="52" t="str">
        <f>IF('Biên Tập'!G89="","",'Biên Tập'!G89)</f>
        <v/>
      </c>
      <c r="H285" s="52" t="str">
        <f>IF('Biên Tập'!J89="","",'Biên Tập'!J89)</f>
        <v/>
      </c>
      <c r="I285" s="52" t="str">
        <f>IF('Biên Tập'!M89="","",'Biên Tập'!M89)</f>
        <v/>
      </c>
      <c r="J285" s="52" t="str">
        <f>IF('Biên Tập'!R89="","",'Biên Tập'!R89)</f>
        <v/>
      </c>
      <c r="K285" s="52" t="str">
        <f t="array" ref="K285">IF(COUNTA('Biên Tập'!T89:AE89)=0,"",INDEX('Biên Tập'!T89:AE89,1,SUMPRODUCT(MAX(('Biên Tập'!T89:AE89&lt;&gt;"")*(COLUMN('Biên Tập'!T89:AE89)-COLUMN('Biên Tập'!T89)+1)))))</f>
        <v/>
      </c>
      <c r="L285" s="52" t="str">
        <f>IF(AND(G285&lt;&gt;"",G285='Tổng hợp'!$C$4),MAX(L$1:L284)+1,"")</f>
        <v/>
      </c>
    </row>
    <row r="286" ht="15.75" customHeight="1">
      <c r="A286" s="52" t="str">
        <f>IF('Biên Tập'!C90="","","Biên Tập")</f>
        <v/>
      </c>
      <c r="B286" s="52" t="str">
        <f>IF('Biên Tập'!B90="","",'Biên Tập'!B90)</f>
        <v/>
      </c>
      <c r="C286" s="52" t="str">
        <f>IF('Biên Tập'!C90="","",'Biên Tập'!C90)</f>
        <v/>
      </c>
      <c r="D286" s="52" t="str">
        <f>IF('Biên Tập'!D90="","",'Biên Tập'!D90)</f>
        <v/>
      </c>
      <c r="E286" s="52" t="str">
        <f>IF('Biên Tập'!E90="","",'Biên Tập'!E90)</f>
        <v/>
      </c>
      <c r="F286" s="52" t="str">
        <f>IF('Biên Tập'!F90="","",'Biên Tập'!F90)</f>
        <v/>
      </c>
      <c r="G286" s="52" t="str">
        <f>IF('Biên Tập'!G90="","",'Biên Tập'!G90)</f>
        <v/>
      </c>
      <c r="H286" s="52" t="str">
        <f>IF('Biên Tập'!J90="","",'Biên Tập'!J90)</f>
        <v/>
      </c>
      <c r="I286" s="52" t="str">
        <f>IF('Biên Tập'!M90="","",'Biên Tập'!M90)</f>
        <v/>
      </c>
      <c r="J286" s="52" t="str">
        <f>IF('Biên Tập'!R90="","",'Biên Tập'!R90)</f>
        <v/>
      </c>
      <c r="K286" s="52" t="str">
        <f t="array" ref="K286">IF(COUNTA('Biên Tập'!T90:AE90)=0,"",INDEX('Biên Tập'!T90:AE90,1,SUMPRODUCT(MAX(('Biên Tập'!T90:AE90&lt;&gt;"")*(COLUMN('Biên Tập'!T90:AE90)-COLUMN('Biên Tập'!T90)+1)))))</f>
        <v/>
      </c>
      <c r="L286" s="52" t="str">
        <f>IF(AND(G286&lt;&gt;"",G286='Tổng hợp'!$C$4),MAX(L$1:L285)+1,"")</f>
        <v/>
      </c>
    </row>
    <row r="287" ht="15.75" customHeight="1">
      <c r="A287" s="52" t="str">
        <f>IF('Biên Tập'!C91="","","Biên Tập")</f>
        <v/>
      </c>
      <c r="B287" s="52" t="str">
        <f>IF('Biên Tập'!B91="","",'Biên Tập'!B91)</f>
        <v/>
      </c>
      <c r="C287" s="52" t="str">
        <f>IF('Biên Tập'!C91="","",'Biên Tập'!C91)</f>
        <v/>
      </c>
      <c r="D287" s="52" t="str">
        <f>IF('Biên Tập'!D91="","",'Biên Tập'!D91)</f>
        <v/>
      </c>
      <c r="E287" s="52" t="str">
        <f>IF('Biên Tập'!E91="","",'Biên Tập'!E91)</f>
        <v/>
      </c>
      <c r="F287" s="52" t="str">
        <f>IF('Biên Tập'!F91="","",'Biên Tập'!F91)</f>
        <v/>
      </c>
      <c r="G287" s="52" t="str">
        <f>IF('Biên Tập'!G91="","",'Biên Tập'!G91)</f>
        <v/>
      </c>
      <c r="H287" s="52" t="str">
        <f>IF('Biên Tập'!J91="","",'Biên Tập'!J91)</f>
        <v/>
      </c>
      <c r="I287" s="52" t="str">
        <f>IF('Biên Tập'!M91="","",'Biên Tập'!M91)</f>
        <v/>
      </c>
      <c r="J287" s="52" t="str">
        <f>IF('Biên Tập'!R91="","",'Biên Tập'!R91)</f>
        <v/>
      </c>
      <c r="K287" s="52" t="str">
        <f t="array" ref="K287">IF(COUNTA('Biên Tập'!T91:AE91)=0,"",INDEX('Biên Tập'!T91:AE91,1,SUMPRODUCT(MAX(('Biên Tập'!T91:AE91&lt;&gt;"")*(COLUMN('Biên Tập'!T91:AE91)-COLUMN('Biên Tập'!T91)+1)))))</f>
        <v/>
      </c>
      <c r="L287" s="52" t="str">
        <f>IF(AND(G287&lt;&gt;"",G287='Tổng hợp'!$C$4),MAX(L$1:L286)+1,"")</f>
        <v/>
      </c>
    </row>
    <row r="288" ht="15.75" customHeight="1">
      <c r="A288" s="52" t="str">
        <f>IF('Biên Tập'!C92="","","Biên Tập")</f>
        <v/>
      </c>
      <c r="B288" s="52" t="str">
        <f>IF('Biên Tập'!B92="","",'Biên Tập'!B92)</f>
        <v/>
      </c>
      <c r="C288" s="52" t="str">
        <f>IF('Biên Tập'!C92="","",'Biên Tập'!C92)</f>
        <v/>
      </c>
      <c r="D288" s="52" t="str">
        <f>IF('Biên Tập'!D92="","",'Biên Tập'!D92)</f>
        <v/>
      </c>
      <c r="E288" s="52" t="str">
        <f>IF('Biên Tập'!E92="","",'Biên Tập'!E92)</f>
        <v/>
      </c>
      <c r="F288" s="52" t="str">
        <f>IF('Biên Tập'!F92="","",'Biên Tập'!F92)</f>
        <v/>
      </c>
      <c r="G288" s="52" t="str">
        <f>IF('Biên Tập'!G92="","",'Biên Tập'!G92)</f>
        <v/>
      </c>
      <c r="H288" s="52" t="str">
        <f>IF('Biên Tập'!J92="","",'Biên Tập'!J92)</f>
        <v/>
      </c>
      <c r="I288" s="52" t="str">
        <f>IF('Biên Tập'!M92="","",'Biên Tập'!M92)</f>
        <v/>
      </c>
      <c r="J288" s="52" t="str">
        <f>IF('Biên Tập'!R92="","",'Biên Tập'!R92)</f>
        <v/>
      </c>
      <c r="K288" s="52" t="str">
        <f t="array" ref="K288">IF(COUNTA('Biên Tập'!T92:AE92)=0,"",INDEX('Biên Tập'!T92:AE92,1,SUMPRODUCT(MAX(('Biên Tập'!T92:AE92&lt;&gt;"")*(COLUMN('Biên Tập'!T92:AE92)-COLUMN('Biên Tập'!T92)+1)))))</f>
        <v/>
      </c>
      <c r="L288" s="52" t="str">
        <f>IF(AND(G288&lt;&gt;"",G288='Tổng hợp'!$C$4),MAX(L$1:L287)+1,"")</f>
        <v/>
      </c>
    </row>
    <row r="289" ht="15.75" customHeight="1">
      <c r="A289" s="52" t="str">
        <f>IF('Biên Tập'!C93="","","Biên Tập")</f>
        <v/>
      </c>
      <c r="B289" s="52" t="str">
        <f>IF('Biên Tập'!B93="","",'Biên Tập'!B93)</f>
        <v/>
      </c>
      <c r="C289" s="52" t="str">
        <f>IF('Biên Tập'!C93="","",'Biên Tập'!C93)</f>
        <v/>
      </c>
      <c r="D289" s="52" t="str">
        <f>IF('Biên Tập'!D93="","",'Biên Tập'!D93)</f>
        <v/>
      </c>
      <c r="E289" s="52" t="str">
        <f>IF('Biên Tập'!E93="","",'Biên Tập'!E93)</f>
        <v/>
      </c>
      <c r="F289" s="52" t="str">
        <f>IF('Biên Tập'!F93="","",'Biên Tập'!F93)</f>
        <v/>
      </c>
      <c r="G289" s="52" t="str">
        <f>IF('Biên Tập'!G93="","",'Biên Tập'!G93)</f>
        <v/>
      </c>
      <c r="H289" s="52" t="str">
        <f>IF('Biên Tập'!J93="","",'Biên Tập'!J93)</f>
        <v/>
      </c>
      <c r="I289" s="52" t="str">
        <f>IF('Biên Tập'!M93="","",'Biên Tập'!M93)</f>
        <v/>
      </c>
      <c r="J289" s="52" t="str">
        <f>IF('Biên Tập'!R93="","",'Biên Tập'!R93)</f>
        <v/>
      </c>
      <c r="K289" s="52" t="str">
        <f t="array" ref="K289">IF(COUNTA('Biên Tập'!T93:AE93)=0,"",INDEX('Biên Tập'!T93:AE93,1,SUMPRODUCT(MAX(('Biên Tập'!T93:AE93&lt;&gt;"")*(COLUMN('Biên Tập'!T93:AE93)-COLUMN('Biên Tập'!T93)+1)))))</f>
        <v/>
      </c>
      <c r="L289" s="52" t="str">
        <f>IF(AND(G289&lt;&gt;"",G289='Tổng hợp'!$C$4),MAX(L$1:L288)+1,"")</f>
        <v/>
      </c>
    </row>
    <row r="290" ht="15.75" customHeight="1">
      <c r="A290" s="52" t="str">
        <f>IF('Biên Tập'!C94="","","Biên Tập")</f>
        <v/>
      </c>
      <c r="B290" s="52" t="str">
        <f>IF('Biên Tập'!B94="","",'Biên Tập'!B94)</f>
        <v/>
      </c>
      <c r="C290" s="52" t="str">
        <f>IF('Biên Tập'!C94="","",'Biên Tập'!C94)</f>
        <v/>
      </c>
      <c r="D290" s="52" t="str">
        <f>IF('Biên Tập'!D94="","",'Biên Tập'!D94)</f>
        <v/>
      </c>
      <c r="E290" s="52" t="str">
        <f>IF('Biên Tập'!E94="","",'Biên Tập'!E94)</f>
        <v/>
      </c>
      <c r="F290" s="52" t="str">
        <f>IF('Biên Tập'!F94="","",'Biên Tập'!F94)</f>
        <v/>
      </c>
      <c r="G290" s="52" t="str">
        <f>IF('Biên Tập'!G94="","",'Biên Tập'!G94)</f>
        <v/>
      </c>
      <c r="H290" s="52" t="str">
        <f>IF('Biên Tập'!J94="","",'Biên Tập'!J94)</f>
        <v/>
      </c>
      <c r="I290" s="52" t="str">
        <f>IF('Biên Tập'!M94="","",'Biên Tập'!M94)</f>
        <v/>
      </c>
      <c r="J290" s="52" t="str">
        <f>IF('Biên Tập'!R94="","",'Biên Tập'!R94)</f>
        <v/>
      </c>
      <c r="K290" s="52" t="str">
        <f t="array" ref="K290">IF(COUNTA('Biên Tập'!T94:AE94)=0,"",INDEX('Biên Tập'!T94:AE94,1,SUMPRODUCT(MAX(('Biên Tập'!T94:AE94&lt;&gt;"")*(COLUMN('Biên Tập'!T94:AE94)-COLUMN('Biên Tập'!T94)+1)))))</f>
        <v/>
      </c>
      <c r="L290" s="52" t="str">
        <f>IF(AND(G290&lt;&gt;"",G290='Tổng hợp'!$C$4),MAX(L$1:L289)+1,"")</f>
        <v/>
      </c>
    </row>
    <row r="291" ht="15.75" customHeight="1">
      <c r="A291" s="52" t="str">
        <f>IF('Biên Tập'!C95="","","Biên Tập")</f>
        <v/>
      </c>
      <c r="B291" s="52" t="str">
        <f>IF('Biên Tập'!B95="","",'Biên Tập'!B95)</f>
        <v/>
      </c>
      <c r="C291" s="52" t="str">
        <f>IF('Biên Tập'!C95="","",'Biên Tập'!C95)</f>
        <v/>
      </c>
      <c r="D291" s="52" t="str">
        <f>IF('Biên Tập'!D95="","",'Biên Tập'!D95)</f>
        <v/>
      </c>
      <c r="E291" s="52" t="str">
        <f>IF('Biên Tập'!E95="","",'Biên Tập'!E95)</f>
        <v/>
      </c>
      <c r="F291" s="52" t="str">
        <f>IF('Biên Tập'!F95="","",'Biên Tập'!F95)</f>
        <v/>
      </c>
      <c r="G291" s="52" t="str">
        <f>IF('Biên Tập'!G95="","",'Biên Tập'!G95)</f>
        <v/>
      </c>
      <c r="H291" s="52" t="str">
        <f>IF('Biên Tập'!J95="","",'Biên Tập'!J95)</f>
        <v/>
      </c>
      <c r="I291" s="52" t="str">
        <f>IF('Biên Tập'!M95="","",'Biên Tập'!M95)</f>
        <v/>
      </c>
      <c r="J291" s="52" t="str">
        <f>IF('Biên Tập'!R95="","",'Biên Tập'!R95)</f>
        <v/>
      </c>
      <c r="K291" s="52" t="str">
        <f t="array" ref="K291">IF(COUNTA('Biên Tập'!T95:AE95)=0,"",INDEX('Biên Tập'!T95:AE95,1,SUMPRODUCT(MAX(('Biên Tập'!T95:AE95&lt;&gt;"")*(COLUMN('Biên Tập'!T95:AE95)-COLUMN('Biên Tập'!T95)+1)))))</f>
        <v/>
      </c>
      <c r="L291" s="52" t="str">
        <f>IF(AND(G291&lt;&gt;"",G291='Tổng hợp'!$C$4),MAX(L$1:L290)+1,"")</f>
        <v/>
      </c>
    </row>
    <row r="292" ht="15.75" customHeight="1">
      <c r="A292" s="52" t="str">
        <f>IF('Biên Tập'!C96="","","Biên Tập")</f>
        <v/>
      </c>
      <c r="B292" s="52" t="str">
        <f>IF('Biên Tập'!B96="","",'Biên Tập'!B96)</f>
        <v/>
      </c>
      <c r="C292" s="52" t="str">
        <f>IF('Biên Tập'!C96="","",'Biên Tập'!C96)</f>
        <v/>
      </c>
      <c r="D292" s="52" t="str">
        <f>IF('Biên Tập'!D96="","",'Biên Tập'!D96)</f>
        <v/>
      </c>
      <c r="E292" s="52" t="str">
        <f>IF('Biên Tập'!E96="","",'Biên Tập'!E96)</f>
        <v/>
      </c>
      <c r="F292" s="52" t="str">
        <f>IF('Biên Tập'!F96="","",'Biên Tập'!F96)</f>
        <v/>
      </c>
      <c r="G292" s="52" t="str">
        <f>IF('Biên Tập'!G96="","",'Biên Tập'!G96)</f>
        <v/>
      </c>
      <c r="H292" s="52" t="str">
        <f>IF('Biên Tập'!J96="","",'Biên Tập'!J96)</f>
        <v/>
      </c>
      <c r="I292" s="52" t="str">
        <f>IF('Biên Tập'!M96="","",'Biên Tập'!M96)</f>
        <v/>
      </c>
      <c r="J292" s="52" t="str">
        <f>IF('Biên Tập'!R96="","",'Biên Tập'!R96)</f>
        <v/>
      </c>
      <c r="K292" s="52" t="str">
        <f t="array" ref="K292">IF(COUNTA('Biên Tập'!T96:AE96)=0,"",INDEX('Biên Tập'!T96:AE96,1,SUMPRODUCT(MAX(('Biên Tập'!T96:AE96&lt;&gt;"")*(COLUMN('Biên Tập'!T96:AE96)-COLUMN('Biên Tập'!T96)+1)))))</f>
        <v/>
      </c>
      <c r="L292" s="52" t="str">
        <f>IF(AND(G292&lt;&gt;"",G292='Tổng hợp'!$C$4),MAX(L$1:L291)+1,"")</f>
        <v/>
      </c>
    </row>
    <row r="293" ht="15.75" customHeight="1">
      <c r="A293" s="52" t="str">
        <f>IF('Biên Tập'!C97="","","Biên Tập")</f>
        <v/>
      </c>
      <c r="B293" s="52" t="str">
        <f>IF('Biên Tập'!B97="","",'Biên Tập'!B97)</f>
        <v/>
      </c>
      <c r="C293" s="52" t="str">
        <f>IF('Biên Tập'!C97="","",'Biên Tập'!C97)</f>
        <v/>
      </c>
      <c r="D293" s="52" t="str">
        <f>IF('Biên Tập'!D97="","",'Biên Tập'!D97)</f>
        <v/>
      </c>
      <c r="E293" s="52" t="str">
        <f>IF('Biên Tập'!E97="","",'Biên Tập'!E97)</f>
        <v/>
      </c>
      <c r="F293" s="52" t="str">
        <f>IF('Biên Tập'!F97="","",'Biên Tập'!F97)</f>
        <v/>
      </c>
      <c r="G293" s="52" t="str">
        <f>IF('Biên Tập'!G97="","",'Biên Tập'!G97)</f>
        <v/>
      </c>
      <c r="H293" s="52" t="str">
        <f>IF('Biên Tập'!J97="","",'Biên Tập'!J97)</f>
        <v/>
      </c>
      <c r="I293" s="52" t="str">
        <f>IF('Biên Tập'!M97="","",'Biên Tập'!M97)</f>
        <v/>
      </c>
      <c r="J293" s="52" t="str">
        <f>IF('Biên Tập'!R97="","",'Biên Tập'!R97)</f>
        <v/>
      </c>
      <c r="K293" s="52" t="str">
        <f t="array" ref="K293">IF(COUNTA('Biên Tập'!T97:AE97)=0,"",INDEX('Biên Tập'!T97:AE97,1,SUMPRODUCT(MAX(('Biên Tập'!T97:AE97&lt;&gt;"")*(COLUMN('Biên Tập'!T97:AE97)-COLUMN('Biên Tập'!T97)+1)))))</f>
        <v/>
      </c>
      <c r="L293" s="52" t="str">
        <f>IF(AND(G293&lt;&gt;"",G293='Tổng hợp'!$C$4),MAX(L$1:L292)+1,"")</f>
        <v/>
      </c>
    </row>
    <row r="294" ht="15.75" customHeight="1">
      <c r="A294" s="52" t="str">
        <f>IF('Biên Tập'!C98="","","Biên Tập")</f>
        <v/>
      </c>
      <c r="B294" s="52" t="str">
        <f>IF('Biên Tập'!B98="","",'Biên Tập'!B98)</f>
        <v/>
      </c>
      <c r="C294" s="52" t="str">
        <f>IF('Biên Tập'!C98="","",'Biên Tập'!C98)</f>
        <v/>
      </c>
      <c r="D294" s="52" t="str">
        <f>IF('Biên Tập'!D98="","",'Biên Tập'!D98)</f>
        <v/>
      </c>
      <c r="E294" s="52" t="str">
        <f>IF('Biên Tập'!E98="","",'Biên Tập'!E98)</f>
        <v/>
      </c>
      <c r="F294" s="52" t="str">
        <f>IF('Biên Tập'!F98="","",'Biên Tập'!F98)</f>
        <v/>
      </c>
      <c r="G294" s="52" t="str">
        <f>IF('Biên Tập'!G98="","",'Biên Tập'!G98)</f>
        <v/>
      </c>
      <c r="H294" s="52" t="str">
        <f>IF('Biên Tập'!J98="","",'Biên Tập'!J98)</f>
        <v/>
      </c>
      <c r="I294" s="52" t="str">
        <f>IF('Biên Tập'!M98="","",'Biên Tập'!M98)</f>
        <v/>
      </c>
      <c r="J294" s="52" t="str">
        <f>IF('Biên Tập'!R98="","",'Biên Tập'!R98)</f>
        <v/>
      </c>
      <c r="K294" s="52" t="str">
        <f t="array" ref="K294">IF(COUNTA('Biên Tập'!T98:AE98)=0,"",INDEX('Biên Tập'!T98:AE98,1,SUMPRODUCT(MAX(('Biên Tập'!T98:AE98&lt;&gt;"")*(COLUMN('Biên Tập'!T98:AE98)-COLUMN('Biên Tập'!T98)+1)))))</f>
        <v/>
      </c>
      <c r="L294" s="52" t="str">
        <f>IF(AND(G294&lt;&gt;"",G294='Tổng hợp'!$C$4),MAX(L$1:L293)+1,"")</f>
        <v/>
      </c>
    </row>
    <row r="295" ht="15.75" customHeight="1">
      <c r="A295" s="52" t="str">
        <f>IF('Biên Tập'!C99="","","Biên Tập")</f>
        <v/>
      </c>
      <c r="B295" s="52" t="str">
        <f>IF('Biên Tập'!B99="","",'Biên Tập'!B99)</f>
        <v/>
      </c>
      <c r="C295" s="52" t="str">
        <f>IF('Biên Tập'!C99="","",'Biên Tập'!C99)</f>
        <v/>
      </c>
      <c r="D295" s="52" t="str">
        <f>IF('Biên Tập'!D99="","",'Biên Tập'!D99)</f>
        <v/>
      </c>
      <c r="E295" s="52" t="str">
        <f>IF('Biên Tập'!E99="","",'Biên Tập'!E99)</f>
        <v/>
      </c>
      <c r="F295" s="52" t="str">
        <f>IF('Biên Tập'!F99="","",'Biên Tập'!F99)</f>
        <v/>
      </c>
      <c r="G295" s="52" t="str">
        <f>IF('Biên Tập'!G99="","",'Biên Tập'!G99)</f>
        <v/>
      </c>
      <c r="H295" s="52" t="str">
        <f>IF('Biên Tập'!J99="","",'Biên Tập'!J99)</f>
        <v/>
      </c>
      <c r="I295" s="52" t="str">
        <f>IF('Biên Tập'!M99="","",'Biên Tập'!M99)</f>
        <v/>
      </c>
      <c r="J295" s="52" t="str">
        <f>IF('Biên Tập'!R99="","",'Biên Tập'!R99)</f>
        <v/>
      </c>
      <c r="K295" s="52" t="str">
        <f t="array" ref="K295">IF(COUNTA('Biên Tập'!T99:AE99)=0,"",INDEX('Biên Tập'!T99:AE99,1,SUMPRODUCT(MAX(('Biên Tập'!T99:AE99&lt;&gt;"")*(COLUMN('Biên Tập'!T99:AE99)-COLUMN('Biên Tập'!T99)+1)))))</f>
        <v/>
      </c>
      <c r="L295" s="52" t="str">
        <f>IF(AND(G295&lt;&gt;"",G295='Tổng hợp'!$C$4),MAX(L$1:L294)+1,"")</f>
        <v/>
      </c>
    </row>
    <row r="296" ht="15.75" customHeight="1">
      <c r="A296" s="52" t="str">
        <f>IF('Biên Tập'!C100="","","Biên Tập")</f>
        <v/>
      </c>
      <c r="B296" s="52" t="str">
        <f>IF('Biên Tập'!B100="","",'Biên Tập'!B100)</f>
        <v/>
      </c>
      <c r="C296" s="52" t="str">
        <f>IF('Biên Tập'!C100="","",'Biên Tập'!C100)</f>
        <v/>
      </c>
      <c r="D296" s="52" t="str">
        <f>IF('Biên Tập'!D100="","",'Biên Tập'!D100)</f>
        <v/>
      </c>
      <c r="E296" s="52" t="str">
        <f>IF('Biên Tập'!E100="","",'Biên Tập'!E100)</f>
        <v/>
      </c>
      <c r="F296" s="52" t="str">
        <f>IF('Biên Tập'!F100="","",'Biên Tập'!F100)</f>
        <v/>
      </c>
      <c r="G296" s="52" t="str">
        <f>IF('Biên Tập'!G100="","",'Biên Tập'!G100)</f>
        <v/>
      </c>
      <c r="H296" s="52" t="str">
        <f>IF('Biên Tập'!J100="","",'Biên Tập'!J100)</f>
        <v/>
      </c>
      <c r="I296" s="52" t="str">
        <f>IF('Biên Tập'!M100="","",'Biên Tập'!M100)</f>
        <v/>
      </c>
      <c r="J296" s="52" t="str">
        <f>IF('Biên Tập'!R100="","",'Biên Tập'!R100)</f>
        <v/>
      </c>
      <c r="K296" s="52" t="str">
        <f t="array" ref="K296">IF(COUNTA('Biên Tập'!T100:AE100)=0,"",INDEX('Biên Tập'!T100:AE100,1,SUMPRODUCT(MAX(('Biên Tập'!T100:AE100&lt;&gt;"")*(COLUMN('Biên Tập'!T100:AE100)-COLUMN('Biên Tập'!T100)+1)))))</f>
        <v/>
      </c>
      <c r="L296" s="52" t="str">
        <f>IF(AND(G296&lt;&gt;"",G296='Tổng hợp'!$C$4),MAX(L$1:L295)+1,"")</f>
        <v/>
      </c>
    </row>
    <row r="297" ht="15.75" customHeight="1">
      <c r="A297" s="52" t="str">
        <f>IF('Biên Tập'!C101="","","Biên Tập")</f>
        <v/>
      </c>
      <c r="B297" s="52" t="str">
        <f>IF('Biên Tập'!B101="","",'Biên Tập'!B101)</f>
        <v/>
      </c>
      <c r="C297" s="52" t="str">
        <f>IF('Biên Tập'!C101="","",'Biên Tập'!C101)</f>
        <v/>
      </c>
      <c r="D297" s="52" t="str">
        <f>IF('Biên Tập'!D101="","",'Biên Tập'!D101)</f>
        <v/>
      </c>
      <c r="E297" s="52" t="str">
        <f>IF('Biên Tập'!E101="","",'Biên Tập'!E101)</f>
        <v/>
      </c>
      <c r="F297" s="52" t="str">
        <f>IF('Biên Tập'!F101="","",'Biên Tập'!F101)</f>
        <v/>
      </c>
      <c r="G297" s="52" t="str">
        <f>IF('Biên Tập'!G101="","",'Biên Tập'!G101)</f>
        <v/>
      </c>
      <c r="H297" s="52" t="str">
        <f>IF('Biên Tập'!J101="","",'Biên Tập'!J101)</f>
        <v/>
      </c>
      <c r="I297" s="52" t="str">
        <f>IF('Biên Tập'!M101="","",'Biên Tập'!M101)</f>
        <v/>
      </c>
      <c r="J297" s="52" t="str">
        <f>IF('Biên Tập'!R101="","",'Biên Tập'!R101)</f>
        <v/>
      </c>
      <c r="K297" s="52" t="str">
        <f t="array" ref="K297">IF(COUNTA('Biên Tập'!T101:AE101)=0,"",INDEX('Biên Tập'!T101:AE101,1,SUMPRODUCT(MAX(('Biên Tập'!T101:AE101&lt;&gt;"")*(COLUMN('Biên Tập'!T101:AE101)-COLUMN('Biên Tập'!T101)+1)))))</f>
        <v/>
      </c>
      <c r="L297" s="52" t="str">
        <f>IF(AND(G297&lt;&gt;"",G297='Tổng hợp'!$C$4),MAX(L$1:L296)+1,"")</f>
        <v/>
      </c>
    </row>
    <row r="298" ht="15.75" customHeight="1">
      <c r="A298" s="52" t="str">
        <f>IF('Biên Tập'!C102="","","Biên Tập")</f>
        <v/>
      </c>
      <c r="B298" s="52" t="str">
        <f>IF('Biên Tập'!B102="","",'Biên Tập'!B102)</f>
        <v/>
      </c>
      <c r="C298" s="52" t="str">
        <f>IF('Biên Tập'!C102="","",'Biên Tập'!C102)</f>
        <v/>
      </c>
      <c r="D298" s="52" t="str">
        <f>IF('Biên Tập'!D102="","",'Biên Tập'!D102)</f>
        <v/>
      </c>
      <c r="E298" s="52" t="str">
        <f>IF('Biên Tập'!E102="","",'Biên Tập'!E102)</f>
        <v/>
      </c>
      <c r="F298" s="52" t="str">
        <f>IF('Biên Tập'!F102="","",'Biên Tập'!F102)</f>
        <v/>
      </c>
      <c r="G298" s="52" t="str">
        <f>IF('Biên Tập'!G102="","",'Biên Tập'!G102)</f>
        <v/>
      </c>
      <c r="H298" s="52" t="str">
        <f>IF('Biên Tập'!J102="","",'Biên Tập'!J102)</f>
        <v/>
      </c>
      <c r="I298" s="52" t="str">
        <f>IF('Biên Tập'!M102="","",'Biên Tập'!M102)</f>
        <v/>
      </c>
      <c r="J298" s="52" t="str">
        <f>IF('Biên Tập'!R102="","",'Biên Tập'!R102)</f>
        <v/>
      </c>
      <c r="K298" s="52" t="str">
        <f t="array" ref="K298">IF(COUNTA('Biên Tập'!T102:AE102)=0,"",INDEX('Biên Tập'!T102:AE102,1,SUMPRODUCT(MAX(('Biên Tập'!T102:AE102&lt;&gt;"")*(COLUMN('Biên Tập'!T102:AE102)-COLUMN('Biên Tập'!T102)+1)))))</f>
        <v/>
      </c>
      <c r="L298" s="52" t="str">
        <f>IF(AND(G298&lt;&gt;"",G298='Tổng hợp'!$C$4),MAX(L$1:L297)+1,"")</f>
        <v/>
      </c>
    </row>
    <row r="299" ht="15.75" customHeight="1">
      <c r="A299" s="52" t="str">
        <f>IF('Biên Tập'!C103="","","Biên Tập")</f>
        <v/>
      </c>
      <c r="B299" s="52" t="str">
        <f>IF('Biên Tập'!B103="","",'Biên Tập'!B103)</f>
        <v/>
      </c>
      <c r="C299" s="52" t="str">
        <f>IF('Biên Tập'!C103="","",'Biên Tập'!C103)</f>
        <v/>
      </c>
      <c r="D299" s="52" t="str">
        <f>IF('Biên Tập'!D103="","",'Biên Tập'!D103)</f>
        <v/>
      </c>
      <c r="E299" s="52" t="str">
        <f>IF('Biên Tập'!E103="","",'Biên Tập'!E103)</f>
        <v/>
      </c>
      <c r="F299" s="52" t="str">
        <f>IF('Biên Tập'!F103="","",'Biên Tập'!F103)</f>
        <v/>
      </c>
      <c r="G299" s="52" t="str">
        <f>IF('Biên Tập'!G103="","",'Biên Tập'!G103)</f>
        <v/>
      </c>
      <c r="H299" s="52" t="str">
        <f>IF('Biên Tập'!J103="","",'Biên Tập'!J103)</f>
        <v/>
      </c>
      <c r="I299" s="52" t="str">
        <f>IF('Biên Tập'!M103="","",'Biên Tập'!M103)</f>
        <v/>
      </c>
      <c r="J299" s="52" t="str">
        <f>IF('Biên Tập'!R103="","",'Biên Tập'!R103)</f>
        <v/>
      </c>
      <c r="K299" s="52" t="str">
        <f t="array" ref="K299">IF(COUNTA('Biên Tập'!T103:AE103)=0,"",INDEX('Biên Tập'!T103:AE103,1,SUMPRODUCT(MAX(('Biên Tập'!T103:AE103&lt;&gt;"")*(COLUMN('Biên Tập'!T103:AE103)-COLUMN('Biên Tập'!T103)+1)))))</f>
        <v/>
      </c>
      <c r="L299" s="52" t="str">
        <f>IF(AND(G299&lt;&gt;"",G299='Tổng hợp'!$C$4),MAX(L$1:L298)+1,"")</f>
        <v/>
      </c>
    </row>
    <row r="300" ht="15.75" customHeight="1">
      <c r="A300" s="52" t="str">
        <f>IF('Biên Tập'!C104="","","Biên Tập")</f>
        <v/>
      </c>
      <c r="B300" s="52" t="str">
        <f>IF('Biên Tập'!B104="","",'Biên Tập'!B104)</f>
        <v/>
      </c>
      <c r="C300" s="52" t="str">
        <f>IF('Biên Tập'!C104="","",'Biên Tập'!C104)</f>
        <v/>
      </c>
      <c r="D300" s="52" t="str">
        <f>IF('Biên Tập'!D104="","",'Biên Tập'!D104)</f>
        <v/>
      </c>
      <c r="E300" s="52" t="str">
        <f>IF('Biên Tập'!E104="","",'Biên Tập'!E104)</f>
        <v/>
      </c>
      <c r="F300" s="52" t="str">
        <f>IF('Biên Tập'!F104="","",'Biên Tập'!F104)</f>
        <v/>
      </c>
      <c r="G300" s="52" t="str">
        <f>IF('Biên Tập'!G104="","",'Biên Tập'!G104)</f>
        <v/>
      </c>
      <c r="H300" s="52" t="str">
        <f>IF('Biên Tập'!J104="","",'Biên Tập'!J104)</f>
        <v/>
      </c>
      <c r="I300" s="52" t="str">
        <f>IF('Biên Tập'!M104="","",'Biên Tập'!M104)</f>
        <v/>
      </c>
      <c r="J300" s="52" t="str">
        <f>IF('Biên Tập'!R104="","",'Biên Tập'!R104)</f>
        <v/>
      </c>
      <c r="K300" s="52" t="str">
        <f t="array" ref="K300">IF(COUNTA('Biên Tập'!T104:AE104)=0,"",INDEX('Biên Tập'!T104:AE104,1,SUMPRODUCT(MAX(('Biên Tập'!T104:AE104&lt;&gt;"")*(COLUMN('Biên Tập'!T104:AE104)-COLUMN('Biên Tập'!T104)+1)))))</f>
        <v/>
      </c>
      <c r="L300" s="52" t="str">
        <f>IF(AND(G300&lt;&gt;"",G300='Tổng hợp'!$C$4),MAX(L$1:L299)+1,"")</f>
        <v/>
      </c>
    </row>
    <row r="301" ht="15.75" customHeight="1">
      <c r="A301" s="52" t="str">
        <f>IF('Biên Tập'!C105="","","Biên Tập")</f>
        <v/>
      </c>
      <c r="B301" s="52" t="str">
        <f>IF('Biên Tập'!B105="","",'Biên Tập'!B105)</f>
        <v/>
      </c>
      <c r="C301" s="52" t="str">
        <f>IF('Biên Tập'!C105="","",'Biên Tập'!C105)</f>
        <v/>
      </c>
      <c r="D301" s="52" t="str">
        <f>IF('Biên Tập'!D105="","",'Biên Tập'!D105)</f>
        <v/>
      </c>
      <c r="E301" s="52" t="str">
        <f>IF('Biên Tập'!E105="","",'Biên Tập'!E105)</f>
        <v/>
      </c>
      <c r="F301" s="52" t="str">
        <f>IF('Biên Tập'!F105="","",'Biên Tập'!F105)</f>
        <v/>
      </c>
      <c r="G301" s="52" t="str">
        <f>IF('Biên Tập'!G105="","",'Biên Tập'!G105)</f>
        <v/>
      </c>
      <c r="H301" s="52" t="str">
        <f>IF('Biên Tập'!J105="","",'Biên Tập'!J105)</f>
        <v/>
      </c>
      <c r="I301" s="52" t="str">
        <f>IF('Biên Tập'!M105="","",'Biên Tập'!M105)</f>
        <v/>
      </c>
      <c r="J301" s="52" t="str">
        <f>IF('Biên Tập'!R105="","",'Biên Tập'!R105)</f>
        <v/>
      </c>
      <c r="K301" s="52" t="str">
        <f t="array" ref="K301">IF(COUNTA('Biên Tập'!T105:AE105)=0,"",INDEX('Biên Tập'!T105:AE105,1,SUMPRODUCT(MAX(('Biên Tập'!T105:AE105&lt;&gt;"")*(COLUMN('Biên Tập'!T105:AE105)-COLUMN('Biên Tập'!T105)+1)))))</f>
        <v/>
      </c>
      <c r="L301" s="52" t="str">
        <f>IF(AND(G301&lt;&gt;"",G301='Tổng hợp'!$C$4),MAX(L$1:L300)+1,"")</f>
        <v/>
      </c>
    </row>
    <row r="302" ht="15.75" customHeight="1">
      <c r="A302" s="52" t="str">
        <f>IF('Biên Tập'!C106="","","Biên Tập")</f>
        <v/>
      </c>
      <c r="B302" s="52" t="str">
        <f>IF('Biên Tập'!B106="","",'Biên Tập'!B106)</f>
        <v/>
      </c>
      <c r="C302" s="52" t="str">
        <f>IF('Biên Tập'!C106="","",'Biên Tập'!C106)</f>
        <v/>
      </c>
      <c r="D302" s="52" t="str">
        <f>IF('Biên Tập'!D106="","",'Biên Tập'!D106)</f>
        <v/>
      </c>
      <c r="E302" s="52" t="str">
        <f>IF('Biên Tập'!E106="","",'Biên Tập'!E106)</f>
        <v/>
      </c>
      <c r="F302" s="52" t="str">
        <f>IF('Biên Tập'!F106="","",'Biên Tập'!F106)</f>
        <v/>
      </c>
      <c r="G302" s="52" t="str">
        <f>IF('Biên Tập'!G106="","",'Biên Tập'!G106)</f>
        <v/>
      </c>
      <c r="H302" s="52" t="str">
        <f>IF('Biên Tập'!J106="","",'Biên Tập'!J106)</f>
        <v/>
      </c>
      <c r="I302" s="52" t="str">
        <f>IF('Biên Tập'!M106="","",'Biên Tập'!M106)</f>
        <v/>
      </c>
      <c r="J302" s="52" t="str">
        <f>IF('Biên Tập'!R106="","",'Biên Tập'!R106)</f>
        <v/>
      </c>
      <c r="K302" s="52" t="str">
        <f t="array" ref="K302">IF(COUNTA('Biên Tập'!T106:AE106)=0,"",INDEX('Biên Tập'!T106:AE106,1,SUMPRODUCT(MAX(('Biên Tập'!T106:AE106&lt;&gt;"")*(COLUMN('Biên Tập'!T106:AE106)-COLUMN('Biên Tập'!T106)+1)))))</f>
        <v/>
      </c>
      <c r="L302" s="52" t="str">
        <f>IF(AND(G302&lt;&gt;"",G302='Tổng hợp'!$C$4),MAX(L$1:L301)+1,"")</f>
        <v/>
      </c>
    </row>
    <row r="303" ht="15.75" customHeight="1">
      <c r="A303" s="52" t="str">
        <f>IF('Biên Tập'!C107="","","Biên Tập")</f>
        <v/>
      </c>
      <c r="B303" s="52" t="str">
        <f>IF('Biên Tập'!B107="","",'Biên Tập'!B107)</f>
        <v/>
      </c>
      <c r="C303" s="52" t="str">
        <f>IF('Biên Tập'!C107="","",'Biên Tập'!C107)</f>
        <v/>
      </c>
      <c r="D303" s="52" t="str">
        <f>IF('Biên Tập'!D107="","",'Biên Tập'!D107)</f>
        <v/>
      </c>
      <c r="E303" s="52" t="str">
        <f>IF('Biên Tập'!E107="","",'Biên Tập'!E107)</f>
        <v/>
      </c>
      <c r="F303" s="52" t="str">
        <f>IF('Biên Tập'!F107="","",'Biên Tập'!F107)</f>
        <v/>
      </c>
      <c r="G303" s="52" t="str">
        <f>IF('Biên Tập'!G107="","",'Biên Tập'!G107)</f>
        <v/>
      </c>
      <c r="H303" s="52" t="str">
        <f>IF('Biên Tập'!J107="","",'Biên Tập'!J107)</f>
        <v/>
      </c>
      <c r="I303" s="52" t="str">
        <f>IF('Biên Tập'!M107="","",'Biên Tập'!M107)</f>
        <v/>
      </c>
      <c r="J303" s="52" t="str">
        <f>IF('Biên Tập'!R107="","",'Biên Tập'!R107)</f>
        <v/>
      </c>
      <c r="K303" s="52" t="str">
        <f t="array" ref="K303">IF(COUNTA('Biên Tập'!T107:AE107)=0,"",INDEX('Biên Tập'!T107:AE107,1,SUMPRODUCT(MAX(('Biên Tập'!T107:AE107&lt;&gt;"")*(COLUMN('Biên Tập'!T107:AE107)-COLUMN('Biên Tập'!T107)+1)))))</f>
        <v/>
      </c>
      <c r="L303" s="52" t="str">
        <f>IF(AND(G303&lt;&gt;"",G303='Tổng hợp'!$C$4),MAX(L$1:L302)+1,"")</f>
        <v/>
      </c>
    </row>
    <row r="304" ht="15.75" customHeight="1">
      <c r="A304" s="52" t="str">
        <f>IF('Biên Tập'!C108="","","Biên Tập")</f>
        <v/>
      </c>
      <c r="B304" s="52" t="str">
        <f>IF('Biên Tập'!B108="","",'Biên Tập'!B108)</f>
        <v/>
      </c>
      <c r="C304" s="52" t="str">
        <f>IF('Biên Tập'!C108="","",'Biên Tập'!C108)</f>
        <v/>
      </c>
      <c r="D304" s="52" t="str">
        <f>IF('Biên Tập'!D108="","",'Biên Tập'!D108)</f>
        <v/>
      </c>
      <c r="E304" s="52" t="str">
        <f>IF('Biên Tập'!E108="","",'Biên Tập'!E108)</f>
        <v/>
      </c>
      <c r="F304" s="52" t="str">
        <f>IF('Biên Tập'!F108="","",'Biên Tập'!F108)</f>
        <v/>
      </c>
      <c r="G304" s="52" t="str">
        <f>IF('Biên Tập'!G108="","",'Biên Tập'!G108)</f>
        <v/>
      </c>
      <c r="H304" s="52" t="str">
        <f>IF('Biên Tập'!J108="","",'Biên Tập'!J108)</f>
        <v/>
      </c>
      <c r="I304" s="52" t="str">
        <f>IF('Biên Tập'!M108="","",'Biên Tập'!M108)</f>
        <v/>
      </c>
      <c r="J304" s="52" t="str">
        <f>IF('Biên Tập'!R108="","",'Biên Tập'!R108)</f>
        <v/>
      </c>
      <c r="K304" s="52" t="str">
        <f t="array" ref="K304">IF(COUNTA('Biên Tập'!T108:AE108)=0,"",INDEX('Biên Tập'!T108:AE108,1,SUMPRODUCT(MAX(('Biên Tập'!T108:AE108&lt;&gt;"")*(COLUMN('Biên Tập'!T108:AE108)-COLUMN('Biên Tập'!T108)+1)))))</f>
        <v/>
      </c>
      <c r="L304" s="52" t="str">
        <f>IF(AND(G304&lt;&gt;"",G304='Tổng hợp'!$C$4),MAX(L$1:L303)+1,"")</f>
        <v/>
      </c>
    </row>
    <row r="305" ht="15.75" customHeight="1">
      <c r="A305" s="52" t="str">
        <f>IF('Biên Tập'!C109="","","Biên Tập")</f>
        <v/>
      </c>
      <c r="B305" s="52" t="str">
        <f>IF('Biên Tập'!B109="","",'Biên Tập'!B109)</f>
        <v/>
      </c>
      <c r="C305" s="52" t="str">
        <f>IF('Biên Tập'!C109="","",'Biên Tập'!C109)</f>
        <v/>
      </c>
      <c r="D305" s="52" t="str">
        <f>IF('Biên Tập'!D109="","",'Biên Tập'!D109)</f>
        <v/>
      </c>
      <c r="E305" s="52" t="str">
        <f>IF('Biên Tập'!E109="","",'Biên Tập'!E109)</f>
        <v/>
      </c>
      <c r="F305" s="52" t="str">
        <f>IF('Biên Tập'!F109="","",'Biên Tập'!F109)</f>
        <v/>
      </c>
      <c r="G305" s="52" t="str">
        <f>IF('Biên Tập'!G109="","",'Biên Tập'!G109)</f>
        <v/>
      </c>
      <c r="H305" s="52" t="str">
        <f>IF('Biên Tập'!J109="","",'Biên Tập'!J109)</f>
        <v/>
      </c>
      <c r="I305" s="52" t="str">
        <f>IF('Biên Tập'!M109="","",'Biên Tập'!M109)</f>
        <v/>
      </c>
      <c r="J305" s="52" t="str">
        <f>IF('Biên Tập'!R109="","",'Biên Tập'!R109)</f>
        <v/>
      </c>
      <c r="K305" s="52" t="str">
        <f t="array" ref="K305">IF(COUNTA('Biên Tập'!T109:AE109)=0,"",INDEX('Biên Tập'!T109:AE109,1,SUMPRODUCT(MAX(('Biên Tập'!T109:AE109&lt;&gt;"")*(COLUMN('Biên Tập'!T109:AE109)-COLUMN('Biên Tập'!T109)+1)))))</f>
        <v/>
      </c>
      <c r="L305" s="52" t="str">
        <f>IF(AND(G305&lt;&gt;"",G305='Tổng hợp'!$C$4),MAX(L$1:L304)+1,"")</f>
        <v/>
      </c>
    </row>
    <row r="306" ht="15.75" customHeight="1">
      <c r="A306" s="52" t="str">
        <f>IF('Biên Tập'!C110="","","Biên Tập")</f>
        <v/>
      </c>
      <c r="B306" s="52" t="str">
        <f>IF('Biên Tập'!B110="","",'Biên Tập'!B110)</f>
        <v/>
      </c>
      <c r="C306" s="52" t="str">
        <f>IF('Biên Tập'!C110="","",'Biên Tập'!C110)</f>
        <v/>
      </c>
      <c r="D306" s="52" t="str">
        <f>IF('Biên Tập'!D110="","",'Biên Tập'!D110)</f>
        <v/>
      </c>
      <c r="E306" s="52" t="str">
        <f>IF('Biên Tập'!E110="","",'Biên Tập'!E110)</f>
        <v/>
      </c>
      <c r="F306" s="52" t="str">
        <f>IF('Biên Tập'!F110="","",'Biên Tập'!F110)</f>
        <v/>
      </c>
      <c r="G306" s="52" t="str">
        <f>IF('Biên Tập'!G110="","",'Biên Tập'!G110)</f>
        <v/>
      </c>
      <c r="H306" s="52" t="str">
        <f>IF('Biên Tập'!J110="","",'Biên Tập'!J110)</f>
        <v/>
      </c>
      <c r="I306" s="52" t="str">
        <f>IF('Biên Tập'!M110="","",'Biên Tập'!M110)</f>
        <v/>
      </c>
      <c r="J306" s="52" t="str">
        <f>IF('Biên Tập'!R110="","",'Biên Tập'!R110)</f>
        <v/>
      </c>
      <c r="K306" s="52" t="str">
        <f t="array" ref="K306">IF(COUNTA('Biên Tập'!T110:AE110)=0,"",INDEX('Biên Tập'!T110:AE110,1,SUMPRODUCT(MAX(('Biên Tập'!T110:AE110&lt;&gt;"")*(COLUMN('Biên Tập'!T110:AE110)-COLUMN('Biên Tập'!T110)+1)))))</f>
        <v/>
      </c>
      <c r="L306" s="52" t="str">
        <f>IF(AND(G306&lt;&gt;"",G306='Tổng hợp'!$C$4),MAX(L$1:L305)+1,"")</f>
        <v/>
      </c>
    </row>
    <row r="307" ht="15.75" customHeight="1">
      <c r="A307" s="52" t="str">
        <f>IF('Biên Tập'!C111="","","Biên Tập")</f>
        <v/>
      </c>
      <c r="B307" s="52" t="str">
        <f>IF('Biên Tập'!B111="","",'Biên Tập'!B111)</f>
        <v/>
      </c>
      <c r="C307" s="52" t="str">
        <f>IF('Biên Tập'!C111="","",'Biên Tập'!C111)</f>
        <v/>
      </c>
      <c r="D307" s="52" t="str">
        <f>IF('Biên Tập'!D111="","",'Biên Tập'!D111)</f>
        <v/>
      </c>
      <c r="E307" s="52" t="str">
        <f>IF('Biên Tập'!E111="","",'Biên Tập'!E111)</f>
        <v/>
      </c>
      <c r="F307" s="52" t="str">
        <f>IF('Biên Tập'!F111="","",'Biên Tập'!F111)</f>
        <v/>
      </c>
      <c r="G307" s="52" t="str">
        <f>IF('Biên Tập'!G111="","",'Biên Tập'!G111)</f>
        <v/>
      </c>
      <c r="H307" s="52" t="str">
        <f>IF('Biên Tập'!J111="","",'Biên Tập'!J111)</f>
        <v/>
      </c>
      <c r="I307" s="52" t="str">
        <f>IF('Biên Tập'!M111="","",'Biên Tập'!M111)</f>
        <v/>
      </c>
      <c r="J307" s="52" t="str">
        <f>IF('Biên Tập'!R111="","",'Biên Tập'!R111)</f>
        <v/>
      </c>
      <c r="K307" s="52" t="str">
        <f t="array" ref="K307">IF(COUNTA('Biên Tập'!T111:AE111)=0,"",INDEX('Biên Tập'!T111:AE111,1,SUMPRODUCT(MAX(('Biên Tập'!T111:AE111&lt;&gt;"")*(COLUMN('Biên Tập'!T111:AE111)-COLUMN('Biên Tập'!T111)+1)))))</f>
        <v/>
      </c>
      <c r="L307" s="52" t="str">
        <f>IF(AND(G307&lt;&gt;"",G307='Tổng hợp'!$C$4),MAX(L$1:L306)+1,"")</f>
        <v/>
      </c>
    </row>
    <row r="308" ht="15.75" customHeight="1">
      <c r="A308" s="52" t="str">
        <f>IF('Biên Tập'!C112="","","Biên Tập")</f>
        <v/>
      </c>
      <c r="B308" s="52" t="str">
        <f>IF('Biên Tập'!B112="","",'Biên Tập'!B112)</f>
        <v/>
      </c>
      <c r="C308" s="52" t="str">
        <f>IF('Biên Tập'!C112="","",'Biên Tập'!C112)</f>
        <v/>
      </c>
      <c r="D308" s="52" t="str">
        <f>IF('Biên Tập'!D112="","",'Biên Tập'!D112)</f>
        <v/>
      </c>
      <c r="E308" s="52" t="str">
        <f>IF('Biên Tập'!E112="","",'Biên Tập'!E112)</f>
        <v/>
      </c>
      <c r="F308" s="52" t="str">
        <f>IF('Biên Tập'!F112="","",'Biên Tập'!F112)</f>
        <v/>
      </c>
      <c r="G308" s="52" t="str">
        <f>IF('Biên Tập'!G112="","",'Biên Tập'!G112)</f>
        <v/>
      </c>
      <c r="H308" s="52" t="str">
        <f>IF('Biên Tập'!J112="","",'Biên Tập'!J112)</f>
        <v/>
      </c>
      <c r="I308" s="52" t="str">
        <f>IF('Biên Tập'!M112="","",'Biên Tập'!M112)</f>
        <v/>
      </c>
      <c r="J308" s="52" t="str">
        <f>IF('Biên Tập'!R112="","",'Biên Tập'!R112)</f>
        <v/>
      </c>
      <c r="K308" s="52" t="str">
        <f t="array" ref="K308">IF(COUNTA('Biên Tập'!T112:AE112)=0,"",INDEX('Biên Tập'!T112:AE112,1,SUMPRODUCT(MAX(('Biên Tập'!T112:AE112&lt;&gt;"")*(COLUMN('Biên Tập'!T112:AE112)-COLUMN('Biên Tập'!T112)+1)))))</f>
        <v/>
      </c>
      <c r="L308" s="52" t="str">
        <f>IF(AND(G308&lt;&gt;"",G308='Tổng hợp'!$C$4),MAX(L$1:L307)+1,"")</f>
        <v/>
      </c>
    </row>
    <row r="309" ht="15.75" customHeight="1">
      <c r="A309" s="52" t="str">
        <f>IF('Biên Tập'!C113="","","Biên Tập")</f>
        <v/>
      </c>
      <c r="B309" s="52" t="str">
        <f>IF('Biên Tập'!B113="","",'Biên Tập'!B113)</f>
        <v/>
      </c>
      <c r="C309" s="52" t="str">
        <f>IF('Biên Tập'!C113="","",'Biên Tập'!C113)</f>
        <v/>
      </c>
      <c r="D309" s="52" t="str">
        <f>IF('Biên Tập'!D113="","",'Biên Tập'!D113)</f>
        <v/>
      </c>
      <c r="E309" s="52" t="str">
        <f>IF('Biên Tập'!E113="","",'Biên Tập'!E113)</f>
        <v/>
      </c>
      <c r="F309" s="52" t="str">
        <f>IF('Biên Tập'!F113="","",'Biên Tập'!F113)</f>
        <v/>
      </c>
      <c r="G309" s="52" t="str">
        <f>IF('Biên Tập'!G113="","",'Biên Tập'!G113)</f>
        <v/>
      </c>
      <c r="H309" s="52" t="str">
        <f>IF('Biên Tập'!J113="","",'Biên Tập'!J113)</f>
        <v/>
      </c>
      <c r="I309" s="52" t="str">
        <f>IF('Biên Tập'!M113="","",'Biên Tập'!M113)</f>
        <v/>
      </c>
      <c r="J309" s="52" t="str">
        <f>IF('Biên Tập'!R113="","",'Biên Tập'!R113)</f>
        <v/>
      </c>
      <c r="K309" s="52" t="str">
        <f t="array" ref="K309">IF(COUNTA('Biên Tập'!T113:AE113)=0,"",INDEX('Biên Tập'!T113:AE113,1,SUMPRODUCT(MAX(('Biên Tập'!T113:AE113&lt;&gt;"")*(COLUMN('Biên Tập'!T113:AE113)-COLUMN('Biên Tập'!T113)+1)))))</f>
        <v/>
      </c>
      <c r="L309" s="52" t="str">
        <f>IF(AND(G309&lt;&gt;"",G309='Tổng hợp'!$C$4),MAX(L$1:L308)+1,"")</f>
        <v/>
      </c>
    </row>
    <row r="310" ht="15.75" customHeight="1">
      <c r="A310" s="52" t="str">
        <f>IF('Biên Tập'!C114="","","Biên Tập")</f>
        <v/>
      </c>
      <c r="B310" s="52" t="str">
        <f>IF('Biên Tập'!B114="","",'Biên Tập'!B114)</f>
        <v/>
      </c>
      <c r="C310" s="52" t="str">
        <f>IF('Biên Tập'!C114="","",'Biên Tập'!C114)</f>
        <v/>
      </c>
      <c r="D310" s="52" t="str">
        <f>IF('Biên Tập'!D114="","",'Biên Tập'!D114)</f>
        <v/>
      </c>
      <c r="E310" s="52" t="str">
        <f>IF('Biên Tập'!E114="","",'Biên Tập'!E114)</f>
        <v/>
      </c>
      <c r="F310" s="52" t="str">
        <f>IF('Biên Tập'!F114="","",'Biên Tập'!F114)</f>
        <v/>
      </c>
      <c r="G310" s="52" t="str">
        <f>IF('Biên Tập'!G114="","",'Biên Tập'!G114)</f>
        <v/>
      </c>
      <c r="H310" s="52" t="str">
        <f>IF('Biên Tập'!J114="","",'Biên Tập'!J114)</f>
        <v/>
      </c>
      <c r="I310" s="52" t="str">
        <f>IF('Biên Tập'!M114="","",'Biên Tập'!M114)</f>
        <v/>
      </c>
      <c r="J310" s="52" t="str">
        <f>IF('Biên Tập'!R114="","",'Biên Tập'!R114)</f>
        <v/>
      </c>
      <c r="K310" s="52" t="str">
        <f t="array" ref="K310">IF(COUNTA('Biên Tập'!T114:AE114)=0,"",INDEX('Biên Tập'!T114:AE114,1,SUMPRODUCT(MAX(('Biên Tập'!T114:AE114&lt;&gt;"")*(COLUMN('Biên Tập'!T114:AE114)-COLUMN('Biên Tập'!T114)+1)))))</f>
        <v/>
      </c>
      <c r="L310" s="52" t="str">
        <f>IF(AND(G310&lt;&gt;"",G310='Tổng hợp'!$C$4),MAX(L$1:L309)+1,"")</f>
        <v/>
      </c>
    </row>
    <row r="311" ht="15.75" customHeight="1">
      <c r="A311" s="52" t="str">
        <f>IF('Biên Tập'!C115="","","Biên Tập")</f>
        <v/>
      </c>
      <c r="B311" s="52" t="str">
        <f>IF('Biên Tập'!B115="","",'Biên Tập'!B115)</f>
        <v/>
      </c>
      <c r="C311" s="52" t="str">
        <f>IF('Biên Tập'!C115="","",'Biên Tập'!C115)</f>
        <v/>
      </c>
      <c r="D311" s="52" t="str">
        <f>IF('Biên Tập'!D115="","",'Biên Tập'!D115)</f>
        <v/>
      </c>
      <c r="E311" s="52" t="str">
        <f>IF('Biên Tập'!E115="","",'Biên Tập'!E115)</f>
        <v/>
      </c>
      <c r="F311" s="52" t="str">
        <f>IF('Biên Tập'!F115="","",'Biên Tập'!F115)</f>
        <v/>
      </c>
      <c r="G311" s="52" t="str">
        <f>IF('Biên Tập'!G115="","",'Biên Tập'!G115)</f>
        <v/>
      </c>
      <c r="H311" s="52" t="str">
        <f>IF('Biên Tập'!J115="","",'Biên Tập'!J115)</f>
        <v/>
      </c>
      <c r="I311" s="52" t="str">
        <f>IF('Biên Tập'!M115="","",'Biên Tập'!M115)</f>
        <v/>
      </c>
      <c r="J311" s="52" t="str">
        <f>IF('Biên Tập'!R115="","",'Biên Tập'!R115)</f>
        <v/>
      </c>
      <c r="K311" s="52" t="str">
        <f t="array" ref="K311">IF(COUNTA('Biên Tập'!T115:AE115)=0,"",INDEX('Biên Tập'!T115:AE115,1,SUMPRODUCT(MAX(('Biên Tập'!T115:AE115&lt;&gt;"")*(COLUMN('Biên Tập'!T115:AE115)-COLUMN('Biên Tập'!T115)+1)))))</f>
        <v/>
      </c>
      <c r="L311" s="52" t="str">
        <f>IF(AND(G311&lt;&gt;"",G311='Tổng hợp'!$C$4),MAX(L$1:L310)+1,"")</f>
        <v/>
      </c>
    </row>
    <row r="312" ht="15.75" customHeight="1">
      <c r="A312" s="52" t="str">
        <f>IF('Biên Tập'!C116="","","Biên Tập")</f>
        <v/>
      </c>
      <c r="B312" s="52" t="str">
        <f>IF('Biên Tập'!B116="","",'Biên Tập'!B116)</f>
        <v/>
      </c>
      <c r="C312" s="52" t="str">
        <f>IF('Biên Tập'!C116="","",'Biên Tập'!C116)</f>
        <v/>
      </c>
      <c r="D312" s="52" t="str">
        <f>IF('Biên Tập'!D116="","",'Biên Tập'!D116)</f>
        <v/>
      </c>
      <c r="E312" s="52" t="str">
        <f>IF('Biên Tập'!E116="","",'Biên Tập'!E116)</f>
        <v/>
      </c>
      <c r="F312" s="52" t="str">
        <f>IF('Biên Tập'!F116="","",'Biên Tập'!F116)</f>
        <v/>
      </c>
      <c r="G312" s="52" t="str">
        <f>IF('Biên Tập'!G116="","",'Biên Tập'!G116)</f>
        <v/>
      </c>
      <c r="H312" s="52" t="str">
        <f>IF('Biên Tập'!J116="","",'Biên Tập'!J116)</f>
        <v/>
      </c>
      <c r="I312" s="52" t="str">
        <f>IF('Biên Tập'!M116="","",'Biên Tập'!M116)</f>
        <v/>
      </c>
      <c r="J312" s="52" t="str">
        <f>IF('Biên Tập'!R116="","",'Biên Tập'!R116)</f>
        <v/>
      </c>
      <c r="K312" s="52" t="str">
        <f t="array" ref="K312">IF(COUNTA('Biên Tập'!T116:AE116)=0,"",INDEX('Biên Tập'!T116:AE116,1,SUMPRODUCT(MAX(('Biên Tập'!T116:AE116&lt;&gt;"")*(COLUMN('Biên Tập'!T116:AE116)-COLUMN('Biên Tập'!T116)+1)))))</f>
        <v/>
      </c>
      <c r="L312" s="52" t="str">
        <f>IF(AND(G312&lt;&gt;"",G312='Tổng hợp'!$C$4),MAX(L$1:L311)+1,"")</f>
        <v/>
      </c>
    </row>
    <row r="313" ht="15.75" customHeight="1">
      <c r="A313" s="52" t="str">
        <f>IF('Biên Tập'!C117="","","Biên Tập")</f>
        <v/>
      </c>
      <c r="B313" s="52" t="str">
        <f>IF('Biên Tập'!B117="","",'Biên Tập'!B117)</f>
        <v/>
      </c>
      <c r="C313" s="52" t="str">
        <f>IF('Biên Tập'!C117="","",'Biên Tập'!C117)</f>
        <v/>
      </c>
      <c r="D313" s="52" t="str">
        <f>IF('Biên Tập'!D117="","",'Biên Tập'!D117)</f>
        <v/>
      </c>
      <c r="E313" s="52" t="str">
        <f>IF('Biên Tập'!E117="","",'Biên Tập'!E117)</f>
        <v/>
      </c>
      <c r="F313" s="52" t="str">
        <f>IF('Biên Tập'!F117="","",'Biên Tập'!F117)</f>
        <v/>
      </c>
      <c r="G313" s="52" t="str">
        <f>IF('Biên Tập'!G117="","",'Biên Tập'!G117)</f>
        <v/>
      </c>
      <c r="H313" s="52" t="str">
        <f>IF('Biên Tập'!J117="","",'Biên Tập'!J117)</f>
        <v/>
      </c>
      <c r="I313" s="52" t="str">
        <f>IF('Biên Tập'!M117="","",'Biên Tập'!M117)</f>
        <v/>
      </c>
      <c r="J313" s="52" t="str">
        <f>IF('Biên Tập'!R117="","",'Biên Tập'!R117)</f>
        <v/>
      </c>
      <c r="K313" s="52" t="str">
        <f t="array" ref="K313">IF(COUNTA('Biên Tập'!T117:AE117)=0,"",INDEX('Biên Tập'!T117:AE117,1,SUMPRODUCT(MAX(('Biên Tập'!T117:AE117&lt;&gt;"")*(COLUMN('Biên Tập'!T117:AE117)-COLUMN('Biên Tập'!T117)+1)))))</f>
        <v/>
      </c>
      <c r="L313" s="52" t="str">
        <f>IF(AND(G313&lt;&gt;"",G313='Tổng hợp'!$C$4),MAX(L$1:L312)+1,"")</f>
        <v/>
      </c>
    </row>
    <row r="314" ht="15.75" customHeight="1">
      <c r="A314" s="52" t="str">
        <f>IF('Biên Tập'!C118="","","Biên Tập")</f>
        <v/>
      </c>
      <c r="B314" s="52" t="str">
        <f>IF('Biên Tập'!B118="","",'Biên Tập'!B118)</f>
        <v/>
      </c>
      <c r="C314" s="52" t="str">
        <f>IF('Biên Tập'!C118="","",'Biên Tập'!C118)</f>
        <v/>
      </c>
      <c r="D314" s="52" t="str">
        <f>IF('Biên Tập'!D118="","",'Biên Tập'!D118)</f>
        <v/>
      </c>
      <c r="E314" s="52" t="str">
        <f>IF('Biên Tập'!E118="","",'Biên Tập'!E118)</f>
        <v/>
      </c>
      <c r="F314" s="52" t="str">
        <f>IF('Biên Tập'!F118="","",'Biên Tập'!F118)</f>
        <v/>
      </c>
      <c r="G314" s="52" t="str">
        <f>IF('Biên Tập'!G118="","",'Biên Tập'!G118)</f>
        <v/>
      </c>
      <c r="H314" s="52" t="str">
        <f>IF('Biên Tập'!J118="","",'Biên Tập'!J118)</f>
        <v/>
      </c>
      <c r="I314" s="52" t="str">
        <f>IF('Biên Tập'!M118="","",'Biên Tập'!M118)</f>
        <v/>
      </c>
      <c r="J314" s="52" t="str">
        <f>IF('Biên Tập'!R118="","",'Biên Tập'!R118)</f>
        <v/>
      </c>
      <c r="K314" s="52" t="str">
        <f t="array" ref="K314">IF(COUNTA('Biên Tập'!T118:AE118)=0,"",INDEX('Biên Tập'!T118:AE118,1,SUMPRODUCT(MAX(('Biên Tập'!T118:AE118&lt;&gt;"")*(COLUMN('Biên Tập'!T118:AE118)-COLUMN('Biên Tập'!T118)+1)))))</f>
        <v/>
      </c>
      <c r="L314" s="52" t="str">
        <f>IF(AND(G314&lt;&gt;"",G314='Tổng hợp'!$C$4),MAX(L$1:L313)+1,"")</f>
        <v/>
      </c>
    </row>
    <row r="315" ht="15.75" customHeight="1">
      <c r="A315" s="52" t="str">
        <f>IF('Biên Tập'!C119="","","Biên Tập")</f>
        <v/>
      </c>
      <c r="B315" s="52" t="str">
        <f>IF('Biên Tập'!B119="","",'Biên Tập'!B119)</f>
        <v/>
      </c>
      <c r="C315" s="52" t="str">
        <f>IF('Biên Tập'!C119="","",'Biên Tập'!C119)</f>
        <v/>
      </c>
      <c r="D315" s="52" t="str">
        <f>IF('Biên Tập'!D119="","",'Biên Tập'!D119)</f>
        <v/>
      </c>
      <c r="E315" s="52" t="str">
        <f>IF('Biên Tập'!E119="","",'Biên Tập'!E119)</f>
        <v/>
      </c>
      <c r="F315" s="52" t="str">
        <f>IF('Biên Tập'!F119="","",'Biên Tập'!F119)</f>
        <v/>
      </c>
      <c r="G315" s="52" t="str">
        <f>IF('Biên Tập'!G119="","",'Biên Tập'!G119)</f>
        <v/>
      </c>
      <c r="H315" s="52" t="str">
        <f>IF('Biên Tập'!J119="","",'Biên Tập'!J119)</f>
        <v/>
      </c>
      <c r="I315" s="52" t="str">
        <f>IF('Biên Tập'!M119="","",'Biên Tập'!M119)</f>
        <v/>
      </c>
      <c r="J315" s="52" t="str">
        <f>IF('Biên Tập'!R119="","",'Biên Tập'!R119)</f>
        <v/>
      </c>
      <c r="K315" s="52" t="str">
        <f t="array" ref="K315">IF(COUNTA('Biên Tập'!T119:AE119)=0,"",INDEX('Biên Tập'!T119:AE119,1,SUMPRODUCT(MAX(('Biên Tập'!T119:AE119&lt;&gt;"")*(COLUMN('Biên Tập'!T119:AE119)-COLUMN('Biên Tập'!T119)+1)))))</f>
        <v/>
      </c>
      <c r="L315" s="52" t="str">
        <f>IF(AND(G315&lt;&gt;"",G315='Tổng hợp'!$C$4),MAX(L$1:L314)+1,"")</f>
        <v/>
      </c>
    </row>
    <row r="316" ht="15.75" customHeight="1">
      <c r="A316" s="52" t="str">
        <f>IF('Biên Tập'!C120="","","Biên Tập")</f>
        <v/>
      </c>
      <c r="B316" s="52" t="str">
        <f>IF('Biên Tập'!B120="","",'Biên Tập'!B120)</f>
        <v/>
      </c>
      <c r="C316" s="52" t="str">
        <f>IF('Biên Tập'!C120="","",'Biên Tập'!C120)</f>
        <v/>
      </c>
      <c r="D316" s="52" t="str">
        <f>IF('Biên Tập'!D120="","",'Biên Tập'!D120)</f>
        <v/>
      </c>
      <c r="E316" s="52" t="str">
        <f>IF('Biên Tập'!E120="","",'Biên Tập'!E120)</f>
        <v/>
      </c>
      <c r="F316" s="52" t="str">
        <f>IF('Biên Tập'!F120="","",'Biên Tập'!F120)</f>
        <v/>
      </c>
      <c r="G316" s="52" t="str">
        <f>IF('Biên Tập'!G120="","",'Biên Tập'!G120)</f>
        <v/>
      </c>
      <c r="H316" s="52" t="str">
        <f>IF('Biên Tập'!J120="","",'Biên Tập'!J120)</f>
        <v/>
      </c>
      <c r="I316" s="52" t="str">
        <f>IF('Biên Tập'!M120="","",'Biên Tập'!M120)</f>
        <v/>
      </c>
      <c r="J316" s="52" t="str">
        <f>IF('Biên Tập'!R120="","",'Biên Tập'!R120)</f>
        <v/>
      </c>
      <c r="K316" s="52" t="str">
        <f t="array" ref="K316">IF(COUNTA('Biên Tập'!T120:AE120)=0,"",INDEX('Biên Tập'!T120:AE120,1,SUMPRODUCT(MAX(('Biên Tập'!T120:AE120&lt;&gt;"")*(COLUMN('Biên Tập'!T120:AE120)-COLUMN('Biên Tập'!T120)+1)))))</f>
        <v/>
      </c>
      <c r="L316" s="52" t="str">
        <f>IF(AND(G316&lt;&gt;"",G316='Tổng hợp'!$C$4),MAX(L$1:L315)+1,"")</f>
        <v/>
      </c>
    </row>
    <row r="317" ht="15.75" customHeight="1">
      <c r="A317" s="52" t="str">
        <f>IF('Biên Tập'!C121="","","Biên Tập")</f>
        <v/>
      </c>
      <c r="B317" s="52" t="str">
        <f>IF('Biên Tập'!B121="","",'Biên Tập'!B121)</f>
        <v/>
      </c>
      <c r="C317" s="52" t="str">
        <f>IF('Biên Tập'!C121="","",'Biên Tập'!C121)</f>
        <v/>
      </c>
      <c r="D317" s="52" t="str">
        <f>IF('Biên Tập'!D121="","",'Biên Tập'!D121)</f>
        <v/>
      </c>
      <c r="E317" s="52" t="str">
        <f>IF('Biên Tập'!E121="","",'Biên Tập'!E121)</f>
        <v/>
      </c>
      <c r="F317" s="52" t="str">
        <f>IF('Biên Tập'!F121="","",'Biên Tập'!F121)</f>
        <v/>
      </c>
      <c r="G317" s="52" t="str">
        <f>IF('Biên Tập'!G121="","",'Biên Tập'!G121)</f>
        <v/>
      </c>
      <c r="H317" s="52" t="str">
        <f>IF('Biên Tập'!J121="","",'Biên Tập'!J121)</f>
        <v/>
      </c>
      <c r="I317" s="52" t="str">
        <f>IF('Biên Tập'!M121="","",'Biên Tập'!M121)</f>
        <v/>
      </c>
      <c r="J317" s="52" t="str">
        <f>IF('Biên Tập'!R121="","",'Biên Tập'!R121)</f>
        <v/>
      </c>
      <c r="K317" s="52" t="str">
        <f t="array" ref="K317">IF(COUNTA('Biên Tập'!T121:AE121)=0,"",INDEX('Biên Tập'!T121:AE121,1,SUMPRODUCT(MAX(('Biên Tập'!T121:AE121&lt;&gt;"")*(COLUMN('Biên Tập'!T121:AE121)-COLUMN('Biên Tập'!T121)+1)))))</f>
        <v/>
      </c>
      <c r="L317" s="52" t="str">
        <f>IF(AND(G317&lt;&gt;"",G317='Tổng hợp'!$C$4),MAX(L$1:L316)+1,"")</f>
        <v/>
      </c>
    </row>
    <row r="318" ht="15.75" customHeight="1">
      <c r="A318" s="52" t="str">
        <f>IF('Biên Tập'!C122="","","Biên Tập")</f>
        <v/>
      </c>
      <c r="B318" s="52" t="str">
        <f>IF('Biên Tập'!B122="","",'Biên Tập'!B122)</f>
        <v/>
      </c>
      <c r="C318" s="52" t="str">
        <f>IF('Biên Tập'!C122="","",'Biên Tập'!C122)</f>
        <v/>
      </c>
      <c r="D318" s="52" t="str">
        <f>IF('Biên Tập'!D122="","",'Biên Tập'!D122)</f>
        <v/>
      </c>
      <c r="E318" s="52" t="str">
        <f>IF('Biên Tập'!E122="","",'Biên Tập'!E122)</f>
        <v/>
      </c>
      <c r="F318" s="52" t="str">
        <f>IF('Biên Tập'!F122="","",'Biên Tập'!F122)</f>
        <v/>
      </c>
      <c r="G318" s="52" t="str">
        <f>IF('Biên Tập'!G122="","",'Biên Tập'!G122)</f>
        <v/>
      </c>
      <c r="H318" s="52" t="str">
        <f>IF('Biên Tập'!J122="","",'Biên Tập'!J122)</f>
        <v/>
      </c>
      <c r="I318" s="52" t="str">
        <f>IF('Biên Tập'!M122="","",'Biên Tập'!M122)</f>
        <v/>
      </c>
      <c r="J318" s="52" t="str">
        <f>IF('Biên Tập'!R122="","",'Biên Tập'!R122)</f>
        <v/>
      </c>
      <c r="K318" s="52" t="str">
        <f t="array" ref="K318">IF(COUNTA('Biên Tập'!T122:AE122)=0,"",INDEX('Biên Tập'!T122:AE122,1,SUMPRODUCT(MAX(('Biên Tập'!T122:AE122&lt;&gt;"")*(COLUMN('Biên Tập'!T122:AE122)-COLUMN('Biên Tập'!T122)+1)))))</f>
        <v/>
      </c>
      <c r="L318" s="52" t="str">
        <f>IF(AND(G318&lt;&gt;"",G318='Tổng hợp'!$C$4),MAX(L$1:L317)+1,"")</f>
        <v/>
      </c>
    </row>
    <row r="319" ht="15.75" customHeight="1">
      <c r="A319" s="52" t="str">
        <f>IF('Biên Tập'!C123="","","Biên Tập")</f>
        <v/>
      </c>
      <c r="B319" s="52" t="str">
        <f>IF('Biên Tập'!B123="","",'Biên Tập'!B123)</f>
        <v/>
      </c>
      <c r="C319" s="52" t="str">
        <f>IF('Biên Tập'!C123="","",'Biên Tập'!C123)</f>
        <v/>
      </c>
      <c r="D319" s="52" t="str">
        <f>IF('Biên Tập'!D123="","",'Biên Tập'!D123)</f>
        <v/>
      </c>
      <c r="E319" s="52" t="str">
        <f>IF('Biên Tập'!E123="","",'Biên Tập'!E123)</f>
        <v/>
      </c>
      <c r="F319" s="52" t="str">
        <f>IF('Biên Tập'!F123="","",'Biên Tập'!F123)</f>
        <v/>
      </c>
      <c r="G319" s="52" t="str">
        <f>IF('Biên Tập'!G123="","",'Biên Tập'!G123)</f>
        <v/>
      </c>
      <c r="H319" s="52" t="str">
        <f>IF('Biên Tập'!J123="","",'Biên Tập'!J123)</f>
        <v/>
      </c>
      <c r="I319" s="52" t="str">
        <f>IF('Biên Tập'!M123="","",'Biên Tập'!M123)</f>
        <v/>
      </c>
      <c r="J319" s="52" t="str">
        <f>IF('Biên Tập'!R123="","",'Biên Tập'!R123)</f>
        <v/>
      </c>
      <c r="K319" s="52" t="str">
        <f t="array" ref="K319">IF(COUNTA('Biên Tập'!T123:AE123)=0,"",INDEX('Biên Tập'!T123:AE123,1,SUMPRODUCT(MAX(('Biên Tập'!T123:AE123&lt;&gt;"")*(COLUMN('Biên Tập'!T123:AE123)-COLUMN('Biên Tập'!T123)+1)))))</f>
        <v/>
      </c>
      <c r="L319" s="52" t="str">
        <f>IF(AND(G319&lt;&gt;"",G319='Tổng hợp'!$C$4),MAX(L$1:L318)+1,"")</f>
        <v/>
      </c>
    </row>
    <row r="320" ht="15.75" customHeight="1">
      <c r="A320" s="52" t="str">
        <f>IF('Biên Tập'!C124="","","Biên Tập")</f>
        <v/>
      </c>
      <c r="B320" s="52" t="str">
        <f>IF('Biên Tập'!B124="","",'Biên Tập'!B124)</f>
        <v/>
      </c>
      <c r="C320" s="52" t="str">
        <f>IF('Biên Tập'!C124="","",'Biên Tập'!C124)</f>
        <v/>
      </c>
      <c r="D320" s="52" t="str">
        <f>IF('Biên Tập'!D124="","",'Biên Tập'!D124)</f>
        <v/>
      </c>
      <c r="E320" s="52" t="str">
        <f>IF('Biên Tập'!E124="","",'Biên Tập'!E124)</f>
        <v/>
      </c>
      <c r="F320" s="52" t="str">
        <f>IF('Biên Tập'!F124="","",'Biên Tập'!F124)</f>
        <v/>
      </c>
      <c r="G320" s="52" t="str">
        <f>IF('Biên Tập'!G124="","",'Biên Tập'!G124)</f>
        <v/>
      </c>
      <c r="H320" s="52" t="str">
        <f>IF('Biên Tập'!J124="","",'Biên Tập'!J124)</f>
        <v/>
      </c>
      <c r="I320" s="52" t="str">
        <f>IF('Biên Tập'!M124="","",'Biên Tập'!M124)</f>
        <v/>
      </c>
      <c r="J320" s="52" t="str">
        <f>IF('Biên Tập'!R124="","",'Biên Tập'!R124)</f>
        <v/>
      </c>
      <c r="K320" s="52" t="str">
        <f t="array" ref="K320">IF(COUNTA('Biên Tập'!T124:AE124)=0,"",INDEX('Biên Tập'!T124:AE124,1,SUMPRODUCT(MAX(('Biên Tập'!T124:AE124&lt;&gt;"")*(COLUMN('Biên Tập'!T124:AE124)-COLUMN('Biên Tập'!T124)+1)))))</f>
        <v/>
      </c>
      <c r="L320" s="52" t="str">
        <f>IF(AND(G320&lt;&gt;"",G320='Tổng hợp'!$C$4),MAX(L$1:L319)+1,"")</f>
        <v/>
      </c>
    </row>
    <row r="321" ht="15.75" customHeight="1">
      <c r="A321" s="52" t="str">
        <f>IF('Biên Tập'!C125="","","Biên Tập")</f>
        <v/>
      </c>
      <c r="B321" s="52" t="str">
        <f>IF('Biên Tập'!B125="","",'Biên Tập'!B125)</f>
        <v/>
      </c>
      <c r="C321" s="52" t="str">
        <f>IF('Biên Tập'!C125="","",'Biên Tập'!C125)</f>
        <v/>
      </c>
      <c r="D321" s="52" t="str">
        <f>IF('Biên Tập'!D125="","",'Biên Tập'!D125)</f>
        <v/>
      </c>
      <c r="E321" s="52" t="str">
        <f>IF('Biên Tập'!E125="","",'Biên Tập'!E125)</f>
        <v/>
      </c>
      <c r="F321" s="52" t="str">
        <f>IF('Biên Tập'!F125="","",'Biên Tập'!F125)</f>
        <v/>
      </c>
      <c r="G321" s="52" t="str">
        <f>IF('Biên Tập'!G125="","",'Biên Tập'!G125)</f>
        <v/>
      </c>
      <c r="H321" s="52" t="str">
        <f>IF('Biên Tập'!J125="","",'Biên Tập'!J125)</f>
        <v/>
      </c>
      <c r="I321" s="52" t="str">
        <f>IF('Biên Tập'!M125="","",'Biên Tập'!M125)</f>
        <v/>
      </c>
      <c r="J321" s="52" t="str">
        <f>IF('Biên Tập'!R125="","",'Biên Tập'!R125)</f>
        <v/>
      </c>
      <c r="K321" s="52" t="str">
        <f t="array" ref="K321">IF(COUNTA('Biên Tập'!T125:AE125)=0,"",INDEX('Biên Tập'!T125:AE125,1,SUMPRODUCT(MAX(('Biên Tập'!T125:AE125&lt;&gt;"")*(COLUMN('Biên Tập'!T125:AE125)-COLUMN('Biên Tập'!T125)+1)))))</f>
        <v/>
      </c>
      <c r="L321" s="52" t="str">
        <f>IF(AND(G321&lt;&gt;"",G321='Tổng hợp'!$C$4),MAX(L$1:L320)+1,"")</f>
        <v/>
      </c>
    </row>
    <row r="322" ht="15.75" customHeight="1">
      <c r="A322" s="52" t="str">
        <f>IF('Biên Tập'!C126="","","Biên Tập")</f>
        <v/>
      </c>
      <c r="B322" s="52" t="str">
        <f>IF('Biên Tập'!B126="","",'Biên Tập'!B126)</f>
        <v/>
      </c>
      <c r="C322" s="52" t="str">
        <f>IF('Biên Tập'!C126="","",'Biên Tập'!C126)</f>
        <v/>
      </c>
      <c r="D322" s="52" t="str">
        <f>IF('Biên Tập'!D126="","",'Biên Tập'!D126)</f>
        <v/>
      </c>
      <c r="E322" s="52" t="str">
        <f>IF('Biên Tập'!E126="","",'Biên Tập'!E126)</f>
        <v/>
      </c>
      <c r="F322" s="52" t="str">
        <f>IF('Biên Tập'!F126="","",'Biên Tập'!F126)</f>
        <v/>
      </c>
      <c r="G322" s="52" t="str">
        <f>IF('Biên Tập'!G126="","",'Biên Tập'!G126)</f>
        <v/>
      </c>
      <c r="H322" s="52" t="str">
        <f>IF('Biên Tập'!J126="","",'Biên Tập'!J126)</f>
        <v/>
      </c>
      <c r="I322" s="52" t="str">
        <f>IF('Biên Tập'!M126="","",'Biên Tập'!M126)</f>
        <v/>
      </c>
      <c r="J322" s="52" t="str">
        <f>IF('Biên Tập'!R126="","",'Biên Tập'!R126)</f>
        <v/>
      </c>
      <c r="K322" s="52" t="str">
        <f t="array" ref="K322">IF(COUNTA('Biên Tập'!T126:AE126)=0,"",INDEX('Biên Tập'!T126:AE126,1,SUMPRODUCT(MAX(('Biên Tập'!T126:AE126&lt;&gt;"")*(COLUMN('Biên Tập'!T126:AE126)-COLUMN('Biên Tập'!T126)+1)))))</f>
        <v/>
      </c>
      <c r="L322" s="52" t="str">
        <f>IF(AND(G322&lt;&gt;"",G322='Tổng hợp'!$C$4),MAX(L$1:L321)+1,"")</f>
        <v/>
      </c>
    </row>
    <row r="323" ht="15.75" customHeight="1">
      <c r="A323" s="52" t="str">
        <f>IF('Biên Tập'!C127="","","Biên Tập")</f>
        <v/>
      </c>
      <c r="B323" s="52" t="str">
        <f>IF('Biên Tập'!B127="","",'Biên Tập'!B127)</f>
        <v/>
      </c>
      <c r="C323" s="52" t="str">
        <f>IF('Biên Tập'!C127="","",'Biên Tập'!C127)</f>
        <v/>
      </c>
      <c r="D323" s="52" t="str">
        <f>IF('Biên Tập'!D127="","",'Biên Tập'!D127)</f>
        <v/>
      </c>
      <c r="E323" s="52" t="str">
        <f>IF('Biên Tập'!E127="","",'Biên Tập'!E127)</f>
        <v/>
      </c>
      <c r="F323" s="52" t="str">
        <f>IF('Biên Tập'!F127="","",'Biên Tập'!F127)</f>
        <v/>
      </c>
      <c r="G323" s="52" t="str">
        <f>IF('Biên Tập'!G127="","",'Biên Tập'!G127)</f>
        <v/>
      </c>
      <c r="H323" s="52" t="str">
        <f>IF('Biên Tập'!J127="","",'Biên Tập'!J127)</f>
        <v/>
      </c>
      <c r="I323" s="52" t="str">
        <f>IF('Biên Tập'!M127="","",'Biên Tập'!M127)</f>
        <v/>
      </c>
      <c r="J323" s="52" t="str">
        <f>IF('Biên Tập'!R127="","",'Biên Tập'!R127)</f>
        <v/>
      </c>
      <c r="K323" s="52" t="str">
        <f t="array" ref="K323">IF(COUNTA('Biên Tập'!T127:AE127)=0,"",INDEX('Biên Tập'!T127:AE127,1,SUMPRODUCT(MAX(('Biên Tập'!T127:AE127&lt;&gt;"")*(COLUMN('Biên Tập'!T127:AE127)-COLUMN('Biên Tập'!T127)+1)))))</f>
        <v/>
      </c>
      <c r="L323" s="52" t="str">
        <f>IF(AND(G323&lt;&gt;"",G323='Tổng hợp'!$C$4),MAX(L$1:L322)+1,"")</f>
        <v/>
      </c>
    </row>
    <row r="324" ht="15.75" customHeight="1">
      <c r="A324" s="52" t="str">
        <f>IF('Biên Tập'!C128="","","Biên Tập")</f>
        <v/>
      </c>
      <c r="B324" s="52" t="str">
        <f>IF('Biên Tập'!B128="","",'Biên Tập'!B128)</f>
        <v/>
      </c>
      <c r="C324" s="52" t="str">
        <f>IF('Biên Tập'!C128="","",'Biên Tập'!C128)</f>
        <v/>
      </c>
      <c r="D324" s="52" t="str">
        <f>IF('Biên Tập'!D128="","",'Biên Tập'!D128)</f>
        <v/>
      </c>
      <c r="E324" s="52" t="str">
        <f>IF('Biên Tập'!E128="","",'Biên Tập'!E128)</f>
        <v/>
      </c>
      <c r="F324" s="52" t="str">
        <f>IF('Biên Tập'!F128="","",'Biên Tập'!F128)</f>
        <v/>
      </c>
      <c r="G324" s="52" t="str">
        <f>IF('Biên Tập'!G128="","",'Biên Tập'!G128)</f>
        <v/>
      </c>
      <c r="H324" s="52" t="str">
        <f>IF('Biên Tập'!J128="","",'Biên Tập'!J128)</f>
        <v/>
      </c>
      <c r="I324" s="52" t="str">
        <f>IF('Biên Tập'!M128="","",'Biên Tập'!M128)</f>
        <v/>
      </c>
      <c r="J324" s="52" t="str">
        <f>IF('Biên Tập'!R128="","",'Biên Tập'!R128)</f>
        <v/>
      </c>
      <c r="K324" s="52" t="str">
        <f t="array" ref="K324">IF(COUNTA('Biên Tập'!T128:AE128)=0,"",INDEX('Biên Tập'!T128:AE128,1,SUMPRODUCT(MAX(('Biên Tập'!T128:AE128&lt;&gt;"")*(COLUMN('Biên Tập'!T128:AE128)-COLUMN('Biên Tập'!T128)+1)))))</f>
        <v/>
      </c>
      <c r="L324" s="52" t="str">
        <f>IF(AND(G324&lt;&gt;"",G324='Tổng hợp'!$C$4),MAX(L$1:L323)+1,"")</f>
        <v/>
      </c>
    </row>
    <row r="325" ht="15.75" customHeight="1">
      <c r="A325" s="52" t="str">
        <f>IF('Biên Tập'!C129="","","Biên Tập")</f>
        <v/>
      </c>
      <c r="B325" s="52" t="str">
        <f>IF('Biên Tập'!B129="","",'Biên Tập'!B129)</f>
        <v/>
      </c>
      <c r="C325" s="52" t="str">
        <f>IF('Biên Tập'!C129="","",'Biên Tập'!C129)</f>
        <v/>
      </c>
      <c r="D325" s="52" t="str">
        <f>IF('Biên Tập'!D129="","",'Biên Tập'!D129)</f>
        <v/>
      </c>
      <c r="E325" s="52" t="str">
        <f>IF('Biên Tập'!E129="","",'Biên Tập'!E129)</f>
        <v/>
      </c>
      <c r="F325" s="52" t="str">
        <f>IF('Biên Tập'!F129="","",'Biên Tập'!F129)</f>
        <v/>
      </c>
      <c r="G325" s="52" t="str">
        <f>IF('Biên Tập'!G129="","",'Biên Tập'!G129)</f>
        <v/>
      </c>
      <c r="H325" s="52" t="str">
        <f>IF('Biên Tập'!J129="","",'Biên Tập'!J129)</f>
        <v/>
      </c>
      <c r="I325" s="52" t="str">
        <f>IF('Biên Tập'!M129="","",'Biên Tập'!M129)</f>
        <v/>
      </c>
      <c r="J325" s="52" t="str">
        <f>IF('Biên Tập'!R129="","",'Biên Tập'!R129)</f>
        <v/>
      </c>
      <c r="K325" s="52" t="str">
        <f t="array" ref="K325">IF(COUNTA('Biên Tập'!T129:AE129)=0,"",INDEX('Biên Tập'!T129:AE129,1,SUMPRODUCT(MAX(('Biên Tập'!T129:AE129&lt;&gt;"")*(COLUMN('Biên Tập'!T129:AE129)-COLUMN('Biên Tập'!T129)+1)))))</f>
        <v/>
      </c>
      <c r="L325" s="52" t="str">
        <f>IF(AND(G325&lt;&gt;"",G325='Tổng hợp'!$C$4),MAX(L$1:L324)+1,"")</f>
        <v/>
      </c>
    </row>
    <row r="326" ht="15.75" customHeight="1">
      <c r="A326" s="52" t="str">
        <f>IF('Biên Tập'!C130="","","Biên Tập")</f>
        <v/>
      </c>
      <c r="B326" s="52" t="str">
        <f>IF('Biên Tập'!B130="","",'Biên Tập'!B130)</f>
        <v/>
      </c>
      <c r="C326" s="52" t="str">
        <f>IF('Biên Tập'!C130="","",'Biên Tập'!C130)</f>
        <v/>
      </c>
      <c r="D326" s="52" t="str">
        <f>IF('Biên Tập'!D130="","",'Biên Tập'!D130)</f>
        <v/>
      </c>
      <c r="E326" s="52" t="str">
        <f>IF('Biên Tập'!E130="","",'Biên Tập'!E130)</f>
        <v/>
      </c>
      <c r="F326" s="52" t="str">
        <f>IF('Biên Tập'!F130="","",'Biên Tập'!F130)</f>
        <v/>
      </c>
      <c r="G326" s="52" t="str">
        <f>IF('Biên Tập'!G130="","",'Biên Tập'!G130)</f>
        <v/>
      </c>
      <c r="H326" s="52" t="str">
        <f>IF('Biên Tập'!J130="","",'Biên Tập'!J130)</f>
        <v/>
      </c>
      <c r="I326" s="52" t="str">
        <f>IF('Biên Tập'!M130="","",'Biên Tập'!M130)</f>
        <v/>
      </c>
      <c r="J326" s="52" t="str">
        <f>IF('Biên Tập'!R130="","",'Biên Tập'!R130)</f>
        <v/>
      </c>
      <c r="K326" s="52" t="str">
        <f t="array" ref="K326">IF(COUNTA('Biên Tập'!T130:AE130)=0,"",INDEX('Biên Tập'!T130:AE130,1,SUMPRODUCT(MAX(('Biên Tập'!T130:AE130&lt;&gt;"")*(COLUMN('Biên Tập'!T130:AE130)-COLUMN('Biên Tập'!T130)+1)))))</f>
        <v/>
      </c>
      <c r="L326" s="52" t="str">
        <f>IF(AND(G326&lt;&gt;"",G326='Tổng hợp'!$C$4),MAX(L$1:L325)+1,"")</f>
        <v/>
      </c>
    </row>
    <row r="327" ht="15.75" customHeight="1">
      <c r="A327" s="52" t="str">
        <f>IF('Biên Tập'!C131="","","Biên Tập")</f>
        <v/>
      </c>
      <c r="B327" s="52" t="str">
        <f>IF('Biên Tập'!B131="","",'Biên Tập'!B131)</f>
        <v/>
      </c>
      <c r="C327" s="52" t="str">
        <f>IF('Biên Tập'!C131="","",'Biên Tập'!C131)</f>
        <v/>
      </c>
      <c r="D327" s="52" t="str">
        <f>IF('Biên Tập'!D131="","",'Biên Tập'!D131)</f>
        <v/>
      </c>
      <c r="E327" s="52" t="str">
        <f>IF('Biên Tập'!E131="","",'Biên Tập'!E131)</f>
        <v/>
      </c>
      <c r="F327" s="52" t="str">
        <f>IF('Biên Tập'!F131="","",'Biên Tập'!F131)</f>
        <v/>
      </c>
      <c r="G327" s="52" t="str">
        <f>IF('Biên Tập'!G131="","",'Biên Tập'!G131)</f>
        <v/>
      </c>
      <c r="H327" s="52" t="str">
        <f>IF('Biên Tập'!J131="","",'Biên Tập'!J131)</f>
        <v/>
      </c>
      <c r="I327" s="52" t="str">
        <f>IF('Biên Tập'!M131="","",'Biên Tập'!M131)</f>
        <v/>
      </c>
      <c r="J327" s="52" t="str">
        <f>IF('Biên Tập'!R131="","",'Biên Tập'!R131)</f>
        <v/>
      </c>
      <c r="K327" s="52" t="str">
        <f t="array" ref="K327">IF(COUNTA('Biên Tập'!T131:AE131)=0,"",INDEX('Biên Tập'!T131:AE131,1,SUMPRODUCT(MAX(('Biên Tập'!T131:AE131&lt;&gt;"")*(COLUMN('Biên Tập'!T131:AE131)-COLUMN('Biên Tập'!T131)+1)))))</f>
        <v/>
      </c>
      <c r="L327" s="52" t="str">
        <f>IF(AND(G327&lt;&gt;"",G327='Tổng hợp'!$C$4),MAX(L$1:L326)+1,"")</f>
        <v/>
      </c>
    </row>
    <row r="328" ht="15.75" customHeight="1">
      <c r="A328" s="52" t="str">
        <f>IF('Biên Tập'!C132="","","Biên Tập")</f>
        <v/>
      </c>
      <c r="B328" s="52" t="str">
        <f>IF('Biên Tập'!B132="","",'Biên Tập'!B132)</f>
        <v/>
      </c>
      <c r="C328" s="52" t="str">
        <f>IF('Biên Tập'!C132="","",'Biên Tập'!C132)</f>
        <v/>
      </c>
      <c r="D328" s="52" t="str">
        <f>IF('Biên Tập'!D132="","",'Biên Tập'!D132)</f>
        <v/>
      </c>
      <c r="E328" s="52" t="str">
        <f>IF('Biên Tập'!E132="","",'Biên Tập'!E132)</f>
        <v/>
      </c>
      <c r="F328" s="52" t="str">
        <f>IF('Biên Tập'!F132="","",'Biên Tập'!F132)</f>
        <v/>
      </c>
      <c r="G328" s="52" t="str">
        <f>IF('Biên Tập'!G132="","",'Biên Tập'!G132)</f>
        <v/>
      </c>
      <c r="H328" s="52" t="str">
        <f>IF('Biên Tập'!J132="","",'Biên Tập'!J132)</f>
        <v/>
      </c>
      <c r="I328" s="52" t="str">
        <f>IF('Biên Tập'!M132="","",'Biên Tập'!M132)</f>
        <v/>
      </c>
      <c r="J328" s="52" t="str">
        <f>IF('Biên Tập'!R132="","",'Biên Tập'!R132)</f>
        <v/>
      </c>
      <c r="K328" s="52" t="str">
        <f t="array" ref="K328">IF(COUNTA('Biên Tập'!T132:AE132)=0,"",INDEX('Biên Tập'!T132:AE132,1,SUMPRODUCT(MAX(('Biên Tập'!T132:AE132&lt;&gt;"")*(COLUMN('Biên Tập'!T132:AE132)-COLUMN('Biên Tập'!T132)+1)))))</f>
        <v/>
      </c>
      <c r="L328" s="52" t="str">
        <f>IF(AND(G328&lt;&gt;"",G328='Tổng hợp'!$C$4),MAX(L$1:L327)+1,"")</f>
        <v/>
      </c>
    </row>
    <row r="329" ht="15.75" customHeight="1">
      <c r="A329" s="52" t="str">
        <f>IF('Biên Tập'!C133="","","Biên Tập")</f>
        <v/>
      </c>
      <c r="B329" s="52" t="str">
        <f>IF('Biên Tập'!B133="","",'Biên Tập'!B133)</f>
        <v/>
      </c>
      <c r="C329" s="52" t="str">
        <f>IF('Biên Tập'!C133="","",'Biên Tập'!C133)</f>
        <v/>
      </c>
      <c r="D329" s="52" t="str">
        <f>IF('Biên Tập'!D133="","",'Biên Tập'!D133)</f>
        <v/>
      </c>
      <c r="E329" s="52" t="str">
        <f>IF('Biên Tập'!E133="","",'Biên Tập'!E133)</f>
        <v/>
      </c>
      <c r="F329" s="52" t="str">
        <f>IF('Biên Tập'!F133="","",'Biên Tập'!F133)</f>
        <v/>
      </c>
      <c r="G329" s="52" t="str">
        <f>IF('Biên Tập'!G133="","",'Biên Tập'!G133)</f>
        <v/>
      </c>
      <c r="H329" s="52" t="str">
        <f>IF('Biên Tập'!J133="","",'Biên Tập'!J133)</f>
        <v/>
      </c>
      <c r="I329" s="52" t="str">
        <f>IF('Biên Tập'!M133="","",'Biên Tập'!M133)</f>
        <v/>
      </c>
      <c r="J329" s="52" t="str">
        <f>IF('Biên Tập'!R133="","",'Biên Tập'!R133)</f>
        <v/>
      </c>
      <c r="K329" s="52" t="str">
        <f t="array" ref="K329">IF(COUNTA('Biên Tập'!T133:AE133)=0,"",INDEX('Biên Tập'!T133:AE133,1,SUMPRODUCT(MAX(('Biên Tập'!T133:AE133&lt;&gt;"")*(COLUMN('Biên Tập'!T133:AE133)-COLUMN('Biên Tập'!T133)+1)))))</f>
        <v/>
      </c>
      <c r="L329" s="52" t="str">
        <f>IF(AND(G329&lt;&gt;"",G329='Tổng hợp'!$C$4),MAX(L$1:L328)+1,"")</f>
        <v/>
      </c>
    </row>
    <row r="330" ht="15.75" customHeight="1">
      <c r="A330" s="52" t="str">
        <f>IF('Biên Tập'!C134="","","Biên Tập")</f>
        <v/>
      </c>
      <c r="B330" s="52" t="str">
        <f>IF('Biên Tập'!B134="","",'Biên Tập'!B134)</f>
        <v/>
      </c>
      <c r="C330" s="52" t="str">
        <f>IF('Biên Tập'!C134="","",'Biên Tập'!C134)</f>
        <v/>
      </c>
      <c r="D330" s="52" t="str">
        <f>IF('Biên Tập'!D134="","",'Biên Tập'!D134)</f>
        <v/>
      </c>
      <c r="E330" s="52" t="str">
        <f>IF('Biên Tập'!E134="","",'Biên Tập'!E134)</f>
        <v/>
      </c>
      <c r="F330" s="52" t="str">
        <f>IF('Biên Tập'!F134="","",'Biên Tập'!F134)</f>
        <v/>
      </c>
      <c r="G330" s="52" t="str">
        <f>IF('Biên Tập'!G134="","",'Biên Tập'!G134)</f>
        <v/>
      </c>
      <c r="H330" s="52" t="str">
        <f>IF('Biên Tập'!J134="","",'Biên Tập'!J134)</f>
        <v/>
      </c>
      <c r="I330" s="52" t="str">
        <f>IF('Biên Tập'!M134="","",'Biên Tập'!M134)</f>
        <v/>
      </c>
      <c r="J330" s="52" t="str">
        <f>IF('Biên Tập'!R134="","",'Biên Tập'!R134)</f>
        <v/>
      </c>
      <c r="K330" s="52" t="str">
        <f t="array" ref="K330">IF(COUNTA('Biên Tập'!T134:AE134)=0,"",INDEX('Biên Tập'!T134:AE134,1,SUMPRODUCT(MAX(('Biên Tập'!T134:AE134&lt;&gt;"")*(COLUMN('Biên Tập'!T134:AE134)-COLUMN('Biên Tập'!T134)+1)))))</f>
        <v/>
      </c>
      <c r="L330" s="52" t="str">
        <f>IF(AND(G330&lt;&gt;"",G330='Tổng hợp'!$C$4),MAX(L$1:L329)+1,"")</f>
        <v/>
      </c>
    </row>
    <row r="331" ht="15.75" customHeight="1">
      <c r="A331" s="52" t="str">
        <f>IF('Biên Tập'!C135="","","Biên Tập")</f>
        <v/>
      </c>
      <c r="B331" s="52" t="str">
        <f>IF('Biên Tập'!B135="","",'Biên Tập'!B135)</f>
        <v/>
      </c>
      <c r="C331" s="52" t="str">
        <f>IF('Biên Tập'!C135="","",'Biên Tập'!C135)</f>
        <v/>
      </c>
      <c r="D331" s="52" t="str">
        <f>IF('Biên Tập'!D135="","",'Biên Tập'!D135)</f>
        <v/>
      </c>
      <c r="E331" s="52" t="str">
        <f>IF('Biên Tập'!E135="","",'Biên Tập'!E135)</f>
        <v/>
      </c>
      <c r="F331" s="52" t="str">
        <f>IF('Biên Tập'!F135="","",'Biên Tập'!F135)</f>
        <v/>
      </c>
      <c r="G331" s="52" t="str">
        <f>IF('Biên Tập'!G135="","",'Biên Tập'!G135)</f>
        <v/>
      </c>
      <c r="H331" s="52" t="str">
        <f>IF('Biên Tập'!J135="","",'Biên Tập'!J135)</f>
        <v/>
      </c>
      <c r="I331" s="52" t="str">
        <f>IF('Biên Tập'!M135="","",'Biên Tập'!M135)</f>
        <v/>
      </c>
      <c r="J331" s="52" t="str">
        <f>IF('Biên Tập'!R135="","",'Biên Tập'!R135)</f>
        <v/>
      </c>
      <c r="K331" s="52" t="str">
        <f t="array" ref="K331">IF(COUNTA('Biên Tập'!T135:AE135)=0,"",INDEX('Biên Tập'!T135:AE135,1,SUMPRODUCT(MAX(('Biên Tập'!T135:AE135&lt;&gt;"")*(COLUMN('Biên Tập'!T135:AE135)-COLUMN('Biên Tập'!T135)+1)))))</f>
        <v/>
      </c>
      <c r="L331" s="52" t="str">
        <f>IF(AND(G331&lt;&gt;"",G331='Tổng hợp'!$C$4),MAX(L$1:L330)+1,"")</f>
        <v/>
      </c>
    </row>
    <row r="332" ht="15.75" customHeight="1">
      <c r="A332" s="52" t="str">
        <f>IF('Biên Tập'!C136="","","Biên Tập")</f>
        <v/>
      </c>
      <c r="B332" s="52" t="str">
        <f>IF('Biên Tập'!B136="","",'Biên Tập'!B136)</f>
        <v/>
      </c>
      <c r="C332" s="52" t="str">
        <f>IF('Biên Tập'!C136="","",'Biên Tập'!C136)</f>
        <v/>
      </c>
      <c r="D332" s="52" t="str">
        <f>IF('Biên Tập'!D136="","",'Biên Tập'!D136)</f>
        <v/>
      </c>
      <c r="E332" s="52" t="str">
        <f>IF('Biên Tập'!E136="","",'Biên Tập'!E136)</f>
        <v/>
      </c>
      <c r="F332" s="52" t="str">
        <f>IF('Biên Tập'!F136="","",'Biên Tập'!F136)</f>
        <v/>
      </c>
      <c r="G332" s="52" t="str">
        <f>IF('Biên Tập'!G136="","",'Biên Tập'!G136)</f>
        <v/>
      </c>
      <c r="H332" s="52" t="str">
        <f>IF('Biên Tập'!J136="","",'Biên Tập'!J136)</f>
        <v/>
      </c>
      <c r="I332" s="52" t="str">
        <f>IF('Biên Tập'!M136="","",'Biên Tập'!M136)</f>
        <v/>
      </c>
      <c r="J332" s="52" t="str">
        <f>IF('Biên Tập'!R136="","",'Biên Tập'!R136)</f>
        <v/>
      </c>
      <c r="K332" s="52" t="str">
        <f t="array" ref="K332">IF(COUNTA('Biên Tập'!T136:AE136)=0,"",INDEX('Biên Tập'!T136:AE136,1,SUMPRODUCT(MAX(('Biên Tập'!T136:AE136&lt;&gt;"")*(COLUMN('Biên Tập'!T136:AE136)-COLUMN('Biên Tập'!T136)+1)))))</f>
        <v/>
      </c>
      <c r="L332" s="52" t="str">
        <f>IF(AND(G332&lt;&gt;"",G332='Tổng hợp'!$C$4),MAX(L$1:L331)+1,"")</f>
        <v/>
      </c>
    </row>
    <row r="333" ht="15.75" customHeight="1">
      <c r="A333" s="52" t="str">
        <f>IF('Biên Tập'!C137="","","Biên Tập")</f>
        <v/>
      </c>
      <c r="B333" s="52" t="str">
        <f>IF('Biên Tập'!B137="","",'Biên Tập'!B137)</f>
        <v/>
      </c>
      <c r="C333" s="52" t="str">
        <f>IF('Biên Tập'!C137="","",'Biên Tập'!C137)</f>
        <v/>
      </c>
      <c r="D333" s="52" t="str">
        <f>IF('Biên Tập'!D137="","",'Biên Tập'!D137)</f>
        <v/>
      </c>
      <c r="E333" s="52" t="str">
        <f>IF('Biên Tập'!E137="","",'Biên Tập'!E137)</f>
        <v/>
      </c>
      <c r="F333" s="52" t="str">
        <f>IF('Biên Tập'!F137="","",'Biên Tập'!F137)</f>
        <v/>
      </c>
      <c r="G333" s="52" t="str">
        <f>IF('Biên Tập'!G137="","",'Biên Tập'!G137)</f>
        <v/>
      </c>
      <c r="H333" s="52" t="str">
        <f>IF('Biên Tập'!J137="","",'Biên Tập'!J137)</f>
        <v/>
      </c>
      <c r="I333" s="52" t="str">
        <f>IF('Biên Tập'!M137="","",'Biên Tập'!M137)</f>
        <v/>
      </c>
      <c r="J333" s="52" t="str">
        <f>IF('Biên Tập'!R137="","",'Biên Tập'!R137)</f>
        <v/>
      </c>
      <c r="K333" s="52" t="str">
        <f t="array" ref="K333">IF(COUNTA('Biên Tập'!T137:AE137)=0,"",INDEX('Biên Tập'!T137:AE137,1,SUMPRODUCT(MAX(('Biên Tập'!T137:AE137&lt;&gt;"")*(COLUMN('Biên Tập'!T137:AE137)-COLUMN('Biên Tập'!T137)+1)))))</f>
        <v/>
      </c>
      <c r="L333" s="52" t="str">
        <f>IF(AND(G333&lt;&gt;"",G333='Tổng hợp'!$C$4),MAX(L$1:L332)+1,"")</f>
        <v/>
      </c>
    </row>
    <row r="334" ht="15.75" customHeight="1">
      <c r="A334" s="52" t="str">
        <f>IF('Biên Tập'!C138="","","Biên Tập")</f>
        <v/>
      </c>
      <c r="B334" s="52" t="str">
        <f>IF('Biên Tập'!B138="","",'Biên Tập'!B138)</f>
        <v/>
      </c>
      <c r="C334" s="52" t="str">
        <f>IF('Biên Tập'!C138="","",'Biên Tập'!C138)</f>
        <v/>
      </c>
      <c r="D334" s="52" t="str">
        <f>IF('Biên Tập'!D138="","",'Biên Tập'!D138)</f>
        <v/>
      </c>
      <c r="E334" s="52" t="str">
        <f>IF('Biên Tập'!E138="","",'Biên Tập'!E138)</f>
        <v/>
      </c>
      <c r="F334" s="52" t="str">
        <f>IF('Biên Tập'!F138="","",'Biên Tập'!F138)</f>
        <v/>
      </c>
      <c r="G334" s="52" t="str">
        <f>IF('Biên Tập'!G138="","",'Biên Tập'!G138)</f>
        <v/>
      </c>
      <c r="H334" s="52" t="str">
        <f>IF('Biên Tập'!J138="","",'Biên Tập'!J138)</f>
        <v/>
      </c>
      <c r="I334" s="52" t="str">
        <f>IF('Biên Tập'!M138="","",'Biên Tập'!M138)</f>
        <v/>
      </c>
      <c r="J334" s="52" t="str">
        <f>IF('Biên Tập'!R138="","",'Biên Tập'!R138)</f>
        <v/>
      </c>
      <c r="K334" s="52" t="str">
        <f t="array" ref="K334">IF(COUNTA('Biên Tập'!T138:AE138)=0,"",INDEX('Biên Tập'!T138:AE138,1,SUMPRODUCT(MAX(('Biên Tập'!T138:AE138&lt;&gt;"")*(COLUMN('Biên Tập'!T138:AE138)-COLUMN('Biên Tập'!T138)+1)))))</f>
        <v/>
      </c>
      <c r="L334" s="52" t="str">
        <f>IF(AND(G334&lt;&gt;"",G334='Tổng hợp'!$C$4),MAX(L$1:L333)+1,"")</f>
        <v/>
      </c>
    </row>
    <row r="335" ht="15.75" customHeight="1">
      <c r="A335" s="52" t="str">
        <f>IF('Biên Tập'!C139="","","Biên Tập")</f>
        <v/>
      </c>
      <c r="B335" s="52" t="str">
        <f>IF('Biên Tập'!B139="","",'Biên Tập'!B139)</f>
        <v/>
      </c>
      <c r="C335" s="52" t="str">
        <f>IF('Biên Tập'!C139="","",'Biên Tập'!C139)</f>
        <v/>
      </c>
      <c r="D335" s="52" t="str">
        <f>IF('Biên Tập'!D139="","",'Biên Tập'!D139)</f>
        <v/>
      </c>
      <c r="E335" s="52" t="str">
        <f>IF('Biên Tập'!E139="","",'Biên Tập'!E139)</f>
        <v/>
      </c>
      <c r="F335" s="52" t="str">
        <f>IF('Biên Tập'!F139="","",'Biên Tập'!F139)</f>
        <v/>
      </c>
      <c r="G335" s="52" t="str">
        <f>IF('Biên Tập'!G139="","",'Biên Tập'!G139)</f>
        <v/>
      </c>
      <c r="H335" s="52" t="str">
        <f>IF('Biên Tập'!J139="","",'Biên Tập'!J139)</f>
        <v/>
      </c>
      <c r="I335" s="52" t="str">
        <f>IF('Biên Tập'!M139="","",'Biên Tập'!M139)</f>
        <v/>
      </c>
      <c r="J335" s="52" t="str">
        <f>IF('Biên Tập'!R139="","",'Biên Tập'!R139)</f>
        <v/>
      </c>
      <c r="K335" s="52" t="str">
        <f t="array" ref="K335">IF(COUNTA('Biên Tập'!T139:AE139)=0,"",INDEX('Biên Tập'!T139:AE139,1,SUMPRODUCT(MAX(('Biên Tập'!T139:AE139&lt;&gt;"")*(COLUMN('Biên Tập'!T139:AE139)-COLUMN('Biên Tập'!T139)+1)))))</f>
        <v/>
      </c>
      <c r="L335" s="52" t="str">
        <f>IF(AND(G335&lt;&gt;"",G335='Tổng hợp'!$C$4),MAX(L$1:L334)+1,"")</f>
        <v/>
      </c>
    </row>
    <row r="336" ht="15.75" customHeight="1">
      <c r="A336" s="52" t="str">
        <f>IF('Biên Tập'!C140="","","Biên Tập")</f>
        <v/>
      </c>
      <c r="B336" s="52" t="str">
        <f>IF('Biên Tập'!B140="","",'Biên Tập'!B140)</f>
        <v/>
      </c>
      <c r="C336" s="52" t="str">
        <f>IF('Biên Tập'!C140="","",'Biên Tập'!C140)</f>
        <v/>
      </c>
      <c r="D336" s="52" t="str">
        <f>IF('Biên Tập'!D140="","",'Biên Tập'!D140)</f>
        <v/>
      </c>
      <c r="E336" s="52" t="str">
        <f>IF('Biên Tập'!E140="","",'Biên Tập'!E140)</f>
        <v/>
      </c>
      <c r="F336" s="52" t="str">
        <f>IF('Biên Tập'!F140="","",'Biên Tập'!F140)</f>
        <v/>
      </c>
      <c r="G336" s="52" t="str">
        <f>IF('Biên Tập'!G140="","",'Biên Tập'!G140)</f>
        <v/>
      </c>
      <c r="H336" s="52" t="str">
        <f>IF('Biên Tập'!J140="","",'Biên Tập'!J140)</f>
        <v/>
      </c>
      <c r="I336" s="52" t="str">
        <f>IF('Biên Tập'!M140="","",'Biên Tập'!M140)</f>
        <v/>
      </c>
      <c r="J336" s="52" t="str">
        <f>IF('Biên Tập'!R140="","",'Biên Tập'!R140)</f>
        <v/>
      </c>
      <c r="K336" s="52" t="str">
        <f t="array" ref="K336">IF(COUNTA('Biên Tập'!T140:AE140)=0,"",INDEX('Biên Tập'!T140:AE140,1,SUMPRODUCT(MAX(('Biên Tập'!T140:AE140&lt;&gt;"")*(COLUMN('Biên Tập'!T140:AE140)-COLUMN('Biên Tập'!T140)+1)))))</f>
        <v/>
      </c>
      <c r="L336" s="52" t="str">
        <f>IF(AND(G336&lt;&gt;"",G336='Tổng hợp'!$C$4),MAX(L$1:L335)+1,"")</f>
        <v/>
      </c>
    </row>
    <row r="337" ht="15.75" customHeight="1">
      <c r="A337" s="52" t="str">
        <f>IF('Biên Tập'!C141="","","Biên Tập")</f>
        <v/>
      </c>
      <c r="B337" s="52" t="str">
        <f>IF('Biên Tập'!B141="","",'Biên Tập'!B141)</f>
        <v/>
      </c>
      <c r="C337" s="52" t="str">
        <f>IF('Biên Tập'!C141="","",'Biên Tập'!C141)</f>
        <v/>
      </c>
      <c r="D337" s="52" t="str">
        <f>IF('Biên Tập'!D141="","",'Biên Tập'!D141)</f>
        <v/>
      </c>
      <c r="E337" s="52" t="str">
        <f>IF('Biên Tập'!E141="","",'Biên Tập'!E141)</f>
        <v/>
      </c>
      <c r="F337" s="52" t="str">
        <f>IF('Biên Tập'!F141="","",'Biên Tập'!F141)</f>
        <v/>
      </c>
      <c r="G337" s="52" t="str">
        <f>IF('Biên Tập'!G141="","",'Biên Tập'!G141)</f>
        <v/>
      </c>
      <c r="H337" s="52" t="str">
        <f>IF('Biên Tập'!J141="","",'Biên Tập'!J141)</f>
        <v/>
      </c>
      <c r="I337" s="52" t="str">
        <f>IF('Biên Tập'!M141="","",'Biên Tập'!M141)</f>
        <v/>
      </c>
      <c r="J337" s="52" t="str">
        <f>IF('Biên Tập'!R141="","",'Biên Tập'!R141)</f>
        <v/>
      </c>
      <c r="K337" s="52" t="str">
        <f t="array" ref="K337">IF(COUNTA('Biên Tập'!T141:AE141)=0,"",INDEX('Biên Tập'!T141:AE141,1,SUMPRODUCT(MAX(('Biên Tập'!T141:AE141&lt;&gt;"")*(COLUMN('Biên Tập'!T141:AE141)-COLUMN('Biên Tập'!T141)+1)))))</f>
        <v/>
      </c>
      <c r="L337" s="52" t="str">
        <f>IF(AND(G337&lt;&gt;"",G337='Tổng hợp'!$C$4),MAX(L$1:L336)+1,"")</f>
        <v/>
      </c>
    </row>
    <row r="338" ht="15.75" customHeight="1">
      <c r="A338" s="52" t="str">
        <f>IF('Biên Tập'!C142="","","Biên Tập")</f>
        <v/>
      </c>
      <c r="B338" s="52" t="str">
        <f>IF('Biên Tập'!B142="","",'Biên Tập'!B142)</f>
        <v/>
      </c>
      <c r="C338" s="52" t="str">
        <f>IF('Biên Tập'!C142="","",'Biên Tập'!C142)</f>
        <v/>
      </c>
      <c r="D338" s="52" t="str">
        <f>IF('Biên Tập'!D142="","",'Biên Tập'!D142)</f>
        <v/>
      </c>
      <c r="E338" s="52" t="str">
        <f>IF('Biên Tập'!E142="","",'Biên Tập'!E142)</f>
        <v/>
      </c>
      <c r="F338" s="52" t="str">
        <f>IF('Biên Tập'!F142="","",'Biên Tập'!F142)</f>
        <v/>
      </c>
      <c r="G338" s="52" t="str">
        <f>IF('Biên Tập'!G142="","",'Biên Tập'!G142)</f>
        <v/>
      </c>
      <c r="H338" s="52" t="str">
        <f>IF('Biên Tập'!J142="","",'Biên Tập'!J142)</f>
        <v/>
      </c>
      <c r="I338" s="52" t="str">
        <f>IF('Biên Tập'!M142="","",'Biên Tập'!M142)</f>
        <v/>
      </c>
      <c r="J338" s="52" t="str">
        <f>IF('Biên Tập'!R142="","",'Biên Tập'!R142)</f>
        <v/>
      </c>
      <c r="K338" s="52" t="str">
        <f t="array" ref="K338">IF(COUNTA('Biên Tập'!T142:AE142)=0,"",INDEX('Biên Tập'!T142:AE142,1,SUMPRODUCT(MAX(('Biên Tập'!T142:AE142&lt;&gt;"")*(COLUMN('Biên Tập'!T142:AE142)-COLUMN('Biên Tập'!T142)+1)))))</f>
        <v/>
      </c>
      <c r="L338" s="52" t="str">
        <f>IF(AND(G338&lt;&gt;"",G338='Tổng hợp'!$C$4),MAX(L$1:L337)+1,"")</f>
        <v/>
      </c>
    </row>
    <row r="339" ht="15.75" customHeight="1">
      <c r="A339" s="52" t="str">
        <f>IF('Biên Tập'!C143="","","Biên Tập")</f>
        <v/>
      </c>
      <c r="B339" s="52" t="str">
        <f>IF('Biên Tập'!B143="","",'Biên Tập'!B143)</f>
        <v/>
      </c>
      <c r="C339" s="52" t="str">
        <f>IF('Biên Tập'!C143="","",'Biên Tập'!C143)</f>
        <v/>
      </c>
      <c r="D339" s="52" t="str">
        <f>IF('Biên Tập'!D143="","",'Biên Tập'!D143)</f>
        <v/>
      </c>
      <c r="E339" s="52" t="str">
        <f>IF('Biên Tập'!E143="","",'Biên Tập'!E143)</f>
        <v/>
      </c>
      <c r="F339" s="52" t="str">
        <f>IF('Biên Tập'!F143="","",'Biên Tập'!F143)</f>
        <v/>
      </c>
      <c r="G339" s="52" t="str">
        <f>IF('Biên Tập'!G143="","",'Biên Tập'!G143)</f>
        <v/>
      </c>
      <c r="H339" s="52" t="str">
        <f>IF('Biên Tập'!J143="","",'Biên Tập'!J143)</f>
        <v/>
      </c>
      <c r="I339" s="52" t="str">
        <f>IF('Biên Tập'!M143="","",'Biên Tập'!M143)</f>
        <v/>
      </c>
      <c r="J339" s="52" t="str">
        <f>IF('Biên Tập'!R143="","",'Biên Tập'!R143)</f>
        <v/>
      </c>
      <c r="K339" s="52" t="str">
        <f t="array" ref="K339">IF(COUNTA('Biên Tập'!T143:AE143)=0,"",INDEX('Biên Tập'!T143:AE143,1,SUMPRODUCT(MAX(('Biên Tập'!T143:AE143&lt;&gt;"")*(COLUMN('Biên Tập'!T143:AE143)-COLUMN('Biên Tập'!T143)+1)))))</f>
        <v/>
      </c>
      <c r="L339" s="52" t="str">
        <f>IF(AND(G339&lt;&gt;"",G339='Tổng hợp'!$C$4),MAX(L$1:L338)+1,"")</f>
        <v/>
      </c>
    </row>
    <row r="340" ht="15.75" customHeight="1">
      <c r="A340" s="52" t="str">
        <f>IF('Biên Tập'!C144="","","Biên Tập")</f>
        <v/>
      </c>
      <c r="B340" s="52" t="str">
        <f>IF('Biên Tập'!B144="","",'Biên Tập'!B144)</f>
        <v/>
      </c>
      <c r="C340" s="52" t="str">
        <f>IF('Biên Tập'!C144="","",'Biên Tập'!C144)</f>
        <v/>
      </c>
      <c r="D340" s="52" t="str">
        <f>IF('Biên Tập'!D144="","",'Biên Tập'!D144)</f>
        <v/>
      </c>
      <c r="E340" s="52" t="str">
        <f>IF('Biên Tập'!E144="","",'Biên Tập'!E144)</f>
        <v/>
      </c>
      <c r="F340" s="52" t="str">
        <f>IF('Biên Tập'!F144="","",'Biên Tập'!F144)</f>
        <v/>
      </c>
      <c r="G340" s="52" t="str">
        <f>IF('Biên Tập'!G144="","",'Biên Tập'!G144)</f>
        <v/>
      </c>
      <c r="H340" s="52" t="str">
        <f>IF('Biên Tập'!J144="","",'Biên Tập'!J144)</f>
        <v/>
      </c>
      <c r="I340" s="52" t="str">
        <f>IF('Biên Tập'!M144="","",'Biên Tập'!M144)</f>
        <v/>
      </c>
      <c r="J340" s="52" t="str">
        <f>IF('Biên Tập'!R144="","",'Biên Tập'!R144)</f>
        <v/>
      </c>
      <c r="K340" s="52" t="str">
        <f t="array" ref="K340">IF(COUNTA('Biên Tập'!T144:AE144)=0,"",INDEX('Biên Tập'!T144:AE144,1,SUMPRODUCT(MAX(('Biên Tập'!T144:AE144&lt;&gt;"")*(COLUMN('Biên Tập'!T144:AE144)-COLUMN('Biên Tập'!T144)+1)))))</f>
        <v/>
      </c>
      <c r="L340" s="52" t="str">
        <f>IF(AND(G340&lt;&gt;"",G340='Tổng hợp'!$C$4),MAX(L$1:L339)+1,"")</f>
        <v/>
      </c>
    </row>
    <row r="341" ht="15.75" customHeight="1">
      <c r="A341" s="52" t="str">
        <f>IF('Biên Tập'!C145="","","Biên Tập")</f>
        <v/>
      </c>
      <c r="B341" s="52" t="str">
        <f>IF('Biên Tập'!B145="","",'Biên Tập'!B145)</f>
        <v/>
      </c>
      <c r="C341" s="52" t="str">
        <f>IF('Biên Tập'!C145="","",'Biên Tập'!C145)</f>
        <v/>
      </c>
      <c r="D341" s="52" t="str">
        <f>IF('Biên Tập'!D145="","",'Biên Tập'!D145)</f>
        <v/>
      </c>
      <c r="E341" s="52" t="str">
        <f>IF('Biên Tập'!E145="","",'Biên Tập'!E145)</f>
        <v/>
      </c>
      <c r="F341" s="52" t="str">
        <f>IF('Biên Tập'!F145="","",'Biên Tập'!F145)</f>
        <v/>
      </c>
      <c r="G341" s="52" t="str">
        <f>IF('Biên Tập'!G145="","",'Biên Tập'!G145)</f>
        <v/>
      </c>
      <c r="H341" s="52" t="str">
        <f>IF('Biên Tập'!J145="","",'Biên Tập'!J145)</f>
        <v/>
      </c>
      <c r="I341" s="52" t="str">
        <f>IF('Biên Tập'!M145="","",'Biên Tập'!M145)</f>
        <v/>
      </c>
      <c r="J341" s="52" t="str">
        <f>IF('Biên Tập'!R145="","",'Biên Tập'!R145)</f>
        <v/>
      </c>
      <c r="K341" s="52" t="str">
        <f t="array" ref="K341">IF(COUNTA('Biên Tập'!T145:AE145)=0,"",INDEX('Biên Tập'!T145:AE145,1,SUMPRODUCT(MAX(('Biên Tập'!T145:AE145&lt;&gt;"")*(COLUMN('Biên Tập'!T145:AE145)-COLUMN('Biên Tập'!T145)+1)))))</f>
        <v/>
      </c>
      <c r="L341" s="52" t="str">
        <f>IF(AND(G341&lt;&gt;"",G341='Tổng hợp'!$C$4),MAX(L$1:L340)+1,"")</f>
        <v/>
      </c>
    </row>
    <row r="342" ht="15.75" customHeight="1">
      <c r="A342" s="52" t="str">
        <f>IF('Biên Tập'!C146="","","Biên Tập")</f>
        <v/>
      </c>
      <c r="B342" s="52" t="str">
        <f>IF('Biên Tập'!B146="","",'Biên Tập'!B146)</f>
        <v/>
      </c>
      <c r="C342" s="52" t="str">
        <f>IF('Biên Tập'!C146="","",'Biên Tập'!C146)</f>
        <v/>
      </c>
      <c r="D342" s="52" t="str">
        <f>IF('Biên Tập'!D146="","",'Biên Tập'!D146)</f>
        <v/>
      </c>
      <c r="E342" s="52" t="str">
        <f>IF('Biên Tập'!E146="","",'Biên Tập'!E146)</f>
        <v/>
      </c>
      <c r="F342" s="52" t="str">
        <f>IF('Biên Tập'!F146="","",'Biên Tập'!F146)</f>
        <v/>
      </c>
      <c r="G342" s="52" t="str">
        <f>IF('Biên Tập'!G146="","",'Biên Tập'!G146)</f>
        <v/>
      </c>
      <c r="H342" s="52" t="str">
        <f>IF('Biên Tập'!J146="","",'Biên Tập'!J146)</f>
        <v/>
      </c>
      <c r="I342" s="52" t="str">
        <f>IF('Biên Tập'!M146="","",'Biên Tập'!M146)</f>
        <v/>
      </c>
      <c r="J342" s="52" t="str">
        <f>IF('Biên Tập'!R146="","",'Biên Tập'!R146)</f>
        <v/>
      </c>
      <c r="K342" s="52" t="str">
        <f t="array" ref="K342">IF(COUNTA('Biên Tập'!T146:AE146)=0,"",INDEX('Biên Tập'!T146:AE146,1,SUMPRODUCT(MAX(('Biên Tập'!T146:AE146&lt;&gt;"")*(COLUMN('Biên Tập'!T146:AE146)-COLUMN('Biên Tập'!T146)+1)))))</f>
        <v/>
      </c>
      <c r="L342" s="52" t="str">
        <f>IF(AND(G342&lt;&gt;"",G342='Tổng hợp'!$C$4),MAX(L$1:L341)+1,"")</f>
        <v/>
      </c>
    </row>
    <row r="343" ht="15.75" customHeight="1">
      <c r="A343" s="52" t="str">
        <f>IF('Biên Tập'!C147="","","Biên Tập")</f>
        <v/>
      </c>
      <c r="B343" s="52" t="str">
        <f>IF('Biên Tập'!B147="","",'Biên Tập'!B147)</f>
        <v/>
      </c>
      <c r="C343" s="52" t="str">
        <f>IF('Biên Tập'!C147="","",'Biên Tập'!C147)</f>
        <v/>
      </c>
      <c r="D343" s="52" t="str">
        <f>IF('Biên Tập'!D147="","",'Biên Tập'!D147)</f>
        <v/>
      </c>
      <c r="E343" s="52" t="str">
        <f>IF('Biên Tập'!E147="","",'Biên Tập'!E147)</f>
        <v/>
      </c>
      <c r="F343" s="52" t="str">
        <f>IF('Biên Tập'!F147="","",'Biên Tập'!F147)</f>
        <v/>
      </c>
      <c r="G343" s="52" t="str">
        <f>IF('Biên Tập'!G147="","",'Biên Tập'!G147)</f>
        <v/>
      </c>
      <c r="H343" s="52" t="str">
        <f>IF('Biên Tập'!J147="","",'Biên Tập'!J147)</f>
        <v/>
      </c>
      <c r="I343" s="52" t="str">
        <f>IF('Biên Tập'!M147="","",'Biên Tập'!M147)</f>
        <v/>
      </c>
      <c r="J343" s="52" t="str">
        <f>IF('Biên Tập'!R147="","",'Biên Tập'!R147)</f>
        <v/>
      </c>
      <c r="K343" s="52" t="str">
        <f t="array" ref="K343">IF(COUNTA('Biên Tập'!T147:AE147)=0,"",INDEX('Biên Tập'!T147:AE147,1,SUMPRODUCT(MAX(('Biên Tập'!T147:AE147&lt;&gt;"")*(COLUMN('Biên Tập'!T147:AE147)-COLUMN('Biên Tập'!T147)+1)))))</f>
        <v/>
      </c>
      <c r="L343" s="52" t="str">
        <f>IF(AND(G343&lt;&gt;"",G343='Tổng hợp'!$C$4),MAX(L$1:L342)+1,"")</f>
        <v/>
      </c>
    </row>
    <row r="344" ht="15.75" customHeight="1">
      <c r="A344" s="52" t="str">
        <f>IF('Biên Tập'!C148="","","Biên Tập")</f>
        <v/>
      </c>
      <c r="B344" s="52" t="str">
        <f>IF('Biên Tập'!B148="","",'Biên Tập'!B148)</f>
        <v/>
      </c>
      <c r="C344" s="52" t="str">
        <f>IF('Biên Tập'!C148="","",'Biên Tập'!C148)</f>
        <v/>
      </c>
      <c r="D344" s="52" t="str">
        <f>IF('Biên Tập'!D148="","",'Biên Tập'!D148)</f>
        <v/>
      </c>
      <c r="E344" s="52" t="str">
        <f>IF('Biên Tập'!E148="","",'Biên Tập'!E148)</f>
        <v/>
      </c>
      <c r="F344" s="52" t="str">
        <f>IF('Biên Tập'!F148="","",'Biên Tập'!F148)</f>
        <v/>
      </c>
      <c r="G344" s="52" t="str">
        <f>IF('Biên Tập'!G148="","",'Biên Tập'!G148)</f>
        <v/>
      </c>
      <c r="H344" s="52" t="str">
        <f>IF('Biên Tập'!J148="","",'Biên Tập'!J148)</f>
        <v/>
      </c>
      <c r="I344" s="52" t="str">
        <f>IF('Biên Tập'!M148="","",'Biên Tập'!M148)</f>
        <v/>
      </c>
      <c r="J344" s="52" t="str">
        <f>IF('Biên Tập'!R148="","",'Biên Tập'!R148)</f>
        <v/>
      </c>
      <c r="K344" s="52" t="str">
        <f t="array" ref="K344">IF(COUNTA('Biên Tập'!T148:AE148)=0,"",INDEX('Biên Tập'!T148:AE148,1,SUMPRODUCT(MAX(('Biên Tập'!T148:AE148&lt;&gt;"")*(COLUMN('Biên Tập'!T148:AE148)-COLUMN('Biên Tập'!T148)+1)))))</f>
        <v/>
      </c>
      <c r="L344" s="52" t="str">
        <f>IF(AND(G344&lt;&gt;"",G344='Tổng hợp'!$C$4),MAX(L$1:L343)+1,"")</f>
        <v/>
      </c>
    </row>
    <row r="345" ht="15.75" customHeight="1">
      <c r="A345" s="52" t="str">
        <f>IF('Biên Tập'!C149="","","Biên Tập")</f>
        <v/>
      </c>
      <c r="B345" s="52" t="str">
        <f>IF('Biên Tập'!B149="","",'Biên Tập'!B149)</f>
        <v/>
      </c>
      <c r="C345" s="52" t="str">
        <f>IF('Biên Tập'!C149="","",'Biên Tập'!C149)</f>
        <v/>
      </c>
      <c r="D345" s="52" t="str">
        <f>IF('Biên Tập'!D149="","",'Biên Tập'!D149)</f>
        <v/>
      </c>
      <c r="E345" s="52" t="str">
        <f>IF('Biên Tập'!E149="","",'Biên Tập'!E149)</f>
        <v/>
      </c>
      <c r="F345" s="52" t="str">
        <f>IF('Biên Tập'!F149="","",'Biên Tập'!F149)</f>
        <v/>
      </c>
      <c r="G345" s="52" t="str">
        <f>IF('Biên Tập'!G149="","",'Biên Tập'!G149)</f>
        <v/>
      </c>
      <c r="H345" s="52" t="str">
        <f>IF('Biên Tập'!J149="","",'Biên Tập'!J149)</f>
        <v/>
      </c>
      <c r="I345" s="52" t="str">
        <f>IF('Biên Tập'!M149="","",'Biên Tập'!M149)</f>
        <v/>
      </c>
      <c r="J345" s="52" t="str">
        <f>IF('Biên Tập'!R149="","",'Biên Tập'!R149)</f>
        <v/>
      </c>
      <c r="K345" s="52" t="str">
        <f t="array" ref="K345">IF(COUNTA('Biên Tập'!T149:AE149)=0,"",INDEX('Biên Tập'!T149:AE149,1,SUMPRODUCT(MAX(('Biên Tập'!T149:AE149&lt;&gt;"")*(COLUMN('Biên Tập'!T149:AE149)-COLUMN('Biên Tập'!T149)+1)))))</f>
        <v/>
      </c>
      <c r="L345" s="52" t="str">
        <f>IF(AND(G345&lt;&gt;"",G345='Tổng hợp'!$C$4),MAX(L$1:L344)+1,"")</f>
        <v/>
      </c>
    </row>
    <row r="346" ht="15.75" customHeight="1">
      <c r="A346" s="52" t="str">
        <f>IF('Biên Tập'!C150="","","Biên Tập")</f>
        <v/>
      </c>
      <c r="B346" s="52" t="str">
        <f>IF('Biên Tập'!B150="","",'Biên Tập'!B150)</f>
        <v/>
      </c>
      <c r="C346" s="52" t="str">
        <f>IF('Biên Tập'!C150="","",'Biên Tập'!C150)</f>
        <v/>
      </c>
      <c r="D346" s="52" t="str">
        <f>IF('Biên Tập'!D150="","",'Biên Tập'!D150)</f>
        <v/>
      </c>
      <c r="E346" s="52" t="str">
        <f>IF('Biên Tập'!E150="","",'Biên Tập'!E150)</f>
        <v/>
      </c>
      <c r="F346" s="52" t="str">
        <f>IF('Biên Tập'!F150="","",'Biên Tập'!F150)</f>
        <v/>
      </c>
      <c r="G346" s="52" t="str">
        <f>IF('Biên Tập'!G150="","",'Biên Tập'!G150)</f>
        <v/>
      </c>
      <c r="H346" s="52" t="str">
        <f>IF('Biên Tập'!J150="","",'Biên Tập'!J150)</f>
        <v/>
      </c>
      <c r="I346" s="52" t="str">
        <f>IF('Biên Tập'!M150="","",'Biên Tập'!M150)</f>
        <v/>
      </c>
      <c r="J346" s="52" t="str">
        <f>IF('Biên Tập'!R150="","",'Biên Tập'!R150)</f>
        <v/>
      </c>
      <c r="K346" s="52" t="str">
        <f t="array" ref="K346">IF(COUNTA('Biên Tập'!T150:AE150)=0,"",INDEX('Biên Tập'!T150:AE150,1,SUMPRODUCT(MAX(('Biên Tập'!T150:AE150&lt;&gt;"")*(COLUMN('Biên Tập'!T150:AE150)-COLUMN('Biên Tập'!T150)+1)))))</f>
        <v/>
      </c>
      <c r="L346" s="52" t="str">
        <f>IF(AND(G346&lt;&gt;"",G346='Tổng hợp'!$C$4),MAX(L$1:L345)+1,"")</f>
        <v/>
      </c>
    </row>
    <row r="347" ht="15.75" customHeight="1">
      <c r="A347" s="52" t="str">
        <f>IF('Biên Tập'!C151="","","Biên Tập")</f>
        <v/>
      </c>
      <c r="B347" s="52" t="str">
        <f>IF('Biên Tập'!B151="","",'Biên Tập'!B151)</f>
        <v/>
      </c>
      <c r="C347" s="52" t="str">
        <f>IF('Biên Tập'!C151="","",'Biên Tập'!C151)</f>
        <v/>
      </c>
      <c r="D347" s="52" t="str">
        <f>IF('Biên Tập'!D151="","",'Biên Tập'!D151)</f>
        <v/>
      </c>
      <c r="E347" s="52" t="str">
        <f>IF('Biên Tập'!E151="","",'Biên Tập'!E151)</f>
        <v/>
      </c>
      <c r="F347" s="52" t="str">
        <f>IF('Biên Tập'!F151="","",'Biên Tập'!F151)</f>
        <v/>
      </c>
      <c r="G347" s="52" t="str">
        <f>IF('Biên Tập'!G151="","",'Biên Tập'!G151)</f>
        <v/>
      </c>
      <c r="H347" s="52" t="str">
        <f>IF('Biên Tập'!J151="","",'Biên Tập'!J151)</f>
        <v/>
      </c>
      <c r="I347" s="52" t="str">
        <f>IF('Biên Tập'!M151="","",'Biên Tập'!M151)</f>
        <v/>
      </c>
      <c r="J347" s="52" t="str">
        <f>IF('Biên Tập'!R151="","",'Biên Tập'!R151)</f>
        <v/>
      </c>
      <c r="K347" s="52" t="str">
        <f t="array" ref="K347">IF(COUNTA('Biên Tập'!T151:AE151)=0,"",INDEX('Biên Tập'!T151:AE151,1,SUMPRODUCT(MAX(('Biên Tập'!T151:AE151&lt;&gt;"")*(COLUMN('Biên Tập'!T151:AE151)-COLUMN('Biên Tập'!T151)+1)))))</f>
        <v/>
      </c>
      <c r="L347" s="52" t="str">
        <f>IF(AND(G347&lt;&gt;"",G347='Tổng hợp'!$C$4),MAX(L$1:L346)+1,"")</f>
        <v/>
      </c>
    </row>
    <row r="348" ht="15.75" customHeight="1">
      <c r="A348" s="52" t="str">
        <f>IF('Biên Tập'!C152="","","Biên Tập")</f>
        <v/>
      </c>
      <c r="B348" s="52" t="str">
        <f>IF('Biên Tập'!B152="","",'Biên Tập'!B152)</f>
        <v/>
      </c>
      <c r="C348" s="52" t="str">
        <f>IF('Biên Tập'!C152="","",'Biên Tập'!C152)</f>
        <v/>
      </c>
      <c r="D348" s="52" t="str">
        <f>IF('Biên Tập'!D152="","",'Biên Tập'!D152)</f>
        <v/>
      </c>
      <c r="E348" s="52" t="str">
        <f>IF('Biên Tập'!E152="","",'Biên Tập'!E152)</f>
        <v/>
      </c>
      <c r="F348" s="52" t="str">
        <f>IF('Biên Tập'!F152="","",'Biên Tập'!F152)</f>
        <v/>
      </c>
      <c r="G348" s="52" t="str">
        <f>IF('Biên Tập'!G152="","",'Biên Tập'!G152)</f>
        <v/>
      </c>
      <c r="H348" s="52" t="str">
        <f>IF('Biên Tập'!J152="","",'Biên Tập'!J152)</f>
        <v/>
      </c>
      <c r="I348" s="52" t="str">
        <f>IF('Biên Tập'!M152="","",'Biên Tập'!M152)</f>
        <v/>
      </c>
      <c r="J348" s="52" t="str">
        <f>IF('Biên Tập'!R152="","",'Biên Tập'!R152)</f>
        <v/>
      </c>
      <c r="K348" s="52" t="str">
        <f t="array" ref="K348">IF(COUNTA('Biên Tập'!T152:AE152)=0,"",INDEX('Biên Tập'!T152:AE152,1,SUMPRODUCT(MAX(('Biên Tập'!T152:AE152&lt;&gt;"")*(COLUMN('Biên Tập'!T152:AE152)-COLUMN('Biên Tập'!T152)+1)))))</f>
        <v/>
      </c>
      <c r="L348" s="52" t="str">
        <f>IF(AND(G348&lt;&gt;"",G348='Tổng hợp'!$C$4),MAX(L$1:L347)+1,"")</f>
        <v/>
      </c>
    </row>
    <row r="349" ht="15.75" customHeight="1">
      <c r="A349" s="52" t="str">
        <f>IF('Biên Tập'!C153="","","Biên Tập")</f>
        <v/>
      </c>
      <c r="B349" s="52" t="str">
        <f>IF('Biên Tập'!B153="","",'Biên Tập'!B153)</f>
        <v/>
      </c>
      <c r="C349" s="52" t="str">
        <f>IF('Biên Tập'!C153="","",'Biên Tập'!C153)</f>
        <v/>
      </c>
      <c r="D349" s="52" t="str">
        <f>IF('Biên Tập'!D153="","",'Biên Tập'!D153)</f>
        <v/>
      </c>
      <c r="E349" s="52" t="str">
        <f>IF('Biên Tập'!E153="","",'Biên Tập'!E153)</f>
        <v/>
      </c>
      <c r="F349" s="52" t="str">
        <f>IF('Biên Tập'!F153="","",'Biên Tập'!F153)</f>
        <v/>
      </c>
      <c r="G349" s="52" t="str">
        <f>IF('Biên Tập'!G153="","",'Biên Tập'!G153)</f>
        <v/>
      </c>
      <c r="H349" s="52" t="str">
        <f>IF('Biên Tập'!J153="","",'Biên Tập'!J153)</f>
        <v/>
      </c>
      <c r="I349" s="52" t="str">
        <f>IF('Biên Tập'!M153="","",'Biên Tập'!M153)</f>
        <v/>
      </c>
      <c r="J349" s="52" t="str">
        <f>IF('Biên Tập'!R153="","",'Biên Tập'!R153)</f>
        <v/>
      </c>
      <c r="K349" s="52" t="str">
        <f t="array" ref="K349">IF(COUNTA('Biên Tập'!T153:AE153)=0,"",INDEX('Biên Tập'!T153:AE153,1,SUMPRODUCT(MAX(('Biên Tập'!T153:AE153&lt;&gt;"")*(COLUMN('Biên Tập'!T153:AE153)-COLUMN('Biên Tập'!T153)+1)))))</f>
        <v/>
      </c>
      <c r="L349" s="52" t="str">
        <f>IF(AND(G349&lt;&gt;"",G349='Tổng hợp'!$C$4),MAX(L$1:L348)+1,"")</f>
        <v/>
      </c>
    </row>
    <row r="350" ht="15.75" customHeight="1">
      <c r="A350" s="52" t="str">
        <f>IF('Biên Tập'!C154="","","Biên Tập")</f>
        <v/>
      </c>
      <c r="B350" s="52" t="str">
        <f>IF('Biên Tập'!B154="","",'Biên Tập'!B154)</f>
        <v/>
      </c>
      <c r="C350" s="52" t="str">
        <f>IF('Biên Tập'!C154="","",'Biên Tập'!C154)</f>
        <v/>
      </c>
      <c r="D350" s="52" t="str">
        <f>IF('Biên Tập'!D154="","",'Biên Tập'!D154)</f>
        <v/>
      </c>
      <c r="E350" s="52" t="str">
        <f>IF('Biên Tập'!E154="","",'Biên Tập'!E154)</f>
        <v/>
      </c>
      <c r="F350" s="52" t="str">
        <f>IF('Biên Tập'!F154="","",'Biên Tập'!F154)</f>
        <v/>
      </c>
      <c r="G350" s="52" t="str">
        <f>IF('Biên Tập'!G154="","",'Biên Tập'!G154)</f>
        <v/>
      </c>
      <c r="H350" s="52" t="str">
        <f>IF('Biên Tập'!J154="","",'Biên Tập'!J154)</f>
        <v/>
      </c>
      <c r="I350" s="52" t="str">
        <f>IF('Biên Tập'!M154="","",'Biên Tập'!M154)</f>
        <v/>
      </c>
      <c r="J350" s="52" t="str">
        <f>IF('Biên Tập'!R154="","",'Biên Tập'!R154)</f>
        <v/>
      </c>
      <c r="K350" s="52" t="str">
        <f t="array" ref="K350">IF(COUNTA('Biên Tập'!T154:AE154)=0,"",INDEX('Biên Tập'!T154:AE154,1,SUMPRODUCT(MAX(('Biên Tập'!T154:AE154&lt;&gt;"")*(COLUMN('Biên Tập'!T154:AE154)-COLUMN('Biên Tập'!T154)+1)))))</f>
        <v/>
      </c>
      <c r="L350" s="52" t="str">
        <f>IF(AND(G350&lt;&gt;"",G350='Tổng hợp'!$C$4),MAX(L$1:L349)+1,"")</f>
        <v/>
      </c>
    </row>
    <row r="351" ht="15.75" customHeight="1">
      <c r="A351" s="52" t="str">
        <f>IF('Biên Tập'!C155="","","Biên Tập")</f>
        <v/>
      </c>
      <c r="B351" s="52" t="str">
        <f>IF('Biên Tập'!B155="","",'Biên Tập'!B155)</f>
        <v/>
      </c>
      <c r="C351" s="52" t="str">
        <f>IF('Biên Tập'!C155="","",'Biên Tập'!C155)</f>
        <v/>
      </c>
      <c r="D351" s="52" t="str">
        <f>IF('Biên Tập'!D155="","",'Biên Tập'!D155)</f>
        <v/>
      </c>
      <c r="E351" s="52" t="str">
        <f>IF('Biên Tập'!E155="","",'Biên Tập'!E155)</f>
        <v/>
      </c>
      <c r="F351" s="52" t="str">
        <f>IF('Biên Tập'!F155="","",'Biên Tập'!F155)</f>
        <v/>
      </c>
      <c r="G351" s="52" t="str">
        <f>IF('Biên Tập'!G155="","",'Biên Tập'!G155)</f>
        <v/>
      </c>
      <c r="H351" s="52" t="str">
        <f>IF('Biên Tập'!J155="","",'Biên Tập'!J155)</f>
        <v/>
      </c>
      <c r="I351" s="52" t="str">
        <f>IF('Biên Tập'!M155="","",'Biên Tập'!M155)</f>
        <v/>
      </c>
      <c r="J351" s="52" t="str">
        <f>IF('Biên Tập'!R155="","",'Biên Tập'!R155)</f>
        <v/>
      </c>
      <c r="K351" s="52" t="str">
        <f t="array" ref="K351">IF(COUNTA('Biên Tập'!T155:AE155)=0,"",INDEX('Biên Tập'!T155:AE155,1,SUMPRODUCT(MAX(('Biên Tập'!T155:AE155&lt;&gt;"")*(COLUMN('Biên Tập'!T155:AE155)-COLUMN('Biên Tập'!T155)+1)))))</f>
        <v/>
      </c>
      <c r="L351" s="52" t="str">
        <f>IF(AND(G351&lt;&gt;"",G351='Tổng hợp'!$C$4),MAX(L$1:L350)+1,"")</f>
        <v/>
      </c>
    </row>
    <row r="352" ht="15.75" customHeight="1">
      <c r="A352" s="52" t="str">
        <f>IF('Biên Tập'!C156="","","Biên Tập")</f>
        <v/>
      </c>
      <c r="B352" s="52" t="str">
        <f>IF('Biên Tập'!B156="","",'Biên Tập'!B156)</f>
        <v/>
      </c>
      <c r="C352" s="52" t="str">
        <f>IF('Biên Tập'!C156="","",'Biên Tập'!C156)</f>
        <v/>
      </c>
      <c r="D352" s="52" t="str">
        <f>IF('Biên Tập'!D156="","",'Biên Tập'!D156)</f>
        <v/>
      </c>
      <c r="E352" s="52" t="str">
        <f>IF('Biên Tập'!E156="","",'Biên Tập'!E156)</f>
        <v/>
      </c>
      <c r="F352" s="52" t="str">
        <f>IF('Biên Tập'!F156="","",'Biên Tập'!F156)</f>
        <v/>
      </c>
      <c r="G352" s="52" t="str">
        <f>IF('Biên Tập'!G156="","",'Biên Tập'!G156)</f>
        <v/>
      </c>
      <c r="H352" s="52" t="str">
        <f>IF('Biên Tập'!J156="","",'Biên Tập'!J156)</f>
        <v/>
      </c>
      <c r="I352" s="52" t="str">
        <f>IF('Biên Tập'!M156="","",'Biên Tập'!M156)</f>
        <v/>
      </c>
      <c r="J352" s="52" t="str">
        <f>IF('Biên Tập'!R156="","",'Biên Tập'!R156)</f>
        <v/>
      </c>
      <c r="K352" s="52" t="str">
        <f t="array" ref="K352">IF(COUNTA('Biên Tập'!T156:AE156)=0,"",INDEX('Biên Tập'!T156:AE156,1,SUMPRODUCT(MAX(('Biên Tập'!T156:AE156&lt;&gt;"")*(COLUMN('Biên Tập'!T156:AE156)-COLUMN('Biên Tập'!T156)+1)))))</f>
        <v/>
      </c>
      <c r="L352" s="52" t="str">
        <f>IF(AND(G352&lt;&gt;"",G352='Tổng hợp'!$C$4),MAX(L$1:L351)+1,"")</f>
        <v/>
      </c>
    </row>
    <row r="353" ht="15.75" customHeight="1">
      <c r="A353" s="52" t="str">
        <f>IF('Biên Tập'!C157="","","Biên Tập")</f>
        <v/>
      </c>
      <c r="B353" s="52" t="str">
        <f>IF('Biên Tập'!B157="","",'Biên Tập'!B157)</f>
        <v/>
      </c>
      <c r="C353" s="52" t="str">
        <f>IF('Biên Tập'!C157="","",'Biên Tập'!C157)</f>
        <v/>
      </c>
      <c r="D353" s="52" t="str">
        <f>IF('Biên Tập'!D157="","",'Biên Tập'!D157)</f>
        <v/>
      </c>
      <c r="E353" s="52" t="str">
        <f>IF('Biên Tập'!E157="","",'Biên Tập'!E157)</f>
        <v/>
      </c>
      <c r="F353" s="52" t="str">
        <f>IF('Biên Tập'!F157="","",'Biên Tập'!F157)</f>
        <v/>
      </c>
      <c r="G353" s="52" t="str">
        <f>IF('Biên Tập'!G157="","",'Biên Tập'!G157)</f>
        <v/>
      </c>
      <c r="H353" s="52" t="str">
        <f>IF('Biên Tập'!J157="","",'Biên Tập'!J157)</f>
        <v/>
      </c>
      <c r="I353" s="52" t="str">
        <f>IF('Biên Tập'!M157="","",'Biên Tập'!M157)</f>
        <v/>
      </c>
      <c r="J353" s="52" t="str">
        <f>IF('Biên Tập'!R157="","",'Biên Tập'!R157)</f>
        <v/>
      </c>
      <c r="K353" s="52" t="str">
        <f t="array" ref="K353">IF(COUNTA('Biên Tập'!T157:AE157)=0,"",INDEX('Biên Tập'!T157:AE157,1,SUMPRODUCT(MAX(('Biên Tập'!T157:AE157&lt;&gt;"")*(COLUMN('Biên Tập'!T157:AE157)-COLUMN('Biên Tập'!T157)+1)))))</f>
        <v/>
      </c>
      <c r="L353" s="52" t="str">
        <f>IF(AND(G353&lt;&gt;"",G353='Tổng hợp'!$C$4),MAX(L$1:L352)+1,"")</f>
        <v/>
      </c>
    </row>
    <row r="354" ht="15.75" customHeight="1">
      <c r="A354" s="52" t="str">
        <f>IF('Biên Tập'!C158="","","Biên Tập")</f>
        <v/>
      </c>
      <c r="B354" s="52" t="str">
        <f>IF('Biên Tập'!B158="","",'Biên Tập'!B158)</f>
        <v/>
      </c>
      <c r="C354" s="52" t="str">
        <f>IF('Biên Tập'!C158="","",'Biên Tập'!C158)</f>
        <v/>
      </c>
      <c r="D354" s="52" t="str">
        <f>IF('Biên Tập'!D158="","",'Biên Tập'!D158)</f>
        <v/>
      </c>
      <c r="E354" s="52" t="str">
        <f>IF('Biên Tập'!E158="","",'Biên Tập'!E158)</f>
        <v/>
      </c>
      <c r="F354" s="52" t="str">
        <f>IF('Biên Tập'!F158="","",'Biên Tập'!F158)</f>
        <v/>
      </c>
      <c r="G354" s="52" t="str">
        <f>IF('Biên Tập'!G158="","",'Biên Tập'!G158)</f>
        <v/>
      </c>
      <c r="H354" s="52" t="str">
        <f>IF('Biên Tập'!J158="","",'Biên Tập'!J158)</f>
        <v/>
      </c>
      <c r="I354" s="52" t="str">
        <f>IF('Biên Tập'!M158="","",'Biên Tập'!M158)</f>
        <v/>
      </c>
      <c r="J354" s="52" t="str">
        <f>IF('Biên Tập'!R158="","",'Biên Tập'!R158)</f>
        <v/>
      </c>
      <c r="K354" s="52" t="str">
        <f t="array" ref="K354">IF(COUNTA('Biên Tập'!T158:AE158)=0,"",INDEX('Biên Tập'!T158:AE158,1,SUMPRODUCT(MAX(('Biên Tập'!T158:AE158&lt;&gt;"")*(COLUMN('Biên Tập'!T158:AE158)-COLUMN('Biên Tập'!T158)+1)))))</f>
        <v/>
      </c>
      <c r="L354" s="52" t="str">
        <f>IF(AND(G354&lt;&gt;"",G354='Tổng hợp'!$C$4),MAX(L$1:L353)+1,"")</f>
        <v/>
      </c>
    </row>
    <row r="355" ht="15.75" customHeight="1">
      <c r="A355" s="52" t="str">
        <f>IF('Biên Tập'!C159="","","Biên Tập")</f>
        <v/>
      </c>
      <c r="B355" s="52" t="str">
        <f>IF('Biên Tập'!B159="","",'Biên Tập'!B159)</f>
        <v/>
      </c>
      <c r="C355" s="52" t="str">
        <f>IF('Biên Tập'!C159="","",'Biên Tập'!C159)</f>
        <v/>
      </c>
      <c r="D355" s="52" t="str">
        <f>IF('Biên Tập'!D159="","",'Biên Tập'!D159)</f>
        <v/>
      </c>
      <c r="E355" s="52" t="str">
        <f>IF('Biên Tập'!E159="","",'Biên Tập'!E159)</f>
        <v/>
      </c>
      <c r="F355" s="52" t="str">
        <f>IF('Biên Tập'!F159="","",'Biên Tập'!F159)</f>
        <v/>
      </c>
      <c r="G355" s="52" t="str">
        <f>IF('Biên Tập'!G159="","",'Biên Tập'!G159)</f>
        <v/>
      </c>
      <c r="H355" s="52" t="str">
        <f>IF('Biên Tập'!J159="","",'Biên Tập'!J159)</f>
        <v/>
      </c>
      <c r="I355" s="52" t="str">
        <f>IF('Biên Tập'!M159="","",'Biên Tập'!M159)</f>
        <v/>
      </c>
      <c r="J355" s="52" t="str">
        <f>IF('Biên Tập'!R159="","",'Biên Tập'!R159)</f>
        <v/>
      </c>
      <c r="K355" s="52" t="str">
        <f t="array" ref="K355">IF(COUNTA('Biên Tập'!T159:AE159)=0,"",INDEX('Biên Tập'!T159:AE159,1,SUMPRODUCT(MAX(('Biên Tập'!T159:AE159&lt;&gt;"")*(COLUMN('Biên Tập'!T159:AE159)-COLUMN('Biên Tập'!T159)+1)))))</f>
        <v/>
      </c>
      <c r="L355" s="52" t="str">
        <f>IF(AND(G355&lt;&gt;"",G355='Tổng hợp'!$C$4),MAX(L$1:L354)+1,"")</f>
        <v/>
      </c>
    </row>
    <row r="356" ht="15.75" customHeight="1">
      <c r="A356" s="52" t="str">
        <f>IF('Biên Tập'!C160="","","Biên Tập")</f>
        <v/>
      </c>
      <c r="B356" s="52" t="str">
        <f>IF('Biên Tập'!B160="","",'Biên Tập'!B160)</f>
        <v/>
      </c>
      <c r="C356" s="52" t="str">
        <f>IF('Biên Tập'!C160="","",'Biên Tập'!C160)</f>
        <v/>
      </c>
      <c r="D356" s="52" t="str">
        <f>IF('Biên Tập'!D160="","",'Biên Tập'!D160)</f>
        <v/>
      </c>
      <c r="E356" s="52" t="str">
        <f>IF('Biên Tập'!E160="","",'Biên Tập'!E160)</f>
        <v/>
      </c>
      <c r="F356" s="52" t="str">
        <f>IF('Biên Tập'!F160="","",'Biên Tập'!F160)</f>
        <v/>
      </c>
      <c r="G356" s="52" t="str">
        <f>IF('Biên Tập'!G160="","",'Biên Tập'!G160)</f>
        <v/>
      </c>
      <c r="H356" s="52" t="str">
        <f>IF('Biên Tập'!J160="","",'Biên Tập'!J160)</f>
        <v/>
      </c>
      <c r="I356" s="52" t="str">
        <f>IF('Biên Tập'!M160="","",'Biên Tập'!M160)</f>
        <v/>
      </c>
      <c r="J356" s="52" t="str">
        <f>IF('Biên Tập'!R160="","",'Biên Tập'!R160)</f>
        <v/>
      </c>
      <c r="K356" s="52" t="str">
        <f t="array" ref="K356">IF(COUNTA('Biên Tập'!T160:AE160)=0,"",INDEX('Biên Tập'!T160:AE160,1,SUMPRODUCT(MAX(('Biên Tập'!T160:AE160&lt;&gt;"")*(COLUMN('Biên Tập'!T160:AE160)-COLUMN('Biên Tập'!T160)+1)))))</f>
        <v/>
      </c>
      <c r="L356" s="52" t="str">
        <f>IF(AND(G356&lt;&gt;"",G356='Tổng hợp'!$C$4),MAX(L$1:L355)+1,"")</f>
        <v/>
      </c>
    </row>
    <row r="357" ht="15.75" customHeight="1">
      <c r="A357" s="52" t="str">
        <f>IF('Biên Tập'!C161="","","Biên Tập")</f>
        <v/>
      </c>
      <c r="B357" s="52" t="str">
        <f>IF('Biên Tập'!B161="","",'Biên Tập'!B161)</f>
        <v/>
      </c>
      <c r="C357" s="52" t="str">
        <f>IF('Biên Tập'!C161="","",'Biên Tập'!C161)</f>
        <v/>
      </c>
      <c r="D357" s="52" t="str">
        <f>IF('Biên Tập'!D161="","",'Biên Tập'!D161)</f>
        <v/>
      </c>
      <c r="E357" s="52" t="str">
        <f>IF('Biên Tập'!E161="","",'Biên Tập'!E161)</f>
        <v/>
      </c>
      <c r="F357" s="52" t="str">
        <f>IF('Biên Tập'!F161="","",'Biên Tập'!F161)</f>
        <v/>
      </c>
      <c r="G357" s="52" t="str">
        <f>IF('Biên Tập'!G161="","",'Biên Tập'!G161)</f>
        <v/>
      </c>
      <c r="H357" s="52" t="str">
        <f>IF('Biên Tập'!J161="","",'Biên Tập'!J161)</f>
        <v/>
      </c>
      <c r="I357" s="52" t="str">
        <f>IF('Biên Tập'!M161="","",'Biên Tập'!M161)</f>
        <v/>
      </c>
      <c r="J357" s="52" t="str">
        <f>IF('Biên Tập'!R161="","",'Biên Tập'!R161)</f>
        <v/>
      </c>
      <c r="K357" s="52" t="str">
        <f t="array" ref="K357">IF(COUNTA('Biên Tập'!T161:AE161)=0,"",INDEX('Biên Tập'!T161:AE161,1,SUMPRODUCT(MAX(('Biên Tập'!T161:AE161&lt;&gt;"")*(COLUMN('Biên Tập'!T161:AE161)-COLUMN('Biên Tập'!T161)+1)))))</f>
        <v/>
      </c>
      <c r="L357" s="52" t="str">
        <f>IF(AND(G357&lt;&gt;"",G357='Tổng hợp'!$C$4),MAX(L$1:L356)+1,"")</f>
        <v/>
      </c>
    </row>
    <row r="358" ht="15.75" customHeight="1">
      <c r="A358" s="52" t="str">
        <f>IF('Biên Tập'!C162="","","Biên Tập")</f>
        <v/>
      </c>
      <c r="B358" s="52" t="str">
        <f>IF('Biên Tập'!B162="","",'Biên Tập'!B162)</f>
        <v/>
      </c>
      <c r="C358" s="52" t="str">
        <f>IF('Biên Tập'!C162="","",'Biên Tập'!C162)</f>
        <v/>
      </c>
      <c r="D358" s="52" t="str">
        <f>IF('Biên Tập'!D162="","",'Biên Tập'!D162)</f>
        <v/>
      </c>
      <c r="E358" s="52" t="str">
        <f>IF('Biên Tập'!E162="","",'Biên Tập'!E162)</f>
        <v/>
      </c>
      <c r="F358" s="52" t="str">
        <f>IF('Biên Tập'!F162="","",'Biên Tập'!F162)</f>
        <v/>
      </c>
      <c r="G358" s="52" t="str">
        <f>IF('Biên Tập'!G162="","",'Biên Tập'!G162)</f>
        <v/>
      </c>
      <c r="H358" s="52" t="str">
        <f>IF('Biên Tập'!J162="","",'Biên Tập'!J162)</f>
        <v/>
      </c>
      <c r="I358" s="52" t="str">
        <f>IF('Biên Tập'!M162="","",'Biên Tập'!M162)</f>
        <v/>
      </c>
      <c r="J358" s="52" t="str">
        <f>IF('Biên Tập'!R162="","",'Biên Tập'!R162)</f>
        <v/>
      </c>
      <c r="K358" s="52" t="str">
        <f t="array" ref="K358">IF(COUNTA('Biên Tập'!T162:AE162)=0,"",INDEX('Biên Tập'!T162:AE162,1,SUMPRODUCT(MAX(('Biên Tập'!T162:AE162&lt;&gt;"")*(COLUMN('Biên Tập'!T162:AE162)-COLUMN('Biên Tập'!T162)+1)))))</f>
        <v/>
      </c>
      <c r="L358" s="52" t="str">
        <f>IF(AND(G358&lt;&gt;"",G358='Tổng hợp'!$C$4),MAX(L$1:L357)+1,"")</f>
        <v/>
      </c>
    </row>
    <row r="359" ht="15.75" customHeight="1">
      <c r="A359" s="52" t="str">
        <f>IF('Biên Tập'!C163="","","Biên Tập")</f>
        <v/>
      </c>
      <c r="B359" s="52" t="str">
        <f>IF('Biên Tập'!B163="","",'Biên Tập'!B163)</f>
        <v/>
      </c>
      <c r="C359" s="52" t="str">
        <f>IF('Biên Tập'!C163="","",'Biên Tập'!C163)</f>
        <v/>
      </c>
      <c r="D359" s="52" t="str">
        <f>IF('Biên Tập'!D163="","",'Biên Tập'!D163)</f>
        <v/>
      </c>
      <c r="E359" s="52" t="str">
        <f>IF('Biên Tập'!E163="","",'Biên Tập'!E163)</f>
        <v/>
      </c>
      <c r="F359" s="52" t="str">
        <f>IF('Biên Tập'!F163="","",'Biên Tập'!F163)</f>
        <v/>
      </c>
      <c r="G359" s="52" t="str">
        <f>IF('Biên Tập'!G163="","",'Biên Tập'!G163)</f>
        <v/>
      </c>
      <c r="H359" s="52" t="str">
        <f>IF('Biên Tập'!J163="","",'Biên Tập'!J163)</f>
        <v/>
      </c>
      <c r="I359" s="52" t="str">
        <f>IF('Biên Tập'!M163="","",'Biên Tập'!M163)</f>
        <v/>
      </c>
      <c r="J359" s="52" t="str">
        <f>IF('Biên Tập'!R163="","",'Biên Tập'!R163)</f>
        <v/>
      </c>
      <c r="K359" s="52" t="str">
        <f t="array" ref="K359">IF(COUNTA('Biên Tập'!T163:AE163)=0,"",INDEX('Biên Tập'!T163:AE163,1,SUMPRODUCT(MAX(('Biên Tập'!T163:AE163&lt;&gt;"")*(COLUMN('Biên Tập'!T163:AE163)-COLUMN('Biên Tập'!T163)+1)))))</f>
        <v/>
      </c>
      <c r="L359" s="52" t="str">
        <f>IF(AND(G359&lt;&gt;"",G359='Tổng hợp'!$C$4),MAX(L$1:L358)+1,"")</f>
        <v/>
      </c>
    </row>
    <row r="360" ht="15.75" customHeight="1">
      <c r="A360" s="52" t="str">
        <f>IF('Biên Tập'!C164="","","Biên Tập")</f>
        <v/>
      </c>
      <c r="B360" s="52" t="str">
        <f>IF('Biên Tập'!B164="","",'Biên Tập'!B164)</f>
        <v/>
      </c>
      <c r="C360" s="52" t="str">
        <f>IF('Biên Tập'!C164="","",'Biên Tập'!C164)</f>
        <v/>
      </c>
      <c r="D360" s="52" t="str">
        <f>IF('Biên Tập'!D164="","",'Biên Tập'!D164)</f>
        <v/>
      </c>
      <c r="E360" s="52" t="str">
        <f>IF('Biên Tập'!E164="","",'Biên Tập'!E164)</f>
        <v/>
      </c>
      <c r="F360" s="52" t="str">
        <f>IF('Biên Tập'!F164="","",'Biên Tập'!F164)</f>
        <v/>
      </c>
      <c r="G360" s="52" t="str">
        <f>IF('Biên Tập'!G164="","",'Biên Tập'!G164)</f>
        <v/>
      </c>
      <c r="H360" s="52" t="str">
        <f>IF('Biên Tập'!J164="","",'Biên Tập'!J164)</f>
        <v/>
      </c>
      <c r="I360" s="52" t="str">
        <f>IF('Biên Tập'!M164="","",'Biên Tập'!M164)</f>
        <v/>
      </c>
      <c r="J360" s="52" t="str">
        <f>IF('Biên Tập'!R164="","",'Biên Tập'!R164)</f>
        <v/>
      </c>
      <c r="K360" s="52" t="str">
        <f t="array" ref="K360">IF(COUNTA('Biên Tập'!T164:AE164)=0,"",INDEX('Biên Tập'!T164:AE164,1,SUMPRODUCT(MAX(('Biên Tập'!T164:AE164&lt;&gt;"")*(COLUMN('Biên Tập'!T164:AE164)-COLUMN('Biên Tập'!T164)+1)))))</f>
        <v/>
      </c>
      <c r="L360" s="52" t="str">
        <f>IF(AND(G360&lt;&gt;"",G360='Tổng hợp'!$C$4),MAX(L$1:L359)+1,"")</f>
        <v/>
      </c>
    </row>
    <row r="361" ht="15.75" customHeight="1">
      <c r="A361" s="52" t="str">
        <f>IF('Biên Tập'!C165="","","Biên Tập")</f>
        <v/>
      </c>
      <c r="B361" s="52" t="str">
        <f>IF('Biên Tập'!B165="","",'Biên Tập'!B165)</f>
        <v/>
      </c>
      <c r="C361" s="52" t="str">
        <f>IF('Biên Tập'!C165="","",'Biên Tập'!C165)</f>
        <v/>
      </c>
      <c r="D361" s="52" t="str">
        <f>IF('Biên Tập'!D165="","",'Biên Tập'!D165)</f>
        <v/>
      </c>
      <c r="E361" s="52" t="str">
        <f>IF('Biên Tập'!E165="","",'Biên Tập'!E165)</f>
        <v/>
      </c>
      <c r="F361" s="52" t="str">
        <f>IF('Biên Tập'!F165="","",'Biên Tập'!F165)</f>
        <v/>
      </c>
      <c r="G361" s="52" t="str">
        <f>IF('Biên Tập'!G165="","",'Biên Tập'!G165)</f>
        <v/>
      </c>
      <c r="H361" s="52" t="str">
        <f>IF('Biên Tập'!J165="","",'Biên Tập'!J165)</f>
        <v/>
      </c>
      <c r="I361" s="52" t="str">
        <f>IF('Biên Tập'!M165="","",'Biên Tập'!M165)</f>
        <v/>
      </c>
      <c r="J361" s="52" t="str">
        <f>IF('Biên Tập'!R165="","",'Biên Tập'!R165)</f>
        <v/>
      </c>
      <c r="K361" s="52" t="str">
        <f t="array" ref="K361">IF(COUNTA('Biên Tập'!T165:AE165)=0,"",INDEX('Biên Tập'!T165:AE165,1,SUMPRODUCT(MAX(('Biên Tập'!T165:AE165&lt;&gt;"")*(COLUMN('Biên Tập'!T165:AE165)-COLUMN('Biên Tập'!T165)+1)))))</f>
        <v/>
      </c>
      <c r="L361" s="52" t="str">
        <f>IF(AND(G361&lt;&gt;"",G361='Tổng hợp'!$C$4),MAX(L$1:L360)+1,"")</f>
        <v/>
      </c>
    </row>
    <row r="362" ht="15.75" customHeight="1">
      <c r="A362" s="52" t="str">
        <f>IF('Biên Tập'!C166="","","Biên Tập")</f>
        <v/>
      </c>
      <c r="B362" s="52" t="str">
        <f>IF('Biên Tập'!B166="","",'Biên Tập'!B166)</f>
        <v/>
      </c>
      <c r="C362" s="52" t="str">
        <f>IF('Biên Tập'!C166="","",'Biên Tập'!C166)</f>
        <v/>
      </c>
      <c r="D362" s="52" t="str">
        <f>IF('Biên Tập'!D166="","",'Biên Tập'!D166)</f>
        <v/>
      </c>
      <c r="E362" s="52" t="str">
        <f>IF('Biên Tập'!E166="","",'Biên Tập'!E166)</f>
        <v/>
      </c>
      <c r="F362" s="52" t="str">
        <f>IF('Biên Tập'!F166="","",'Biên Tập'!F166)</f>
        <v/>
      </c>
      <c r="G362" s="52" t="str">
        <f>IF('Biên Tập'!G166="","",'Biên Tập'!G166)</f>
        <v/>
      </c>
      <c r="H362" s="52" t="str">
        <f>IF('Biên Tập'!J166="","",'Biên Tập'!J166)</f>
        <v/>
      </c>
      <c r="I362" s="52" t="str">
        <f>IF('Biên Tập'!M166="","",'Biên Tập'!M166)</f>
        <v/>
      </c>
      <c r="J362" s="52" t="str">
        <f>IF('Biên Tập'!R166="","",'Biên Tập'!R166)</f>
        <v/>
      </c>
      <c r="K362" s="52" t="str">
        <f t="array" ref="K362">IF(COUNTA('Biên Tập'!T166:AE166)=0,"",INDEX('Biên Tập'!T166:AE166,1,SUMPRODUCT(MAX(('Biên Tập'!T166:AE166&lt;&gt;"")*(COLUMN('Biên Tập'!T166:AE166)-COLUMN('Biên Tập'!T166)+1)))))</f>
        <v/>
      </c>
      <c r="L362" s="52" t="str">
        <f>IF(AND(G362&lt;&gt;"",G362='Tổng hợp'!$C$4),MAX(L$1:L361)+1,"")</f>
        <v/>
      </c>
    </row>
    <row r="363" ht="15.75" customHeight="1">
      <c r="A363" s="52" t="str">
        <f>IF('Biên Tập'!C167="","","Biên Tập")</f>
        <v/>
      </c>
      <c r="B363" s="52" t="str">
        <f>IF('Biên Tập'!B167="","",'Biên Tập'!B167)</f>
        <v/>
      </c>
      <c r="C363" s="52" t="str">
        <f>IF('Biên Tập'!C167="","",'Biên Tập'!C167)</f>
        <v/>
      </c>
      <c r="D363" s="52" t="str">
        <f>IF('Biên Tập'!D167="","",'Biên Tập'!D167)</f>
        <v/>
      </c>
      <c r="E363" s="52" t="str">
        <f>IF('Biên Tập'!E167="","",'Biên Tập'!E167)</f>
        <v/>
      </c>
      <c r="F363" s="52" t="str">
        <f>IF('Biên Tập'!F167="","",'Biên Tập'!F167)</f>
        <v/>
      </c>
      <c r="G363" s="52" t="str">
        <f>IF('Biên Tập'!G167="","",'Biên Tập'!G167)</f>
        <v/>
      </c>
      <c r="H363" s="52" t="str">
        <f>IF('Biên Tập'!J167="","",'Biên Tập'!J167)</f>
        <v/>
      </c>
      <c r="I363" s="52" t="str">
        <f>IF('Biên Tập'!M167="","",'Biên Tập'!M167)</f>
        <v/>
      </c>
      <c r="J363" s="52" t="str">
        <f>IF('Biên Tập'!R167="","",'Biên Tập'!R167)</f>
        <v/>
      </c>
      <c r="K363" s="52" t="str">
        <f t="array" ref="K363">IF(COUNTA('Biên Tập'!T167:AE167)=0,"",INDEX('Biên Tập'!T167:AE167,1,SUMPRODUCT(MAX(('Biên Tập'!T167:AE167&lt;&gt;"")*(COLUMN('Biên Tập'!T167:AE167)-COLUMN('Biên Tập'!T167)+1)))))</f>
        <v/>
      </c>
      <c r="L363" s="52" t="str">
        <f>IF(AND(G363&lt;&gt;"",G363='Tổng hợp'!$C$4),MAX(L$1:L362)+1,"")</f>
        <v/>
      </c>
    </row>
    <row r="364" ht="15.75" customHeight="1">
      <c r="A364" s="52" t="str">
        <f>IF('Biên Tập'!C168="","","Biên Tập")</f>
        <v/>
      </c>
      <c r="B364" s="52" t="str">
        <f>IF('Biên Tập'!B168="","",'Biên Tập'!B168)</f>
        <v/>
      </c>
      <c r="C364" s="52" t="str">
        <f>IF('Biên Tập'!C168="","",'Biên Tập'!C168)</f>
        <v/>
      </c>
      <c r="D364" s="52" t="str">
        <f>IF('Biên Tập'!D168="","",'Biên Tập'!D168)</f>
        <v/>
      </c>
      <c r="E364" s="52" t="str">
        <f>IF('Biên Tập'!E168="","",'Biên Tập'!E168)</f>
        <v/>
      </c>
      <c r="F364" s="52" t="str">
        <f>IF('Biên Tập'!F168="","",'Biên Tập'!F168)</f>
        <v/>
      </c>
      <c r="G364" s="52" t="str">
        <f>IF('Biên Tập'!G168="","",'Biên Tập'!G168)</f>
        <v/>
      </c>
      <c r="H364" s="52" t="str">
        <f>IF('Biên Tập'!J168="","",'Biên Tập'!J168)</f>
        <v/>
      </c>
      <c r="I364" s="52" t="str">
        <f>IF('Biên Tập'!M168="","",'Biên Tập'!M168)</f>
        <v/>
      </c>
      <c r="J364" s="52" t="str">
        <f>IF('Biên Tập'!R168="","",'Biên Tập'!R168)</f>
        <v/>
      </c>
      <c r="K364" s="52" t="str">
        <f t="array" ref="K364">IF(COUNTA('Biên Tập'!T168:AE168)=0,"",INDEX('Biên Tập'!T168:AE168,1,SUMPRODUCT(MAX(('Biên Tập'!T168:AE168&lt;&gt;"")*(COLUMN('Biên Tập'!T168:AE168)-COLUMN('Biên Tập'!T168)+1)))))</f>
        <v/>
      </c>
      <c r="L364" s="52" t="str">
        <f>IF(AND(G364&lt;&gt;"",G364='Tổng hợp'!$C$4),MAX(L$1:L363)+1,"")</f>
        <v/>
      </c>
    </row>
    <row r="365" ht="15.75" customHeight="1">
      <c r="A365" s="52" t="str">
        <f>IF('Biên Tập'!C169="","","Biên Tập")</f>
        <v/>
      </c>
      <c r="B365" s="52" t="str">
        <f>IF('Biên Tập'!B169="","",'Biên Tập'!B169)</f>
        <v/>
      </c>
      <c r="C365" s="52" t="str">
        <f>IF('Biên Tập'!C169="","",'Biên Tập'!C169)</f>
        <v/>
      </c>
      <c r="D365" s="52" t="str">
        <f>IF('Biên Tập'!D169="","",'Biên Tập'!D169)</f>
        <v/>
      </c>
      <c r="E365" s="52" t="str">
        <f>IF('Biên Tập'!E169="","",'Biên Tập'!E169)</f>
        <v/>
      </c>
      <c r="F365" s="52" t="str">
        <f>IF('Biên Tập'!F169="","",'Biên Tập'!F169)</f>
        <v/>
      </c>
      <c r="G365" s="52" t="str">
        <f>IF('Biên Tập'!G169="","",'Biên Tập'!G169)</f>
        <v/>
      </c>
      <c r="H365" s="52" t="str">
        <f>IF('Biên Tập'!J169="","",'Biên Tập'!J169)</f>
        <v/>
      </c>
      <c r="I365" s="52" t="str">
        <f>IF('Biên Tập'!M169="","",'Biên Tập'!M169)</f>
        <v/>
      </c>
      <c r="J365" s="52" t="str">
        <f>IF('Biên Tập'!R169="","",'Biên Tập'!R169)</f>
        <v/>
      </c>
      <c r="K365" s="52" t="str">
        <f t="array" ref="K365">IF(COUNTA('Biên Tập'!T169:AE169)=0,"",INDEX('Biên Tập'!T169:AE169,1,SUMPRODUCT(MAX(('Biên Tập'!T169:AE169&lt;&gt;"")*(COLUMN('Biên Tập'!T169:AE169)-COLUMN('Biên Tập'!T169)+1)))))</f>
        <v/>
      </c>
      <c r="L365" s="52" t="str">
        <f>IF(AND(G365&lt;&gt;"",G365='Tổng hợp'!$C$4),MAX(L$1:L364)+1,"")</f>
        <v/>
      </c>
    </row>
    <row r="366" ht="15.75" customHeight="1">
      <c r="A366" s="52" t="str">
        <f>IF('Biên Tập'!C170="","","Biên Tập")</f>
        <v/>
      </c>
      <c r="B366" s="52" t="str">
        <f>IF('Biên Tập'!B170="","",'Biên Tập'!B170)</f>
        <v/>
      </c>
      <c r="C366" s="52" t="str">
        <f>IF('Biên Tập'!C170="","",'Biên Tập'!C170)</f>
        <v/>
      </c>
      <c r="D366" s="52" t="str">
        <f>IF('Biên Tập'!D170="","",'Biên Tập'!D170)</f>
        <v/>
      </c>
      <c r="E366" s="52" t="str">
        <f>IF('Biên Tập'!E170="","",'Biên Tập'!E170)</f>
        <v/>
      </c>
      <c r="F366" s="52" t="str">
        <f>IF('Biên Tập'!F170="","",'Biên Tập'!F170)</f>
        <v/>
      </c>
      <c r="G366" s="52" t="str">
        <f>IF('Biên Tập'!G170="","",'Biên Tập'!G170)</f>
        <v/>
      </c>
      <c r="H366" s="52" t="str">
        <f>IF('Biên Tập'!J170="","",'Biên Tập'!J170)</f>
        <v/>
      </c>
      <c r="I366" s="52" t="str">
        <f>IF('Biên Tập'!M170="","",'Biên Tập'!M170)</f>
        <v/>
      </c>
      <c r="J366" s="52" t="str">
        <f>IF('Biên Tập'!R170="","",'Biên Tập'!R170)</f>
        <v/>
      </c>
      <c r="K366" s="52" t="str">
        <f t="array" ref="K366">IF(COUNTA('Biên Tập'!T170:AE170)=0,"",INDEX('Biên Tập'!T170:AE170,1,SUMPRODUCT(MAX(('Biên Tập'!T170:AE170&lt;&gt;"")*(COLUMN('Biên Tập'!T170:AE170)-COLUMN('Biên Tập'!T170)+1)))))</f>
        <v/>
      </c>
      <c r="L366" s="52" t="str">
        <f>IF(AND(G366&lt;&gt;"",G366='Tổng hợp'!$C$4),MAX(L$1:L365)+1,"")</f>
        <v/>
      </c>
    </row>
    <row r="367" ht="15.75" customHeight="1">
      <c r="A367" s="52" t="str">
        <f>IF('Biên Tập'!C171="","","Biên Tập")</f>
        <v/>
      </c>
      <c r="B367" s="52" t="str">
        <f>IF('Biên Tập'!B171="","",'Biên Tập'!B171)</f>
        <v/>
      </c>
      <c r="C367" s="52" t="str">
        <f>IF('Biên Tập'!C171="","",'Biên Tập'!C171)</f>
        <v/>
      </c>
      <c r="D367" s="52" t="str">
        <f>IF('Biên Tập'!D171="","",'Biên Tập'!D171)</f>
        <v/>
      </c>
      <c r="E367" s="52" t="str">
        <f>IF('Biên Tập'!E171="","",'Biên Tập'!E171)</f>
        <v/>
      </c>
      <c r="F367" s="52" t="str">
        <f>IF('Biên Tập'!F171="","",'Biên Tập'!F171)</f>
        <v/>
      </c>
      <c r="G367" s="52" t="str">
        <f>IF('Biên Tập'!G171="","",'Biên Tập'!G171)</f>
        <v/>
      </c>
      <c r="H367" s="52" t="str">
        <f>IF('Biên Tập'!J171="","",'Biên Tập'!J171)</f>
        <v/>
      </c>
      <c r="I367" s="52" t="str">
        <f>IF('Biên Tập'!M171="","",'Biên Tập'!M171)</f>
        <v/>
      </c>
      <c r="J367" s="52" t="str">
        <f>IF('Biên Tập'!R171="","",'Biên Tập'!R171)</f>
        <v/>
      </c>
      <c r="K367" s="52" t="str">
        <f t="array" ref="K367">IF(COUNTA('Biên Tập'!T171:AE171)=0,"",INDEX('Biên Tập'!T171:AE171,1,SUMPRODUCT(MAX(('Biên Tập'!T171:AE171&lt;&gt;"")*(COLUMN('Biên Tập'!T171:AE171)-COLUMN('Biên Tập'!T171)+1)))))</f>
        <v/>
      </c>
      <c r="L367" s="52" t="str">
        <f>IF(AND(G367&lt;&gt;"",G367='Tổng hợp'!$C$4),MAX(L$1:L366)+1,"")</f>
        <v/>
      </c>
    </row>
    <row r="368" ht="15.75" customHeight="1">
      <c r="A368" s="52" t="str">
        <f>IF('Biên Tập'!C172="","","Biên Tập")</f>
        <v/>
      </c>
      <c r="B368" s="52" t="str">
        <f>IF('Biên Tập'!B172="","",'Biên Tập'!B172)</f>
        <v/>
      </c>
      <c r="C368" s="52" t="str">
        <f>IF('Biên Tập'!C172="","",'Biên Tập'!C172)</f>
        <v/>
      </c>
      <c r="D368" s="52" t="str">
        <f>IF('Biên Tập'!D172="","",'Biên Tập'!D172)</f>
        <v/>
      </c>
      <c r="E368" s="52" t="str">
        <f>IF('Biên Tập'!E172="","",'Biên Tập'!E172)</f>
        <v/>
      </c>
      <c r="F368" s="52" t="str">
        <f>IF('Biên Tập'!F172="","",'Biên Tập'!F172)</f>
        <v/>
      </c>
      <c r="G368" s="52" t="str">
        <f>IF('Biên Tập'!G172="","",'Biên Tập'!G172)</f>
        <v/>
      </c>
      <c r="H368" s="52" t="str">
        <f>IF('Biên Tập'!J172="","",'Biên Tập'!J172)</f>
        <v/>
      </c>
      <c r="I368" s="52" t="str">
        <f>IF('Biên Tập'!M172="","",'Biên Tập'!M172)</f>
        <v/>
      </c>
      <c r="J368" s="52" t="str">
        <f>IF('Biên Tập'!R172="","",'Biên Tập'!R172)</f>
        <v/>
      </c>
      <c r="K368" s="52" t="str">
        <f t="array" ref="K368">IF(COUNTA('Biên Tập'!T172:AE172)=0,"",INDEX('Biên Tập'!T172:AE172,1,SUMPRODUCT(MAX(('Biên Tập'!T172:AE172&lt;&gt;"")*(COLUMN('Biên Tập'!T172:AE172)-COLUMN('Biên Tập'!T172)+1)))))</f>
        <v/>
      </c>
      <c r="L368" s="52" t="str">
        <f>IF(AND(G368&lt;&gt;"",G368='Tổng hợp'!$C$4),MAX(L$1:L367)+1,"")</f>
        <v/>
      </c>
    </row>
    <row r="369" ht="15.75" customHeight="1">
      <c r="A369" s="52" t="str">
        <f>IF('Biên Tập'!C173="","","Biên Tập")</f>
        <v/>
      </c>
      <c r="B369" s="52" t="str">
        <f>IF('Biên Tập'!B173="","",'Biên Tập'!B173)</f>
        <v/>
      </c>
      <c r="C369" s="52" t="str">
        <f>IF('Biên Tập'!C173="","",'Biên Tập'!C173)</f>
        <v/>
      </c>
      <c r="D369" s="52" t="str">
        <f>IF('Biên Tập'!D173="","",'Biên Tập'!D173)</f>
        <v/>
      </c>
      <c r="E369" s="52" t="str">
        <f>IF('Biên Tập'!E173="","",'Biên Tập'!E173)</f>
        <v/>
      </c>
      <c r="F369" s="52" t="str">
        <f>IF('Biên Tập'!F173="","",'Biên Tập'!F173)</f>
        <v/>
      </c>
      <c r="G369" s="52" t="str">
        <f>IF('Biên Tập'!G173="","",'Biên Tập'!G173)</f>
        <v/>
      </c>
      <c r="H369" s="52" t="str">
        <f>IF('Biên Tập'!J173="","",'Biên Tập'!J173)</f>
        <v/>
      </c>
      <c r="I369" s="52" t="str">
        <f>IF('Biên Tập'!M173="","",'Biên Tập'!M173)</f>
        <v/>
      </c>
      <c r="J369" s="52" t="str">
        <f>IF('Biên Tập'!R173="","",'Biên Tập'!R173)</f>
        <v/>
      </c>
      <c r="K369" s="52" t="str">
        <f t="array" ref="K369">IF(COUNTA('Biên Tập'!T173:AE173)=0,"",INDEX('Biên Tập'!T173:AE173,1,SUMPRODUCT(MAX(('Biên Tập'!T173:AE173&lt;&gt;"")*(COLUMN('Biên Tập'!T173:AE173)-COLUMN('Biên Tập'!T173)+1)))))</f>
        <v/>
      </c>
      <c r="L369" s="52" t="str">
        <f>IF(AND(G369&lt;&gt;"",G369='Tổng hợp'!$C$4),MAX(L$1:L368)+1,"")</f>
        <v/>
      </c>
    </row>
    <row r="370" ht="15.75" customHeight="1">
      <c r="A370" s="52" t="str">
        <f>IF('Biên Tập'!C174="","","Biên Tập")</f>
        <v/>
      </c>
      <c r="B370" s="52" t="str">
        <f>IF('Biên Tập'!B174="","",'Biên Tập'!B174)</f>
        <v/>
      </c>
      <c r="C370" s="52" t="str">
        <f>IF('Biên Tập'!C174="","",'Biên Tập'!C174)</f>
        <v/>
      </c>
      <c r="D370" s="52" t="str">
        <f>IF('Biên Tập'!D174="","",'Biên Tập'!D174)</f>
        <v/>
      </c>
      <c r="E370" s="52" t="str">
        <f>IF('Biên Tập'!E174="","",'Biên Tập'!E174)</f>
        <v/>
      </c>
      <c r="F370" s="52" t="str">
        <f>IF('Biên Tập'!F174="","",'Biên Tập'!F174)</f>
        <v/>
      </c>
      <c r="G370" s="52" t="str">
        <f>IF('Biên Tập'!G174="","",'Biên Tập'!G174)</f>
        <v/>
      </c>
      <c r="H370" s="52" t="str">
        <f>IF('Biên Tập'!J174="","",'Biên Tập'!J174)</f>
        <v/>
      </c>
      <c r="I370" s="52" t="str">
        <f>IF('Biên Tập'!M174="","",'Biên Tập'!M174)</f>
        <v/>
      </c>
      <c r="J370" s="52" t="str">
        <f>IF('Biên Tập'!R174="","",'Biên Tập'!R174)</f>
        <v/>
      </c>
      <c r="K370" s="52" t="str">
        <f t="array" ref="K370">IF(COUNTA('Biên Tập'!T174:AE174)=0,"",INDEX('Biên Tập'!T174:AE174,1,SUMPRODUCT(MAX(('Biên Tập'!T174:AE174&lt;&gt;"")*(COLUMN('Biên Tập'!T174:AE174)-COLUMN('Biên Tập'!T174)+1)))))</f>
        <v/>
      </c>
      <c r="L370" s="52" t="str">
        <f>IF(AND(G370&lt;&gt;"",G370='Tổng hợp'!$C$4),MAX(L$1:L369)+1,"")</f>
        <v/>
      </c>
    </row>
    <row r="371" ht="15.75" customHeight="1">
      <c r="A371" s="52" t="str">
        <f>IF('Biên Tập'!C175="","","Biên Tập")</f>
        <v/>
      </c>
      <c r="B371" s="52" t="str">
        <f>IF('Biên Tập'!B175="","",'Biên Tập'!B175)</f>
        <v/>
      </c>
      <c r="C371" s="52" t="str">
        <f>IF('Biên Tập'!C175="","",'Biên Tập'!C175)</f>
        <v/>
      </c>
      <c r="D371" s="52" t="str">
        <f>IF('Biên Tập'!D175="","",'Biên Tập'!D175)</f>
        <v/>
      </c>
      <c r="E371" s="52" t="str">
        <f>IF('Biên Tập'!E175="","",'Biên Tập'!E175)</f>
        <v/>
      </c>
      <c r="F371" s="52" t="str">
        <f>IF('Biên Tập'!F175="","",'Biên Tập'!F175)</f>
        <v/>
      </c>
      <c r="G371" s="52" t="str">
        <f>IF('Biên Tập'!G175="","",'Biên Tập'!G175)</f>
        <v/>
      </c>
      <c r="H371" s="52" t="str">
        <f>IF('Biên Tập'!J175="","",'Biên Tập'!J175)</f>
        <v/>
      </c>
      <c r="I371" s="52" t="str">
        <f>IF('Biên Tập'!M175="","",'Biên Tập'!M175)</f>
        <v/>
      </c>
      <c r="J371" s="52" t="str">
        <f>IF('Biên Tập'!R175="","",'Biên Tập'!R175)</f>
        <v/>
      </c>
      <c r="K371" s="52" t="str">
        <f t="array" ref="K371">IF(COUNTA('Biên Tập'!T175:AE175)=0,"",INDEX('Biên Tập'!T175:AE175,1,SUMPRODUCT(MAX(('Biên Tập'!T175:AE175&lt;&gt;"")*(COLUMN('Biên Tập'!T175:AE175)-COLUMN('Biên Tập'!T175)+1)))))</f>
        <v/>
      </c>
      <c r="L371" s="52" t="str">
        <f>IF(AND(G371&lt;&gt;"",G371='Tổng hợp'!$C$4),MAX(L$1:L370)+1,"")</f>
        <v/>
      </c>
    </row>
    <row r="372" ht="15.75" customHeight="1">
      <c r="A372" s="52" t="str">
        <f>IF('Biên Tập'!C176="","","Biên Tập")</f>
        <v/>
      </c>
      <c r="B372" s="52" t="str">
        <f>IF('Biên Tập'!B176="","",'Biên Tập'!B176)</f>
        <v/>
      </c>
      <c r="C372" s="52" t="str">
        <f>IF('Biên Tập'!C176="","",'Biên Tập'!C176)</f>
        <v/>
      </c>
      <c r="D372" s="52" t="str">
        <f>IF('Biên Tập'!D176="","",'Biên Tập'!D176)</f>
        <v/>
      </c>
      <c r="E372" s="52" t="str">
        <f>IF('Biên Tập'!E176="","",'Biên Tập'!E176)</f>
        <v/>
      </c>
      <c r="F372" s="52" t="str">
        <f>IF('Biên Tập'!F176="","",'Biên Tập'!F176)</f>
        <v/>
      </c>
      <c r="G372" s="52" t="str">
        <f>IF('Biên Tập'!G176="","",'Biên Tập'!G176)</f>
        <v/>
      </c>
      <c r="H372" s="52" t="str">
        <f>IF('Biên Tập'!J176="","",'Biên Tập'!J176)</f>
        <v/>
      </c>
      <c r="I372" s="52" t="str">
        <f>IF('Biên Tập'!M176="","",'Biên Tập'!M176)</f>
        <v/>
      </c>
      <c r="J372" s="52" t="str">
        <f>IF('Biên Tập'!R176="","",'Biên Tập'!R176)</f>
        <v/>
      </c>
      <c r="K372" s="52" t="str">
        <f t="array" ref="K372">IF(COUNTA('Biên Tập'!T176:AE176)=0,"",INDEX('Biên Tập'!T176:AE176,1,SUMPRODUCT(MAX(('Biên Tập'!T176:AE176&lt;&gt;"")*(COLUMN('Biên Tập'!T176:AE176)-COLUMN('Biên Tập'!T176)+1)))))</f>
        <v/>
      </c>
      <c r="L372" s="52" t="str">
        <f>IF(AND(G372&lt;&gt;"",G372='Tổng hợp'!$C$4),MAX(L$1:L371)+1,"")</f>
        <v/>
      </c>
    </row>
    <row r="373" ht="15.75" customHeight="1">
      <c r="A373" s="52" t="str">
        <f>IF('Biên Tập'!C177="","","Biên Tập")</f>
        <v/>
      </c>
      <c r="B373" s="52" t="str">
        <f>IF('Biên Tập'!B177="","",'Biên Tập'!B177)</f>
        <v/>
      </c>
      <c r="C373" s="52" t="str">
        <f>IF('Biên Tập'!C177="","",'Biên Tập'!C177)</f>
        <v/>
      </c>
      <c r="D373" s="52" t="str">
        <f>IF('Biên Tập'!D177="","",'Biên Tập'!D177)</f>
        <v/>
      </c>
      <c r="E373" s="52" t="str">
        <f>IF('Biên Tập'!E177="","",'Biên Tập'!E177)</f>
        <v/>
      </c>
      <c r="F373" s="52" t="str">
        <f>IF('Biên Tập'!F177="","",'Biên Tập'!F177)</f>
        <v/>
      </c>
      <c r="G373" s="52" t="str">
        <f>IF('Biên Tập'!G177="","",'Biên Tập'!G177)</f>
        <v/>
      </c>
      <c r="H373" s="52" t="str">
        <f>IF('Biên Tập'!J177="","",'Biên Tập'!J177)</f>
        <v/>
      </c>
      <c r="I373" s="52" t="str">
        <f>IF('Biên Tập'!M177="","",'Biên Tập'!M177)</f>
        <v/>
      </c>
      <c r="J373" s="52" t="str">
        <f>IF('Biên Tập'!R177="","",'Biên Tập'!R177)</f>
        <v/>
      </c>
      <c r="K373" s="52" t="str">
        <f t="array" ref="K373">IF(COUNTA('Biên Tập'!T177:AE177)=0,"",INDEX('Biên Tập'!T177:AE177,1,SUMPRODUCT(MAX(('Biên Tập'!T177:AE177&lt;&gt;"")*(COLUMN('Biên Tập'!T177:AE177)-COLUMN('Biên Tập'!T177)+1)))))</f>
        <v/>
      </c>
      <c r="L373" s="52" t="str">
        <f>IF(AND(G373&lt;&gt;"",G373='Tổng hợp'!$C$4),MAX(L$1:L372)+1,"")</f>
        <v/>
      </c>
    </row>
    <row r="374" ht="15.75" customHeight="1">
      <c r="A374" s="52" t="str">
        <f>IF('Biên Tập'!C178="","","Biên Tập")</f>
        <v/>
      </c>
      <c r="B374" s="52" t="str">
        <f>IF('Biên Tập'!B178="","",'Biên Tập'!B178)</f>
        <v/>
      </c>
      <c r="C374" s="52" t="str">
        <f>IF('Biên Tập'!C178="","",'Biên Tập'!C178)</f>
        <v/>
      </c>
      <c r="D374" s="52" t="str">
        <f>IF('Biên Tập'!D178="","",'Biên Tập'!D178)</f>
        <v/>
      </c>
      <c r="E374" s="52" t="str">
        <f>IF('Biên Tập'!E178="","",'Biên Tập'!E178)</f>
        <v/>
      </c>
      <c r="F374" s="52" t="str">
        <f>IF('Biên Tập'!F178="","",'Biên Tập'!F178)</f>
        <v/>
      </c>
      <c r="G374" s="52" t="str">
        <f>IF('Biên Tập'!G178="","",'Biên Tập'!G178)</f>
        <v/>
      </c>
      <c r="H374" s="52" t="str">
        <f>IF('Biên Tập'!J178="","",'Biên Tập'!J178)</f>
        <v/>
      </c>
      <c r="I374" s="52" t="str">
        <f>IF('Biên Tập'!M178="","",'Biên Tập'!M178)</f>
        <v/>
      </c>
      <c r="J374" s="52" t="str">
        <f>IF('Biên Tập'!R178="","",'Biên Tập'!R178)</f>
        <v/>
      </c>
      <c r="K374" s="52" t="str">
        <f t="array" ref="K374">IF(COUNTA('Biên Tập'!T178:AE178)=0,"",INDEX('Biên Tập'!T178:AE178,1,SUMPRODUCT(MAX(('Biên Tập'!T178:AE178&lt;&gt;"")*(COLUMN('Biên Tập'!T178:AE178)-COLUMN('Biên Tập'!T178)+1)))))</f>
        <v/>
      </c>
      <c r="L374" s="52" t="str">
        <f>IF(AND(G374&lt;&gt;"",G374='Tổng hợp'!$C$4),MAX(L$1:L373)+1,"")</f>
        <v/>
      </c>
    </row>
    <row r="375" ht="15.75" customHeight="1">
      <c r="A375" s="52" t="str">
        <f>IF('Biên Tập'!C179="","","Biên Tập")</f>
        <v/>
      </c>
      <c r="B375" s="52" t="str">
        <f>IF('Biên Tập'!B179="","",'Biên Tập'!B179)</f>
        <v/>
      </c>
      <c r="C375" s="52" t="str">
        <f>IF('Biên Tập'!C179="","",'Biên Tập'!C179)</f>
        <v/>
      </c>
      <c r="D375" s="52" t="str">
        <f>IF('Biên Tập'!D179="","",'Biên Tập'!D179)</f>
        <v/>
      </c>
      <c r="E375" s="52" t="str">
        <f>IF('Biên Tập'!E179="","",'Biên Tập'!E179)</f>
        <v/>
      </c>
      <c r="F375" s="52" t="str">
        <f>IF('Biên Tập'!F179="","",'Biên Tập'!F179)</f>
        <v/>
      </c>
      <c r="G375" s="52" t="str">
        <f>IF('Biên Tập'!G179="","",'Biên Tập'!G179)</f>
        <v/>
      </c>
      <c r="H375" s="52" t="str">
        <f>IF('Biên Tập'!J179="","",'Biên Tập'!J179)</f>
        <v/>
      </c>
      <c r="I375" s="52" t="str">
        <f>IF('Biên Tập'!M179="","",'Biên Tập'!M179)</f>
        <v/>
      </c>
      <c r="J375" s="52" t="str">
        <f>IF('Biên Tập'!R179="","",'Biên Tập'!R179)</f>
        <v/>
      </c>
      <c r="K375" s="52" t="str">
        <f t="array" ref="K375">IF(COUNTA('Biên Tập'!T179:AE179)=0,"",INDEX('Biên Tập'!T179:AE179,1,SUMPRODUCT(MAX(('Biên Tập'!T179:AE179&lt;&gt;"")*(COLUMN('Biên Tập'!T179:AE179)-COLUMN('Biên Tập'!T179)+1)))))</f>
        <v/>
      </c>
      <c r="L375" s="52" t="str">
        <f>IF(AND(G375&lt;&gt;"",G375='Tổng hợp'!$C$4),MAX(L$1:L374)+1,"")</f>
        <v/>
      </c>
    </row>
    <row r="376" ht="15.75" customHeight="1">
      <c r="A376" s="52" t="str">
        <f>IF('Biên Tập'!C180="","","Biên Tập")</f>
        <v/>
      </c>
      <c r="B376" s="52" t="str">
        <f>IF('Biên Tập'!B180="","",'Biên Tập'!B180)</f>
        <v/>
      </c>
      <c r="C376" s="52" t="str">
        <f>IF('Biên Tập'!C180="","",'Biên Tập'!C180)</f>
        <v/>
      </c>
      <c r="D376" s="52" t="str">
        <f>IF('Biên Tập'!D180="","",'Biên Tập'!D180)</f>
        <v/>
      </c>
      <c r="E376" s="52" t="str">
        <f>IF('Biên Tập'!E180="","",'Biên Tập'!E180)</f>
        <v/>
      </c>
      <c r="F376" s="52" t="str">
        <f>IF('Biên Tập'!F180="","",'Biên Tập'!F180)</f>
        <v/>
      </c>
      <c r="G376" s="52" t="str">
        <f>IF('Biên Tập'!G180="","",'Biên Tập'!G180)</f>
        <v/>
      </c>
      <c r="H376" s="52" t="str">
        <f>IF('Biên Tập'!J180="","",'Biên Tập'!J180)</f>
        <v/>
      </c>
      <c r="I376" s="52" t="str">
        <f>IF('Biên Tập'!M180="","",'Biên Tập'!M180)</f>
        <v/>
      </c>
      <c r="J376" s="52" t="str">
        <f>IF('Biên Tập'!R180="","",'Biên Tập'!R180)</f>
        <v/>
      </c>
      <c r="K376" s="52" t="str">
        <f t="array" ref="K376">IF(COUNTA('Biên Tập'!T180:AE180)=0,"",INDEX('Biên Tập'!T180:AE180,1,SUMPRODUCT(MAX(('Biên Tập'!T180:AE180&lt;&gt;"")*(COLUMN('Biên Tập'!T180:AE180)-COLUMN('Biên Tập'!T180)+1)))))</f>
        <v/>
      </c>
      <c r="L376" s="52" t="str">
        <f>IF(AND(G376&lt;&gt;"",G376='Tổng hợp'!$C$4),MAX(L$1:L375)+1,"")</f>
        <v/>
      </c>
    </row>
    <row r="377" ht="15.75" customHeight="1">
      <c r="A377" s="52" t="str">
        <f>IF('Biên Tập'!C181="","","Biên Tập")</f>
        <v/>
      </c>
      <c r="B377" s="52" t="str">
        <f>IF('Biên Tập'!B181="","",'Biên Tập'!B181)</f>
        <v/>
      </c>
      <c r="C377" s="52" t="str">
        <f>IF('Biên Tập'!C181="","",'Biên Tập'!C181)</f>
        <v/>
      </c>
      <c r="D377" s="52" t="str">
        <f>IF('Biên Tập'!D181="","",'Biên Tập'!D181)</f>
        <v/>
      </c>
      <c r="E377" s="52" t="str">
        <f>IF('Biên Tập'!E181="","",'Biên Tập'!E181)</f>
        <v/>
      </c>
      <c r="F377" s="52" t="str">
        <f>IF('Biên Tập'!F181="","",'Biên Tập'!F181)</f>
        <v/>
      </c>
      <c r="G377" s="52" t="str">
        <f>IF('Biên Tập'!G181="","",'Biên Tập'!G181)</f>
        <v/>
      </c>
      <c r="H377" s="52" t="str">
        <f>IF('Biên Tập'!J181="","",'Biên Tập'!J181)</f>
        <v/>
      </c>
      <c r="I377" s="52" t="str">
        <f>IF('Biên Tập'!M181="","",'Biên Tập'!M181)</f>
        <v/>
      </c>
      <c r="J377" s="52" t="str">
        <f>IF('Biên Tập'!R181="","",'Biên Tập'!R181)</f>
        <v/>
      </c>
      <c r="K377" s="52" t="str">
        <f t="array" ref="K377">IF(COUNTA('Biên Tập'!T181:AE181)=0,"",INDEX('Biên Tập'!T181:AE181,1,SUMPRODUCT(MAX(('Biên Tập'!T181:AE181&lt;&gt;"")*(COLUMN('Biên Tập'!T181:AE181)-COLUMN('Biên Tập'!T181)+1)))))</f>
        <v/>
      </c>
      <c r="L377" s="52" t="str">
        <f>IF(AND(G377&lt;&gt;"",G377='Tổng hợp'!$C$4),MAX(L$1:L376)+1,"")</f>
        <v/>
      </c>
    </row>
    <row r="378" ht="15.75" customHeight="1">
      <c r="A378" s="52" t="str">
        <f>IF('Biên Tập'!C182="","","Biên Tập")</f>
        <v/>
      </c>
      <c r="B378" s="52" t="str">
        <f>IF('Biên Tập'!B182="","",'Biên Tập'!B182)</f>
        <v/>
      </c>
      <c r="C378" s="52" t="str">
        <f>IF('Biên Tập'!C182="","",'Biên Tập'!C182)</f>
        <v/>
      </c>
      <c r="D378" s="52" t="str">
        <f>IF('Biên Tập'!D182="","",'Biên Tập'!D182)</f>
        <v/>
      </c>
      <c r="E378" s="52" t="str">
        <f>IF('Biên Tập'!E182="","",'Biên Tập'!E182)</f>
        <v/>
      </c>
      <c r="F378" s="52" t="str">
        <f>IF('Biên Tập'!F182="","",'Biên Tập'!F182)</f>
        <v/>
      </c>
      <c r="G378" s="52" t="str">
        <f>IF('Biên Tập'!G182="","",'Biên Tập'!G182)</f>
        <v/>
      </c>
      <c r="H378" s="52" t="str">
        <f>IF('Biên Tập'!J182="","",'Biên Tập'!J182)</f>
        <v/>
      </c>
      <c r="I378" s="52" t="str">
        <f>IF('Biên Tập'!M182="","",'Biên Tập'!M182)</f>
        <v/>
      </c>
      <c r="J378" s="52" t="str">
        <f>IF('Biên Tập'!R182="","",'Biên Tập'!R182)</f>
        <v/>
      </c>
      <c r="K378" s="52" t="str">
        <f t="array" ref="K378">IF(COUNTA('Biên Tập'!T182:AE182)=0,"",INDEX('Biên Tập'!T182:AE182,1,SUMPRODUCT(MAX(('Biên Tập'!T182:AE182&lt;&gt;"")*(COLUMN('Biên Tập'!T182:AE182)-COLUMN('Biên Tập'!T182)+1)))))</f>
        <v/>
      </c>
      <c r="L378" s="52" t="str">
        <f>IF(AND(G378&lt;&gt;"",G378='Tổng hợp'!$C$4),MAX(L$1:L377)+1,"")</f>
        <v/>
      </c>
    </row>
    <row r="379" ht="15.75" customHeight="1">
      <c r="A379" s="52" t="str">
        <f>IF('Biên Tập'!C183="","","Biên Tập")</f>
        <v/>
      </c>
      <c r="B379" s="52" t="str">
        <f>IF('Biên Tập'!B183="","",'Biên Tập'!B183)</f>
        <v/>
      </c>
      <c r="C379" s="52" t="str">
        <f>IF('Biên Tập'!C183="","",'Biên Tập'!C183)</f>
        <v/>
      </c>
      <c r="D379" s="52" t="str">
        <f>IF('Biên Tập'!D183="","",'Biên Tập'!D183)</f>
        <v/>
      </c>
      <c r="E379" s="52" t="str">
        <f>IF('Biên Tập'!E183="","",'Biên Tập'!E183)</f>
        <v/>
      </c>
      <c r="F379" s="52" t="str">
        <f>IF('Biên Tập'!F183="","",'Biên Tập'!F183)</f>
        <v/>
      </c>
      <c r="G379" s="52" t="str">
        <f>IF('Biên Tập'!G183="","",'Biên Tập'!G183)</f>
        <v/>
      </c>
      <c r="H379" s="52" t="str">
        <f>IF('Biên Tập'!J183="","",'Biên Tập'!J183)</f>
        <v/>
      </c>
      <c r="I379" s="52" t="str">
        <f>IF('Biên Tập'!M183="","",'Biên Tập'!M183)</f>
        <v/>
      </c>
      <c r="J379" s="52" t="str">
        <f>IF('Biên Tập'!R183="","",'Biên Tập'!R183)</f>
        <v/>
      </c>
      <c r="K379" s="52" t="str">
        <f t="array" ref="K379">IF(COUNTA('Biên Tập'!T183:AE183)=0,"",INDEX('Biên Tập'!T183:AE183,1,SUMPRODUCT(MAX(('Biên Tập'!T183:AE183&lt;&gt;"")*(COLUMN('Biên Tập'!T183:AE183)-COLUMN('Biên Tập'!T183)+1)))))</f>
        <v/>
      </c>
      <c r="L379" s="52" t="str">
        <f>IF(AND(G379&lt;&gt;"",G379='Tổng hợp'!$C$4),MAX(L$1:L378)+1,"")</f>
        <v/>
      </c>
    </row>
    <row r="380" ht="15.75" customHeight="1">
      <c r="A380" s="52" t="str">
        <f>IF('Biên Tập'!C184="","","Biên Tập")</f>
        <v/>
      </c>
      <c r="B380" s="52" t="str">
        <f>IF('Biên Tập'!B184="","",'Biên Tập'!B184)</f>
        <v/>
      </c>
      <c r="C380" s="52" t="str">
        <f>IF('Biên Tập'!C184="","",'Biên Tập'!C184)</f>
        <v/>
      </c>
      <c r="D380" s="52" t="str">
        <f>IF('Biên Tập'!D184="","",'Biên Tập'!D184)</f>
        <v/>
      </c>
      <c r="E380" s="52" t="str">
        <f>IF('Biên Tập'!E184="","",'Biên Tập'!E184)</f>
        <v/>
      </c>
      <c r="F380" s="52" t="str">
        <f>IF('Biên Tập'!F184="","",'Biên Tập'!F184)</f>
        <v/>
      </c>
      <c r="G380" s="52" t="str">
        <f>IF('Biên Tập'!G184="","",'Biên Tập'!G184)</f>
        <v/>
      </c>
      <c r="H380" s="52" t="str">
        <f>IF('Biên Tập'!J184="","",'Biên Tập'!J184)</f>
        <v/>
      </c>
      <c r="I380" s="52" t="str">
        <f>IF('Biên Tập'!M184="","",'Biên Tập'!M184)</f>
        <v/>
      </c>
      <c r="J380" s="52" t="str">
        <f>IF('Biên Tập'!R184="","",'Biên Tập'!R184)</f>
        <v/>
      </c>
      <c r="K380" s="52" t="str">
        <f t="array" ref="K380">IF(COUNTA('Biên Tập'!T184:AE184)=0,"",INDEX('Biên Tập'!T184:AE184,1,SUMPRODUCT(MAX(('Biên Tập'!T184:AE184&lt;&gt;"")*(COLUMN('Biên Tập'!T184:AE184)-COLUMN('Biên Tập'!T184)+1)))))</f>
        <v/>
      </c>
      <c r="L380" s="52" t="str">
        <f>IF(AND(G380&lt;&gt;"",G380='Tổng hợp'!$C$4),MAX(L$1:L379)+1,"")</f>
        <v/>
      </c>
    </row>
    <row r="381" ht="15.75" customHeight="1">
      <c r="A381" s="52" t="str">
        <f>IF('Biên Tập'!C185="","","Biên Tập")</f>
        <v/>
      </c>
      <c r="B381" s="52" t="str">
        <f>IF('Biên Tập'!B185="","",'Biên Tập'!B185)</f>
        <v/>
      </c>
      <c r="C381" s="52" t="str">
        <f>IF('Biên Tập'!C185="","",'Biên Tập'!C185)</f>
        <v/>
      </c>
      <c r="D381" s="52" t="str">
        <f>IF('Biên Tập'!D185="","",'Biên Tập'!D185)</f>
        <v/>
      </c>
      <c r="E381" s="52" t="str">
        <f>IF('Biên Tập'!E185="","",'Biên Tập'!E185)</f>
        <v/>
      </c>
      <c r="F381" s="52" t="str">
        <f>IF('Biên Tập'!F185="","",'Biên Tập'!F185)</f>
        <v/>
      </c>
      <c r="G381" s="52" t="str">
        <f>IF('Biên Tập'!G185="","",'Biên Tập'!G185)</f>
        <v/>
      </c>
      <c r="H381" s="52" t="str">
        <f>IF('Biên Tập'!J185="","",'Biên Tập'!J185)</f>
        <v/>
      </c>
      <c r="I381" s="52" t="str">
        <f>IF('Biên Tập'!M185="","",'Biên Tập'!M185)</f>
        <v/>
      </c>
      <c r="J381" s="52" t="str">
        <f>IF('Biên Tập'!R185="","",'Biên Tập'!R185)</f>
        <v/>
      </c>
      <c r="K381" s="52" t="str">
        <f t="array" ref="K381">IF(COUNTA('Biên Tập'!T185:AE185)=0,"",INDEX('Biên Tập'!T185:AE185,1,SUMPRODUCT(MAX(('Biên Tập'!T185:AE185&lt;&gt;"")*(COLUMN('Biên Tập'!T185:AE185)-COLUMN('Biên Tập'!T185)+1)))))</f>
        <v/>
      </c>
      <c r="L381" s="52" t="str">
        <f>IF(AND(G381&lt;&gt;"",G381='Tổng hợp'!$C$4),MAX(L$1:L380)+1,"")</f>
        <v/>
      </c>
    </row>
    <row r="382" ht="15.75" customHeight="1">
      <c r="A382" s="52" t="str">
        <f>IF('Biên Tập'!C186="","","Biên Tập")</f>
        <v/>
      </c>
      <c r="B382" s="52" t="str">
        <f>IF('Biên Tập'!B186="","",'Biên Tập'!B186)</f>
        <v/>
      </c>
      <c r="C382" s="52" t="str">
        <f>IF('Biên Tập'!C186="","",'Biên Tập'!C186)</f>
        <v/>
      </c>
      <c r="D382" s="52" t="str">
        <f>IF('Biên Tập'!D186="","",'Biên Tập'!D186)</f>
        <v/>
      </c>
      <c r="E382" s="52" t="str">
        <f>IF('Biên Tập'!E186="","",'Biên Tập'!E186)</f>
        <v/>
      </c>
      <c r="F382" s="52" t="str">
        <f>IF('Biên Tập'!F186="","",'Biên Tập'!F186)</f>
        <v/>
      </c>
      <c r="G382" s="52" t="str">
        <f>IF('Biên Tập'!G186="","",'Biên Tập'!G186)</f>
        <v/>
      </c>
      <c r="H382" s="52" t="str">
        <f>IF('Biên Tập'!J186="","",'Biên Tập'!J186)</f>
        <v/>
      </c>
      <c r="I382" s="52" t="str">
        <f>IF('Biên Tập'!M186="","",'Biên Tập'!M186)</f>
        <v/>
      </c>
      <c r="J382" s="52" t="str">
        <f>IF('Biên Tập'!R186="","",'Biên Tập'!R186)</f>
        <v/>
      </c>
      <c r="K382" s="52" t="str">
        <f t="array" ref="K382">IF(COUNTA('Biên Tập'!T186:AE186)=0,"",INDEX('Biên Tập'!T186:AE186,1,SUMPRODUCT(MAX(('Biên Tập'!T186:AE186&lt;&gt;"")*(COLUMN('Biên Tập'!T186:AE186)-COLUMN('Biên Tập'!T186)+1)))))</f>
        <v/>
      </c>
      <c r="L382" s="52" t="str">
        <f>IF(AND(G382&lt;&gt;"",G382='Tổng hợp'!$C$4),MAX(L$1:L381)+1,"")</f>
        <v/>
      </c>
    </row>
    <row r="383" ht="15.75" customHeight="1">
      <c r="A383" s="52" t="str">
        <f>IF('Biên Tập'!C187="","","Biên Tập")</f>
        <v/>
      </c>
      <c r="B383" s="52" t="str">
        <f>IF('Biên Tập'!B187="","",'Biên Tập'!B187)</f>
        <v/>
      </c>
      <c r="C383" s="52" t="str">
        <f>IF('Biên Tập'!C187="","",'Biên Tập'!C187)</f>
        <v/>
      </c>
      <c r="D383" s="52" t="str">
        <f>IF('Biên Tập'!D187="","",'Biên Tập'!D187)</f>
        <v/>
      </c>
      <c r="E383" s="52" t="str">
        <f>IF('Biên Tập'!E187="","",'Biên Tập'!E187)</f>
        <v/>
      </c>
      <c r="F383" s="52" t="str">
        <f>IF('Biên Tập'!F187="","",'Biên Tập'!F187)</f>
        <v/>
      </c>
      <c r="G383" s="52" t="str">
        <f>IF('Biên Tập'!G187="","",'Biên Tập'!G187)</f>
        <v/>
      </c>
      <c r="H383" s="52" t="str">
        <f>IF('Biên Tập'!J187="","",'Biên Tập'!J187)</f>
        <v/>
      </c>
      <c r="I383" s="52" t="str">
        <f>IF('Biên Tập'!M187="","",'Biên Tập'!M187)</f>
        <v/>
      </c>
      <c r="J383" s="52" t="str">
        <f>IF('Biên Tập'!R187="","",'Biên Tập'!R187)</f>
        <v/>
      </c>
      <c r="K383" s="52" t="str">
        <f t="array" ref="K383">IF(COUNTA('Biên Tập'!T187:AE187)=0,"",INDEX('Biên Tập'!T187:AE187,1,SUMPRODUCT(MAX(('Biên Tập'!T187:AE187&lt;&gt;"")*(COLUMN('Biên Tập'!T187:AE187)-COLUMN('Biên Tập'!T187)+1)))))</f>
        <v/>
      </c>
      <c r="L383" s="52" t="str">
        <f>IF(AND(G383&lt;&gt;"",G383='Tổng hợp'!$C$4),MAX(L$1:L382)+1,"")</f>
        <v/>
      </c>
    </row>
    <row r="384" ht="15.75" customHeight="1">
      <c r="A384" s="52" t="str">
        <f>IF('Biên Tập'!C188="","","Biên Tập")</f>
        <v/>
      </c>
      <c r="B384" s="52" t="str">
        <f>IF('Biên Tập'!B188="","",'Biên Tập'!B188)</f>
        <v/>
      </c>
      <c r="C384" s="52" t="str">
        <f>IF('Biên Tập'!C188="","",'Biên Tập'!C188)</f>
        <v/>
      </c>
      <c r="D384" s="52" t="str">
        <f>IF('Biên Tập'!D188="","",'Biên Tập'!D188)</f>
        <v/>
      </c>
      <c r="E384" s="52" t="str">
        <f>IF('Biên Tập'!E188="","",'Biên Tập'!E188)</f>
        <v/>
      </c>
      <c r="F384" s="52" t="str">
        <f>IF('Biên Tập'!F188="","",'Biên Tập'!F188)</f>
        <v/>
      </c>
      <c r="G384" s="52" t="str">
        <f>IF('Biên Tập'!G188="","",'Biên Tập'!G188)</f>
        <v/>
      </c>
      <c r="H384" s="52" t="str">
        <f>IF('Biên Tập'!J188="","",'Biên Tập'!J188)</f>
        <v/>
      </c>
      <c r="I384" s="52" t="str">
        <f>IF('Biên Tập'!M188="","",'Biên Tập'!M188)</f>
        <v/>
      </c>
      <c r="J384" s="52" t="str">
        <f>IF('Biên Tập'!R188="","",'Biên Tập'!R188)</f>
        <v/>
      </c>
      <c r="K384" s="52" t="str">
        <f t="array" ref="K384">IF(COUNTA('Biên Tập'!T188:AE188)=0,"",INDEX('Biên Tập'!T188:AE188,1,SUMPRODUCT(MAX(('Biên Tập'!T188:AE188&lt;&gt;"")*(COLUMN('Biên Tập'!T188:AE188)-COLUMN('Biên Tập'!T188)+1)))))</f>
        <v/>
      </c>
      <c r="L384" s="52" t="str">
        <f>IF(AND(G384&lt;&gt;"",G384='Tổng hợp'!$C$4),MAX(L$1:L383)+1,"")</f>
        <v/>
      </c>
    </row>
    <row r="385" ht="15.75" customHeight="1">
      <c r="A385" s="52" t="str">
        <f>IF('Biên Tập'!C189="","","Biên Tập")</f>
        <v/>
      </c>
      <c r="B385" s="52" t="str">
        <f>IF('Biên Tập'!B189="","",'Biên Tập'!B189)</f>
        <v/>
      </c>
      <c r="C385" s="52" t="str">
        <f>IF('Biên Tập'!C189="","",'Biên Tập'!C189)</f>
        <v/>
      </c>
      <c r="D385" s="52" t="str">
        <f>IF('Biên Tập'!D189="","",'Biên Tập'!D189)</f>
        <v/>
      </c>
      <c r="E385" s="52" t="str">
        <f>IF('Biên Tập'!E189="","",'Biên Tập'!E189)</f>
        <v/>
      </c>
      <c r="F385" s="52" t="str">
        <f>IF('Biên Tập'!F189="","",'Biên Tập'!F189)</f>
        <v/>
      </c>
      <c r="G385" s="52" t="str">
        <f>IF('Biên Tập'!G189="","",'Biên Tập'!G189)</f>
        <v/>
      </c>
      <c r="H385" s="52" t="str">
        <f>IF('Biên Tập'!J189="","",'Biên Tập'!J189)</f>
        <v/>
      </c>
      <c r="I385" s="52" t="str">
        <f>IF('Biên Tập'!M189="","",'Biên Tập'!M189)</f>
        <v/>
      </c>
      <c r="J385" s="52" t="str">
        <f>IF('Biên Tập'!R189="","",'Biên Tập'!R189)</f>
        <v/>
      </c>
      <c r="K385" s="52" t="str">
        <f t="array" ref="K385">IF(COUNTA('Biên Tập'!T189:AE189)=0,"",INDEX('Biên Tập'!T189:AE189,1,SUMPRODUCT(MAX(('Biên Tập'!T189:AE189&lt;&gt;"")*(COLUMN('Biên Tập'!T189:AE189)-COLUMN('Biên Tập'!T189)+1)))))</f>
        <v/>
      </c>
      <c r="L385" s="52" t="str">
        <f>IF(AND(G385&lt;&gt;"",G385='Tổng hợp'!$C$4),MAX(L$1:L384)+1,"")</f>
        <v/>
      </c>
    </row>
    <row r="386" ht="15.75" customHeight="1">
      <c r="A386" s="52" t="str">
        <f>IF('Biên Tập'!C190="","","Biên Tập")</f>
        <v/>
      </c>
      <c r="B386" s="52" t="str">
        <f>IF('Biên Tập'!B190="","",'Biên Tập'!B190)</f>
        <v/>
      </c>
      <c r="C386" s="52" t="str">
        <f>IF('Biên Tập'!C190="","",'Biên Tập'!C190)</f>
        <v/>
      </c>
      <c r="D386" s="52" t="str">
        <f>IF('Biên Tập'!D190="","",'Biên Tập'!D190)</f>
        <v/>
      </c>
      <c r="E386" s="52" t="str">
        <f>IF('Biên Tập'!E190="","",'Biên Tập'!E190)</f>
        <v/>
      </c>
      <c r="F386" s="52" t="str">
        <f>IF('Biên Tập'!F190="","",'Biên Tập'!F190)</f>
        <v/>
      </c>
      <c r="G386" s="52" t="str">
        <f>IF('Biên Tập'!G190="","",'Biên Tập'!G190)</f>
        <v/>
      </c>
      <c r="H386" s="52" t="str">
        <f>IF('Biên Tập'!J190="","",'Biên Tập'!J190)</f>
        <v/>
      </c>
      <c r="I386" s="52" t="str">
        <f>IF('Biên Tập'!M190="","",'Biên Tập'!M190)</f>
        <v/>
      </c>
      <c r="J386" s="52" t="str">
        <f>IF('Biên Tập'!R190="","",'Biên Tập'!R190)</f>
        <v/>
      </c>
      <c r="K386" s="52" t="str">
        <f t="array" ref="K386">IF(COUNTA('Biên Tập'!T190:AE190)=0,"",INDEX('Biên Tập'!T190:AE190,1,SUMPRODUCT(MAX(('Biên Tập'!T190:AE190&lt;&gt;"")*(COLUMN('Biên Tập'!T190:AE190)-COLUMN('Biên Tập'!T190)+1)))))</f>
        <v/>
      </c>
      <c r="L386" s="52" t="str">
        <f>IF(AND(G386&lt;&gt;"",G386='Tổng hợp'!$C$4),MAX(L$1:L385)+1,"")</f>
        <v/>
      </c>
    </row>
    <row r="387" ht="15.75" customHeight="1">
      <c r="A387" s="52" t="str">
        <f>IF('Biên Tập'!C191="","","Biên Tập")</f>
        <v/>
      </c>
      <c r="B387" s="52" t="str">
        <f>IF('Biên Tập'!B191="","",'Biên Tập'!B191)</f>
        <v/>
      </c>
      <c r="C387" s="52" t="str">
        <f>IF('Biên Tập'!C191="","",'Biên Tập'!C191)</f>
        <v/>
      </c>
      <c r="D387" s="52" t="str">
        <f>IF('Biên Tập'!D191="","",'Biên Tập'!D191)</f>
        <v/>
      </c>
      <c r="E387" s="52" t="str">
        <f>IF('Biên Tập'!E191="","",'Biên Tập'!E191)</f>
        <v/>
      </c>
      <c r="F387" s="52" t="str">
        <f>IF('Biên Tập'!F191="","",'Biên Tập'!F191)</f>
        <v/>
      </c>
      <c r="G387" s="52" t="str">
        <f>IF('Biên Tập'!G191="","",'Biên Tập'!G191)</f>
        <v/>
      </c>
      <c r="H387" s="52" t="str">
        <f>IF('Biên Tập'!J191="","",'Biên Tập'!J191)</f>
        <v/>
      </c>
      <c r="I387" s="52" t="str">
        <f>IF('Biên Tập'!M191="","",'Biên Tập'!M191)</f>
        <v/>
      </c>
      <c r="J387" s="52" t="str">
        <f>IF('Biên Tập'!R191="","",'Biên Tập'!R191)</f>
        <v/>
      </c>
      <c r="K387" s="52" t="str">
        <f t="array" ref="K387">IF(COUNTA('Biên Tập'!T191:AE191)=0,"",INDEX('Biên Tập'!T191:AE191,1,SUMPRODUCT(MAX(('Biên Tập'!T191:AE191&lt;&gt;"")*(COLUMN('Biên Tập'!T191:AE191)-COLUMN('Biên Tập'!T191)+1)))))</f>
        <v/>
      </c>
      <c r="L387" s="52" t="str">
        <f>IF(AND(G387&lt;&gt;"",G387='Tổng hợp'!$C$4),MAX(L$1:L386)+1,"")</f>
        <v/>
      </c>
    </row>
    <row r="388" ht="15.75" customHeight="1">
      <c r="A388" s="52" t="str">
        <f>IF('Biên Tập'!C192="","","Biên Tập")</f>
        <v/>
      </c>
      <c r="B388" s="52" t="str">
        <f>IF('Biên Tập'!B192="","",'Biên Tập'!B192)</f>
        <v/>
      </c>
      <c r="C388" s="52" t="str">
        <f>IF('Biên Tập'!C192="","",'Biên Tập'!C192)</f>
        <v/>
      </c>
      <c r="D388" s="52" t="str">
        <f>IF('Biên Tập'!D192="","",'Biên Tập'!D192)</f>
        <v/>
      </c>
      <c r="E388" s="52" t="str">
        <f>IF('Biên Tập'!E192="","",'Biên Tập'!E192)</f>
        <v/>
      </c>
      <c r="F388" s="52" t="str">
        <f>IF('Biên Tập'!F192="","",'Biên Tập'!F192)</f>
        <v/>
      </c>
      <c r="G388" s="52" t="str">
        <f>IF('Biên Tập'!G192="","",'Biên Tập'!G192)</f>
        <v/>
      </c>
      <c r="H388" s="52" t="str">
        <f>IF('Biên Tập'!J192="","",'Biên Tập'!J192)</f>
        <v/>
      </c>
      <c r="I388" s="52" t="str">
        <f>IF('Biên Tập'!M192="","",'Biên Tập'!M192)</f>
        <v/>
      </c>
      <c r="J388" s="52" t="str">
        <f>IF('Biên Tập'!R192="","",'Biên Tập'!R192)</f>
        <v/>
      </c>
      <c r="K388" s="52" t="str">
        <f t="array" ref="K388">IF(COUNTA('Biên Tập'!T192:AE192)=0,"",INDEX('Biên Tập'!T192:AE192,1,SUMPRODUCT(MAX(('Biên Tập'!T192:AE192&lt;&gt;"")*(COLUMN('Biên Tập'!T192:AE192)-COLUMN('Biên Tập'!T192)+1)))))</f>
        <v/>
      </c>
      <c r="L388" s="52" t="str">
        <f>IF(AND(G388&lt;&gt;"",G388='Tổng hợp'!$C$4),MAX(L$1:L387)+1,"")</f>
        <v/>
      </c>
    </row>
    <row r="389" ht="15.75" customHeight="1">
      <c r="A389" s="52" t="str">
        <f>IF('Biên Tập'!C193="","","Biên Tập")</f>
        <v/>
      </c>
      <c r="B389" s="52" t="str">
        <f>IF('Biên Tập'!B193="","",'Biên Tập'!B193)</f>
        <v/>
      </c>
      <c r="C389" s="52" t="str">
        <f>IF('Biên Tập'!C193="","",'Biên Tập'!C193)</f>
        <v/>
      </c>
      <c r="D389" s="52" t="str">
        <f>IF('Biên Tập'!D193="","",'Biên Tập'!D193)</f>
        <v/>
      </c>
      <c r="E389" s="52" t="str">
        <f>IF('Biên Tập'!E193="","",'Biên Tập'!E193)</f>
        <v/>
      </c>
      <c r="F389" s="52" t="str">
        <f>IF('Biên Tập'!F193="","",'Biên Tập'!F193)</f>
        <v/>
      </c>
      <c r="G389" s="52" t="str">
        <f>IF('Biên Tập'!G193="","",'Biên Tập'!G193)</f>
        <v/>
      </c>
      <c r="H389" s="52" t="str">
        <f>IF('Biên Tập'!J193="","",'Biên Tập'!J193)</f>
        <v/>
      </c>
      <c r="I389" s="52" t="str">
        <f>IF('Biên Tập'!M193="","",'Biên Tập'!M193)</f>
        <v/>
      </c>
      <c r="J389" s="52" t="str">
        <f>IF('Biên Tập'!R193="","",'Biên Tập'!R193)</f>
        <v/>
      </c>
      <c r="K389" s="52" t="str">
        <f t="array" ref="K389">IF(COUNTA('Biên Tập'!T193:AE193)=0,"",INDEX('Biên Tập'!T193:AE193,1,SUMPRODUCT(MAX(('Biên Tập'!T193:AE193&lt;&gt;"")*(COLUMN('Biên Tập'!T193:AE193)-COLUMN('Biên Tập'!T193)+1)))))</f>
        <v/>
      </c>
      <c r="L389" s="52" t="str">
        <f>IF(AND(G389&lt;&gt;"",G389='Tổng hợp'!$C$4),MAX(L$1:L388)+1,"")</f>
        <v/>
      </c>
    </row>
    <row r="390" ht="15.75" customHeight="1">
      <c r="A390" s="52" t="str">
        <f>IF('Biên Tập'!C194="","","Biên Tập")</f>
        <v/>
      </c>
      <c r="B390" s="52" t="str">
        <f>IF('Biên Tập'!B194="","",'Biên Tập'!B194)</f>
        <v/>
      </c>
      <c r="C390" s="52" t="str">
        <f>IF('Biên Tập'!C194="","",'Biên Tập'!C194)</f>
        <v/>
      </c>
      <c r="D390" s="52" t="str">
        <f>IF('Biên Tập'!D194="","",'Biên Tập'!D194)</f>
        <v/>
      </c>
      <c r="E390" s="52" t="str">
        <f>IF('Biên Tập'!E194="","",'Biên Tập'!E194)</f>
        <v/>
      </c>
      <c r="F390" s="52" t="str">
        <f>IF('Biên Tập'!F194="","",'Biên Tập'!F194)</f>
        <v/>
      </c>
      <c r="G390" s="52" t="str">
        <f>IF('Biên Tập'!G194="","",'Biên Tập'!G194)</f>
        <v/>
      </c>
      <c r="H390" s="52" t="str">
        <f>IF('Biên Tập'!J194="","",'Biên Tập'!J194)</f>
        <v/>
      </c>
      <c r="I390" s="52" t="str">
        <f>IF('Biên Tập'!M194="","",'Biên Tập'!M194)</f>
        <v/>
      </c>
      <c r="J390" s="52" t="str">
        <f>IF('Biên Tập'!R194="","",'Biên Tập'!R194)</f>
        <v/>
      </c>
      <c r="K390" s="52" t="str">
        <f t="array" ref="K390">IF(COUNTA('Biên Tập'!T194:AE194)=0,"",INDEX('Biên Tập'!T194:AE194,1,SUMPRODUCT(MAX(('Biên Tập'!T194:AE194&lt;&gt;"")*(COLUMN('Biên Tập'!T194:AE194)-COLUMN('Biên Tập'!T194)+1)))))</f>
        <v/>
      </c>
      <c r="L390" s="52" t="str">
        <f>IF(AND(G390&lt;&gt;"",G390='Tổng hợp'!$C$4),MAX(L$1:L389)+1,"")</f>
        <v/>
      </c>
    </row>
    <row r="391" ht="15.75" customHeight="1">
      <c r="A391" s="52" t="str">
        <f>IF('Biên Tập'!C195="","","Biên Tập")</f>
        <v/>
      </c>
      <c r="B391" s="52" t="str">
        <f>IF('Biên Tập'!B195="","",'Biên Tập'!B195)</f>
        <v/>
      </c>
      <c r="C391" s="52" t="str">
        <f>IF('Biên Tập'!C195="","",'Biên Tập'!C195)</f>
        <v/>
      </c>
      <c r="D391" s="52" t="str">
        <f>IF('Biên Tập'!D195="","",'Biên Tập'!D195)</f>
        <v/>
      </c>
      <c r="E391" s="52" t="str">
        <f>IF('Biên Tập'!E195="","",'Biên Tập'!E195)</f>
        <v/>
      </c>
      <c r="F391" s="52" t="str">
        <f>IF('Biên Tập'!F195="","",'Biên Tập'!F195)</f>
        <v/>
      </c>
      <c r="G391" s="52" t="str">
        <f>IF('Biên Tập'!G195="","",'Biên Tập'!G195)</f>
        <v/>
      </c>
      <c r="H391" s="52" t="str">
        <f>IF('Biên Tập'!J195="","",'Biên Tập'!J195)</f>
        <v/>
      </c>
      <c r="I391" s="52" t="str">
        <f>IF('Biên Tập'!M195="","",'Biên Tập'!M195)</f>
        <v/>
      </c>
      <c r="J391" s="52" t="str">
        <f>IF('Biên Tập'!R195="","",'Biên Tập'!R195)</f>
        <v/>
      </c>
      <c r="K391" s="52" t="str">
        <f t="array" ref="K391">IF(COUNTA('Biên Tập'!T195:AE195)=0,"",INDEX('Biên Tập'!T195:AE195,1,SUMPRODUCT(MAX(('Biên Tập'!T195:AE195&lt;&gt;"")*(COLUMN('Biên Tập'!T195:AE195)-COLUMN('Biên Tập'!T195)+1)))))</f>
        <v/>
      </c>
      <c r="L391" s="52" t="str">
        <f>IF(AND(G391&lt;&gt;"",G391='Tổng hợp'!$C$4),MAX(L$1:L390)+1,"")</f>
        <v/>
      </c>
    </row>
    <row r="392" ht="15.75" customHeight="1">
      <c r="A392" s="52" t="str">
        <f>IF('Biên Tập'!C196="","","Biên Tập")</f>
        <v/>
      </c>
      <c r="B392" s="52" t="str">
        <f>IF('Biên Tập'!B196="","",'Biên Tập'!B196)</f>
        <v/>
      </c>
      <c r="C392" s="52" t="str">
        <f>IF('Biên Tập'!C196="","",'Biên Tập'!C196)</f>
        <v/>
      </c>
      <c r="D392" s="52" t="str">
        <f>IF('Biên Tập'!D196="","",'Biên Tập'!D196)</f>
        <v/>
      </c>
      <c r="E392" s="52" t="str">
        <f>IF('Biên Tập'!E196="","",'Biên Tập'!E196)</f>
        <v/>
      </c>
      <c r="F392" s="52" t="str">
        <f>IF('Biên Tập'!F196="","",'Biên Tập'!F196)</f>
        <v/>
      </c>
      <c r="G392" s="52" t="str">
        <f>IF('Biên Tập'!G196="","",'Biên Tập'!G196)</f>
        <v/>
      </c>
      <c r="H392" s="52" t="str">
        <f>IF('Biên Tập'!J196="","",'Biên Tập'!J196)</f>
        <v/>
      </c>
      <c r="I392" s="52" t="str">
        <f>IF('Biên Tập'!M196="","",'Biên Tập'!M196)</f>
        <v/>
      </c>
      <c r="J392" s="52" t="str">
        <f>IF('Biên Tập'!R196="","",'Biên Tập'!R196)</f>
        <v/>
      </c>
      <c r="K392" s="52" t="str">
        <f t="array" ref="K392">IF(COUNTA('Biên Tập'!T196:AE196)=0,"",INDEX('Biên Tập'!T196:AE196,1,SUMPRODUCT(MAX(('Biên Tập'!T196:AE196&lt;&gt;"")*(COLUMN('Biên Tập'!T196:AE196)-COLUMN('Biên Tập'!T196)+1)))))</f>
        <v/>
      </c>
      <c r="L392" s="52" t="str">
        <f>IF(AND(G392&lt;&gt;"",G392='Tổng hợp'!$C$4),MAX(L$1:L391)+1,"")</f>
        <v/>
      </c>
    </row>
    <row r="393" ht="15.75" customHeight="1">
      <c r="A393" s="52" t="str">
        <f>IF('Biên Tập'!C197="","","Biên Tập")</f>
        <v/>
      </c>
      <c r="B393" s="52" t="str">
        <f>IF('Biên Tập'!B197="","",'Biên Tập'!B197)</f>
        <v/>
      </c>
      <c r="C393" s="52" t="str">
        <f>IF('Biên Tập'!C197="","",'Biên Tập'!C197)</f>
        <v/>
      </c>
      <c r="D393" s="52" t="str">
        <f>IF('Biên Tập'!D197="","",'Biên Tập'!D197)</f>
        <v/>
      </c>
      <c r="E393" s="52" t="str">
        <f>IF('Biên Tập'!E197="","",'Biên Tập'!E197)</f>
        <v/>
      </c>
      <c r="F393" s="52" t="str">
        <f>IF('Biên Tập'!F197="","",'Biên Tập'!F197)</f>
        <v/>
      </c>
      <c r="G393" s="52" t="str">
        <f>IF('Biên Tập'!G197="","",'Biên Tập'!G197)</f>
        <v/>
      </c>
      <c r="H393" s="52" t="str">
        <f>IF('Biên Tập'!J197="","",'Biên Tập'!J197)</f>
        <v/>
      </c>
      <c r="I393" s="52" t="str">
        <f>IF('Biên Tập'!M197="","",'Biên Tập'!M197)</f>
        <v/>
      </c>
      <c r="J393" s="52" t="str">
        <f>IF('Biên Tập'!R197="","",'Biên Tập'!R197)</f>
        <v/>
      </c>
      <c r="K393" s="52" t="str">
        <f t="array" ref="K393">IF(COUNTA('Biên Tập'!T197:AE197)=0,"",INDEX('Biên Tập'!T197:AE197,1,SUMPRODUCT(MAX(('Biên Tập'!T197:AE197&lt;&gt;"")*(COLUMN('Biên Tập'!T197:AE197)-COLUMN('Biên Tập'!T197)+1)))))</f>
        <v/>
      </c>
      <c r="L393" s="52" t="str">
        <f>IF(AND(G393&lt;&gt;"",G393='Tổng hợp'!$C$4),MAX(L$1:L392)+1,"")</f>
        <v/>
      </c>
    </row>
    <row r="394" ht="15.75" customHeight="1">
      <c r="A394" s="52" t="str">
        <f>IF('Biên Tập'!C198="","","Biên Tập")</f>
        <v/>
      </c>
      <c r="B394" s="52" t="str">
        <f>IF('Biên Tập'!B198="","",'Biên Tập'!B198)</f>
        <v/>
      </c>
      <c r="C394" s="52" t="str">
        <f>IF('Biên Tập'!C198="","",'Biên Tập'!C198)</f>
        <v/>
      </c>
      <c r="D394" s="52" t="str">
        <f>IF('Biên Tập'!D198="","",'Biên Tập'!D198)</f>
        <v/>
      </c>
      <c r="E394" s="52" t="str">
        <f>IF('Biên Tập'!E198="","",'Biên Tập'!E198)</f>
        <v/>
      </c>
      <c r="F394" s="52" t="str">
        <f>IF('Biên Tập'!F198="","",'Biên Tập'!F198)</f>
        <v/>
      </c>
      <c r="G394" s="52" t="str">
        <f>IF('Biên Tập'!G198="","",'Biên Tập'!G198)</f>
        <v/>
      </c>
      <c r="H394" s="52" t="str">
        <f>IF('Biên Tập'!J198="","",'Biên Tập'!J198)</f>
        <v/>
      </c>
      <c r="I394" s="52" t="str">
        <f>IF('Biên Tập'!M198="","",'Biên Tập'!M198)</f>
        <v/>
      </c>
      <c r="J394" s="52" t="str">
        <f>IF('Biên Tập'!R198="","",'Biên Tập'!R198)</f>
        <v/>
      </c>
      <c r="K394" s="52" t="str">
        <f t="array" ref="K394">IF(COUNTA('Biên Tập'!T198:AE198)=0,"",INDEX('Biên Tập'!T198:AE198,1,SUMPRODUCT(MAX(('Biên Tập'!T198:AE198&lt;&gt;"")*(COLUMN('Biên Tập'!T198:AE198)-COLUMN('Biên Tập'!T198)+1)))))</f>
        <v/>
      </c>
      <c r="L394" s="52" t="str">
        <f>IF(AND(G394&lt;&gt;"",G394='Tổng hợp'!$C$4),MAX(L$1:L393)+1,"")</f>
        <v/>
      </c>
    </row>
    <row r="395" ht="15.75" customHeight="1">
      <c r="A395" s="52" t="str">
        <f>IF('Biên Tập'!C199="","","Biên Tập")</f>
        <v/>
      </c>
      <c r="B395" s="52" t="str">
        <f>IF('Biên Tập'!B199="","",'Biên Tập'!B199)</f>
        <v/>
      </c>
      <c r="C395" s="52" t="str">
        <f>IF('Biên Tập'!C199="","",'Biên Tập'!C199)</f>
        <v/>
      </c>
      <c r="D395" s="52" t="str">
        <f>IF('Biên Tập'!D199="","",'Biên Tập'!D199)</f>
        <v/>
      </c>
      <c r="E395" s="52" t="str">
        <f>IF('Biên Tập'!E199="","",'Biên Tập'!E199)</f>
        <v/>
      </c>
      <c r="F395" s="52" t="str">
        <f>IF('Biên Tập'!F199="","",'Biên Tập'!F199)</f>
        <v/>
      </c>
      <c r="G395" s="52" t="str">
        <f>IF('Biên Tập'!G199="","",'Biên Tập'!G199)</f>
        <v/>
      </c>
      <c r="H395" s="52" t="str">
        <f>IF('Biên Tập'!J199="","",'Biên Tập'!J199)</f>
        <v/>
      </c>
      <c r="I395" s="52" t="str">
        <f>IF('Biên Tập'!M199="","",'Biên Tập'!M199)</f>
        <v/>
      </c>
      <c r="J395" s="52" t="str">
        <f>IF('Biên Tập'!R199="","",'Biên Tập'!R199)</f>
        <v/>
      </c>
      <c r="K395" s="52" t="str">
        <f t="array" ref="K395">IF(COUNTA('Biên Tập'!T199:AE199)=0,"",INDEX('Biên Tập'!T199:AE199,1,SUMPRODUCT(MAX(('Biên Tập'!T199:AE199&lt;&gt;"")*(COLUMN('Biên Tập'!T199:AE199)-COLUMN('Biên Tập'!T199)+1)))))</f>
        <v/>
      </c>
      <c r="L395" s="52" t="str">
        <f>IF(AND(G395&lt;&gt;"",G395='Tổng hợp'!$C$4),MAX(L$1:L394)+1,"")</f>
        <v/>
      </c>
    </row>
    <row r="396" ht="15.75" customHeight="1">
      <c r="A396" s="52" t="str">
        <f>IF('Biên Tập'!C200="","","Biên Tập")</f>
        <v/>
      </c>
      <c r="B396" s="52" t="str">
        <f>IF('Biên Tập'!B200="","",'Biên Tập'!B200)</f>
        <v/>
      </c>
      <c r="C396" s="52" t="str">
        <f>IF('Biên Tập'!C200="","",'Biên Tập'!C200)</f>
        <v/>
      </c>
      <c r="D396" s="52" t="str">
        <f>IF('Biên Tập'!D200="","",'Biên Tập'!D200)</f>
        <v/>
      </c>
      <c r="E396" s="52" t="str">
        <f>IF('Biên Tập'!E200="","",'Biên Tập'!E200)</f>
        <v/>
      </c>
      <c r="F396" s="52" t="str">
        <f>IF('Biên Tập'!F200="","",'Biên Tập'!F200)</f>
        <v/>
      </c>
      <c r="G396" s="52" t="str">
        <f>IF('Biên Tập'!G200="","",'Biên Tập'!G200)</f>
        <v/>
      </c>
      <c r="H396" s="52" t="str">
        <f>IF('Biên Tập'!J200="","",'Biên Tập'!J200)</f>
        <v/>
      </c>
      <c r="I396" s="52" t="str">
        <f>IF('Biên Tập'!M200="","",'Biên Tập'!M200)</f>
        <v/>
      </c>
      <c r="J396" s="52" t="str">
        <f>IF('Biên Tập'!R200="","",'Biên Tập'!R200)</f>
        <v/>
      </c>
      <c r="K396" s="52" t="str">
        <f t="array" ref="K396">IF(COUNTA('Biên Tập'!T200:AE200)=0,"",INDEX('Biên Tập'!T200:AE200,1,SUMPRODUCT(MAX(('Biên Tập'!T200:AE200&lt;&gt;"")*(COLUMN('Biên Tập'!T200:AE200)-COLUMN('Biên Tập'!T200)+1)))))</f>
        <v/>
      </c>
      <c r="L396" s="52" t="str">
        <f>IF(AND(G396&lt;&gt;"",G396='Tổng hợp'!$C$4),MAX(L$1:L395)+1,"")</f>
        <v/>
      </c>
    </row>
    <row r="397" ht="15.75" customHeight="1">
      <c r="A397" s="52" t="str">
        <f>IF('Biên Tập'!C201="","","Biên Tập")</f>
        <v/>
      </c>
      <c r="B397" s="52" t="str">
        <f>IF('Biên Tập'!B201="","",'Biên Tập'!B201)</f>
        <v/>
      </c>
      <c r="C397" s="52" t="str">
        <f>IF('Biên Tập'!C201="","",'Biên Tập'!C201)</f>
        <v/>
      </c>
      <c r="D397" s="52" t="str">
        <f>IF('Biên Tập'!D201="","",'Biên Tập'!D201)</f>
        <v/>
      </c>
      <c r="E397" s="52" t="str">
        <f>IF('Biên Tập'!E201="","",'Biên Tập'!E201)</f>
        <v/>
      </c>
      <c r="F397" s="52" t="str">
        <f>IF('Biên Tập'!F201="","",'Biên Tập'!F201)</f>
        <v/>
      </c>
      <c r="G397" s="52" t="str">
        <f>IF('Biên Tập'!G201="","",'Biên Tập'!G201)</f>
        <v/>
      </c>
      <c r="H397" s="52" t="str">
        <f>IF('Biên Tập'!J201="","",'Biên Tập'!J201)</f>
        <v/>
      </c>
      <c r="I397" s="52" t="str">
        <f>IF('Biên Tập'!M201="","",'Biên Tập'!M201)</f>
        <v/>
      </c>
      <c r="J397" s="52" t="str">
        <f>IF('Biên Tập'!R201="","",'Biên Tập'!R201)</f>
        <v/>
      </c>
      <c r="K397" s="52" t="str">
        <f t="array" ref="K397">IF(COUNTA('Biên Tập'!T201:AE201)=0,"",INDEX('Biên Tập'!T201:AE201,1,SUMPRODUCT(MAX(('Biên Tập'!T201:AE201&lt;&gt;"")*(COLUMN('Biên Tập'!T201:AE201)-COLUMN('Biên Tập'!T201)+1)))))</f>
        <v/>
      </c>
      <c r="L397" s="52" t="str">
        <f>IF(AND(G397&lt;&gt;"",G397='Tổng hợp'!$C$4),MAX(L$1:L396)+1,"")</f>
        <v/>
      </c>
    </row>
    <row r="398" ht="15.75" customHeight="1">
      <c r="A398" s="52" t="str">
        <f>IF('Biên Tập'!C202="","","Biên Tập")</f>
        <v/>
      </c>
      <c r="B398" s="52" t="str">
        <f>IF('Biên Tập'!B202="","",'Biên Tập'!B202)</f>
        <v/>
      </c>
      <c r="C398" s="52" t="str">
        <f>IF('Biên Tập'!C202="","",'Biên Tập'!C202)</f>
        <v/>
      </c>
      <c r="D398" s="52" t="str">
        <f>IF('Biên Tập'!D202="","",'Biên Tập'!D202)</f>
        <v/>
      </c>
      <c r="E398" s="52" t="str">
        <f>IF('Biên Tập'!E202="","",'Biên Tập'!E202)</f>
        <v/>
      </c>
      <c r="F398" s="52" t="str">
        <f>IF('Biên Tập'!F202="","",'Biên Tập'!F202)</f>
        <v/>
      </c>
      <c r="G398" s="52" t="str">
        <f>IF('Biên Tập'!G202="","",'Biên Tập'!G202)</f>
        <v/>
      </c>
      <c r="H398" s="52" t="str">
        <f>IF('Biên Tập'!J202="","",'Biên Tập'!J202)</f>
        <v/>
      </c>
      <c r="I398" s="52" t="str">
        <f>IF('Biên Tập'!M202="","",'Biên Tập'!M202)</f>
        <v/>
      </c>
      <c r="J398" s="52" t="str">
        <f>IF('Biên Tập'!R202="","",'Biên Tập'!R202)</f>
        <v/>
      </c>
      <c r="K398" s="52" t="str">
        <f t="array" ref="K398">IF(COUNTA('Biên Tập'!T202:AE202)=0,"",INDEX('Biên Tập'!T202:AE202,1,SUMPRODUCT(MAX(('Biên Tập'!T202:AE202&lt;&gt;"")*(COLUMN('Biên Tập'!T202:AE202)-COLUMN('Biên Tập'!T202)+1)))))</f>
        <v/>
      </c>
      <c r="L398" s="52" t="str">
        <f>IF(AND(G398&lt;&gt;"",G398='Tổng hợp'!$C$4),MAX(L$1:L397)+1,"")</f>
        <v/>
      </c>
    </row>
    <row r="399" ht="15.75" customHeight="1">
      <c r="A399" s="52" t="str">
        <f>IF('Biên Tập'!C203="","","Biên Tập")</f>
        <v/>
      </c>
      <c r="B399" s="52" t="str">
        <f>IF('Biên Tập'!B203="","",'Biên Tập'!B203)</f>
        <v/>
      </c>
      <c r="C399" s="52" t="str">
        <f>IF('Biên Tập'!C203="","",'Biên Tập'!C203)</f>
        <v/>
      </c>
      <c r="D399" s="52" t="str">
        <f>IF('Biên Tập'!D203="","",'Biên Tập'!D203)</f>
        <v/>
      </c>
      <c r="E399" s="52" t="str">
        <f>IF('Biên Tập'!E203="","",'Biên Tập'!E203)</f>
        <v/>
      </c>
      <c r="F399" s="52" t="str">
        <f>IF('Biên Tập'!F203="","",'Biên Tập'!F203)</f>
        <v/>
      </c>
      <c r="G399" s="52" t="str">
        <f>IF('Biên Tập'!G203="","",'Biên Tập'!G203)</f>
        <v/>
      </c>
      <c r="H399" s="52" t="str">
        <f>IF('Biên Tập'!J203="","",'Biên Tập'!J203)</f>
        <v/>
      </c>
      <c r="I399" s="52" t="str">
        <f>IF('Biên Tập'!M203="","",'Biên Tập'!M203)</f>
        <v/>
      </c>
      <c r="J399" s="52" t="str">
        <f>IF('Biên Tập'!R203="","",'Biên Tập'!R203)</f>
        <v/>
      </c>
      <c r="K399" s="52" t="str">
        <f t="array" ref="K399">IF(COUNTA('Biên Tập'!T203:AE203)=0,"",INDEX('Biên Tập'!T203:AE203,1,SUMPRODUCT(MAX(('Biên Tập'!T203:AE203&lt;&gt;"")*(COLUMN('Biên Tập'!T203:AE203)-COLUMN('Biên Tập'!T203)+1)))))</f>
        <v/>
      </c>
      <c r="L399" s="52" t="str">
        <f>IF(AND(G399&lt;&gt;"",G399='Tổng hợp'!$C$4),MAX(L$1:L398)+1,"")</f>
        <v/>
      </c>
    </row>
    <row r="400" ht="15.75" customHeight="1">
      <c r="A400" s="52" t="str">
        <f>IF('Biên Tập'!C204="","","Biên Tập")</f>
        <v/>
      </c>
      <c r="B400" s="52" t="str">
        <f>IF('Biên Tập'!B204="","",'Biên Tập'!B204)</f>
        <v/>
      </c>
      <c r="C400" s="52" t="str">
        <f>IF('Biên Tập'!C204="","",'Biên Tập'!C204)</f>
        <v/>
      </c>
      <c r="D400" s="52" t="str">
        <f>IF('Biên Tập'!D204="","",'Biên Tập'!D204)</f>
        <v/>
      </c>
      <c r="E400" s="52" t="str">
        <f>IF('Biên Tập'!E204="","",'Biên Tập'!E204)</f>
        <v/>
      </c>
      <c r="F400" s="52" t="str">
        <f>IF('Biên Tập'!F204="","",'Biên Tập'!F204)</f>
        <v/>
      </c>
      <c r="G400" s="52" t="str">
        <f>IF('Biên Tập'!G204="","",'Biên Tập'!G204)</f>
        <v/>
      </c>
      <c r="H400" s="52" t="str">
        <f>IF('Biên Tập'!J204="","",'Biên Tập'!J204)</f>
        <v/>
      </c>
      <c r="I400" s="52" t="str">
        <f>IF('Biên Tập'!M204="","",'Biên Tập'!M204)</f>
        <v/>
      </c>
      <c r="J400" s="52" t="str">
        <f>IF('Biên Tập'!R204="","",'Biên Tập'!R204)</f>
        <v/>
      </c>
      <c r="K400" s="52" t="str">
        <f t="array" ref="K400">IF(COUNTA('Biên Tập'!T204:AE204)=0,"",INDEX('Biên Tập'!T204:AE204,1,SUMPRODUCT(MAX(('Biên Tập'!T204:AE204&lt;&gt;"")*(COLUMN('Biên Tập'!T204:AE204)-COLUMN('Biên Tập'!T204)+1)))))</f>
        <v/>
      </c>
      <c r="L400" s="52" t="str">
        <f>IF(AND(G400&lt;&gt;"",G400='Tổng hợp'!$C$4),MAX(L$1:L399)+1,"")</f>
        <v/>
      </c>
    </row>
    <row r="401" ht="15.75" customHeight="1">
      <c r="A401" s="52" t="str">
        <f>IF('Biên Tập'!C205="","","Biên Tập")</f>
        <v/>
      </c>
      <c r="B401" s="52" t="str">
        <f>IF('Biên Tập'!B205="","",'Biên Tập'!B205)</f>
        <v/>
      </c>
      <c r="C401" s="52" t="str">
        <f>IF('Biên Tập'!C205="","",'Biên Tập'!C205)</f>
        <v/>
      </c>
      <c r="D401" s="52" t="str">
        <f>IF('Biên Tập'!D205="","",'Biên Tập'!D205)</f>
        <v/>
      </c>
      <c r="E401" s="52" t="str">
        <f>IF('Biên Tập'!E205="","",'Biên Tập'!E205)</f>
        <v/>
      </c>
      <c r="F401" s="52" t="str">
        <f>IF('Biên Tập'!F205="","",'Biên Tập'!F205)</f>
        <v/>
      </c>
      <c r="G401" s="52" t="str">
        <f>IF('Biên Tập'!G205="","",'Biên Tập'!G205)</f>
        <v/>
      </c>
      <c r="H401" s="52" t="str">
        <f>IF('Biên Tập'!J205="","",'Biên Tập'!J205)</f>
        <v/>
      </c>
      <c r="I401" s="52" t="str">
        <f>IF('Biên Tập'!M205="","",'Biên Tập'!M205)</f>
        <v/>
      </c>
      <c r="J401" s="52" t="str">
        <f>IF('Biên Tập'!R205="","",'Biên Tập'!R205)</f>
        <v/>
      </c>
      <c r="K401" s="52" t="str">
        <f t="array" ref="K401">IF(COUNTA('Biên Tập'!T205:AE205)=0,"",INDEX('Biên Tập'!T205:AE205,1,SUMPRODUCT(MAX(('Biên Tập'!T205:AE205&lt;&gt;"")*(COLUMN('Biên Tập'!T205:AE205)-COLUMN('Biên Tập'!T205)+1)))))</f>
        <v/>
      </c>
      <c r="L401" s="52" t="str">
        <f>IF(AND(G401&lt;&gt;"",G401='Tổng hợp'!$C$4),MAX(L$1:L400)+1,"")</f>
        <v/>
      </c>
    </row>
    <row r="402" ht="15.75" customHeight="1">
      <c r="A402" s="52" t="str">
        <f>IF('Thiết Kế'!C6="","","Thiết Kế")</f>
        <v>Thiết Kế</v>
      </c>
      <c r="B402" s="52" t="str">
        <f>IF('Thiết Kế'!B6="","",'Thiết Kế'!B6)</f>
        <v>MD-001</v>
      </c>
      <c r="C402" s="52" t="str">
        <f>IF('Thiết Kế'!C6="","",'Thiết Kế'!C6)</f>
        <v>Magnific</v>
      </c>
      <c r="D402" s="52" t="str">
        <f>IF('Thiết Kế'!D6="","",'Thiết Kế'!D6)</f>
        <v/>
      </c>
      <c r="E402" s="52" t="str">
        <f>IF('Thiết Kế'!E6="","",'Thiết Kế'!E6)</f>
        <v>Tài khoản Magnific</v>
      </c>
      <c r="F402" s="134" t="str">
        <f>IF('Thiết Kế'!F6="","",'Thiết Kế'!F6)</f>
        <v>https://www.magnific.com/</v>
      </c>
      <c r="G402" s="52" t="str">
        <f>IF('Thiết Kế'!G6="","",'Thiết Kế'!G6)</f>
        <v>MAI TÙNG LONG</v>
      </c>
      <c r="H402" s="52" t="str">
        <f>IF('Thiết Kế'!J6="","",'Thiết Kế'!J6)</f>
        <v>Được chia sẻ dùng chung</v>
      </c>
      <c r="I402" s="52" t="str">
        <f>IF('Thiết Kế'!M6="","",'Thiết Kế'!M6)</f>
        <v>Có</v>
      </c>
      <c r="J402" s="52" t="str">
        <f>IF('Thiết Kế'!R6="","",'Thiết Kế'!R6)</f>
        <v>Chưa bàn giao</v>
      </c>
      <c r="K402" s="52" t="str">
        <f t="array" ref="K402">IF(COUNTA('Thiết Kế'!T6:AE6)=0,"",INDEX('Thiết Kế'!T6:AE6,1,SUMPRODUCT(MAX(('Thiết Kế'!T6:AE6&lt;&gt;"")*(COLUMN('Thiết Kế'!T6:AE6)-COLUMN('Thiết Kế'!T6)+1)))))</f>
        <v/>
      </c>
      <c r="L402" s="52" t="str">
        <f>IF(AND(G402&lt;&gt;"",G402='Tổng hợp'!$C$4),MAX(L$1:L401)+1,"")</f>
        <v/>
      </c>
    </row>
    <row r="403" ht="15.75" customHeight="1">
      <c r="A403" s="52" t="str">
        <f>IF(#REF!="","","Thiết Kế")</f>
        <v>#REF!</v>
      </c>
      <c r="B403" s="52" t="str">
        <f t="shared" ref="B403:J403" si="1">IF(#REF!="","",#REF!)</f>
        <v>#REF!</v>
      </c>
      <c r="C403" s="52" t="str">
        <f t="shared" si="1"/>
        <v>#REF!</v>
      </c>
      <c r="D403" s="52" t="str">
        <f t="shared" si="1"/>
        <v>#REF!</v>
      </c>
      <c r="E403" s="52" t="str">
        <f t="shared" si="1"/>
        <v>#REF!</v>
      </c>
      <c r="F403" s="52" t="str">
        <f t="shared" si="1"/>
        <v>#REF!</v>
      </c>
      <c r="G403" s="52" t="str">
        <f t="shared" si="1"/>
        <v>#REF!</v>
      </c>
      <c r="H403" s="52" t="str">
        <f t="shared" si="1"/>
        <v>#REF!</v>
      </c>
      <c r="I403" s="52" t="str">
        <f t="shared" si="1"/>
        <v>#REF!</v>
      </c>
      <c r="J403" s="52" t="str">
        <f t="shared" si="1"/>
        <v>#REF!</v>
      </c>
      <c r="K403" s="52" t="str">
        <f t="array" ref="K403">IF(COUNTA(#REF!)=0,"",INDEX(#REF!,1,SUMPRODUCT(MAX((#REF!&lt;&gt;"")*(COLUMN(#REF!)-COLUMN(#REF!)+1)))))</f>
        <v>#REF!</v>
      </c>
      <c r="L403" s="52" t="str">
        <f>IF(AND(G403&lt;&gt;"",G403='Tổng hợp'!$C$4),MAX(L$1:L402)+1,"")</f>
        <v>#REF!</v>
      </c>
    </row>
    <row r="404" ht="15.75" customHeight="1">
      <c r="A404" s="52" t="str">
        <f>IF('Thiết Kế'!C7="","","Thiết Kế")</f>
        <v>Thiết Kế</v>
      </c>
      <c r="B404" s="52" t="str">
        <f>IF('Thiết Kế'!B7="","",'Thiết Kế'!B7)</f>
        <v>TK-002</v>
      </c>
      <c r="C404" s="52" t="str">
        <f>IF('Thiết Kế'!C7="","",'Thiết Kế'!C7)</f>
        <v>Webcake</v>
      </c>
      <c r="D404" s="52" t="str">
        <f>IF('Thiết Kế'!D7="","",'Thiết Kế'!D7)</f>
        <v/>
      </c>
      <c r="E404" s="52" t="str">
        <f>IF('Thiết Kế'!E7="","",'Thiết Kế'!E7)</f>
        <v>Tài khoản webcake</v>
      </c>
      <c r="F404" s="134" t="str">
        <f>IF('Thiết Kế'!F7="","",'Thiết Kế'!F7)</f>
        <v>https://webcake.io/</v>
      </c>
      <c r="G404" s="52" t="str">
        <f>IF('Thiết Kế'!G7="","",'Thiết Kế'!G7)</f>
        <v>MAI TÙNG LONG</v>
      </c>
      <c r="H404" s="52" t="str">
        <f>IF('Thiết Kế'!J7="","",'Thiết Kế'!J7)</f>
        <v>Chủ sở hữu / Admin</v>
      </c>
      <c r="I404" s="52" t="str">
        <f>IF('Thiết Kế'!M7="","",'Thiết Kế'!M7)</f>
        <v>Có</v>
      </c>
      <c r="J404" s="52" t="str">
        <f>IF('Thiết Kế'!R7="","",'Thiết Kế'!R7)</f>
        <v>Chưa bàn giao</v>
      </c>
      <c r="K404" s="52" t="str">
        <f t="array" ref="K404">IF(COUNTA('Thiết Kế'!T7:AE7)=0,"",INDEX('Thiết Kế'!T7:AE7,1,SUMPRODUCT(MAX(('Thiết Kế'!T7:AE7&lt;&gt;"")*(COLUMN('Thiết Kế'!T7:AE7)-COLUMN('Thiết Kế'!T7)+1)))))</f>
        <v/>
      </c>
      <c r="L404" s="52" t="str">
        <f>IF(AND(G404&lt;&gt;"",G404='Tổng hợp'!$C$4),MAX(L$1:L403)+1,"")</f>
        <v/>
      </c>
    </row>
    <row r="405" ht="15.75" customHeight="1">
      <c r="A405" s="52" t="str">
        <f>IF('Thiết Kế'!C8="","","Thiết Kế")</f>
        <v>Thiết Kế</v>
      </c>
      <c r="B405" s="52" t="str">
        <f>IF('Thiết Kế'!B8="","",'Thiết Kế'!B8)</f>
        <v>TK-003</v>
      </c>
      <c r="C405" s="52" t="str">
        <f>IF('Thiết Kế'!C8="","",'Thiết Kế'!C8)</f>
        <v>CapCut</v>
      </c>
      <c r="D405" s="52" t="str">
        <f>IF('Thiết Kế'!D8="","",'Thiết Kế'!D8)</f>
        <v/>
      </c>
      <c r="E405" s="52" t="str">
        <f>IF('Thiết Kế'!E8="","",'Thiết Kế'!E8)</f>
        <v>Tài khoản Capcut</v>
      </c>
      <c r="F405" s="134" t="str">
        <f>IF('Thiết Kế'!F8="","",'Thiết Kế'!F8)</f>
        <v>https://www.capcut.com/my-cloud/7325701873405722626?enter_from=page_header&amp;from_page=work_space&amp;tab=all</v>
      </c>
      <c r="G405" s="52" t="str">
        <f>IF('Thiết Kế'!G8="","",'Thiết Kế'!G8)</f>
        <v>MAI TÙNG LONG</v>
      </c>
      <c r="H405" s="52" t="str">
        <f>IF('Thiết Kế'!J8="","",'Thiết Kế'!J8)</f>
        <v>Được chia sẻ dùng chung</v>
      </c>
      <c r="I405" s="52" t="str">
        <f>IF('Thiết Kế'!M8="","",'Thiết Kế'!M8)</f>
        <v/>
      </c>
      <c r="J405" s="52" t="str">
        <f>IF('Thiết Kế'!R8="","",'Thiết Kế'!R8)</f>
        <v>Chưa bàn giao</v>
      </c>
      <c r="K405" s="52" t="str">
        <f t="array" ref="K405">IF(COUNTA('Thiết Kế'!T8:AE8)=0,"",INDEX('Thiết Kế'!T8:AE8,1,SUMPRODUCT(MAX(('Thiết Kế'!T8:AE8&lt;&gt;"")*(COLUMN('Thiết Kế'!T8:AE8)-COLUMN('Thiết Kế'!T8)+1)))))</f>
        <v/>
      </c>
      <c r="L405" s="52" t="str">
        <f>IF(AND(G405&lt;&gt;"",G405='Tổng hợp'!$C$4),MAX(L$1:L404)+1,"")</f>
        <v/>
      </c>
    </row>
    <row r="406" ht="15.75" customHeight="1">
      <c r="A406" s="52" t="str">
        <f>IF('Thiết Kế'!C9="","","Thiết Kế")</f>
        <v>Thiết Kế</v>
      </c>
      <c r="B406" s="52" t="str">
        <f>IF('Thiết Kế'!B9="","",'Thiết Kế'!B9)</f>
        <v>TK-004</v>
      </c>
      <c r="C406" s="52" t="str">
        <f>IF('Thiết Kế'!C9="","",'Thiết Kế'!C9)</f>
        <v>Figma</v>
      </c>
      <c r="D406" s="52" t="str">
        <f>IF('Thiết Kế'!D9="","",'Thiết Kế'!D9)</f>
        <v/>
      </c>
      <c r="E406" s="52" t="str">
        <f>IF('Thiết Kế'!E9="","",'Thiết Kế'!E9)</f>
        <v>Tài khoản Figma Edu</v>
      </c>
      <c r="F406" s="134" t="str">
        <f>IF('Thiết Kế'!F9="","",'Thiết Kế'!F9)</f>
        <v>http://figma.com/</v>
      </c>
      <c r="G406" s="52" t="str">
        <f>IF('Thiết Kế'!G9="","",'Thiết Kế'!G9)</f>
        <v>MAI TÙNG LONG</v>
      </c>
      <c r="H406" s="52" t="str">
        <f>IF('Thiết Kế'!J9="","",'Thiết Kế'!J9)</f>
        <v>Chủ sở hữu / Admin</v>
      </c>
      <c r="I406" s="52" t="str">
        <f>IF('Thiết Kế'!M9="","",'Thiết Kế'!M9)</f>
        <v>Có</v>
      </c>
      <c r="J406" s="52" t="str">
        <f>IF('Thiết Kế'!R9="","",'Thiết Kế'!R9)</f>
        <v>Chưa bàn giao</v>
      </c>
      <c r="K406" s="52" t="str">
        <f t="array" ref="K406">IF(COUNTA('Thiết Kế'!T9:AE9)=0,"",INDEX('Thiết Kế'!T9:AE9,1,SUMPRODUCT(MAX(('Thiết Kế'!T9:AE9&lt;&gt;"")*(COLUMN('Thiết Kế'!T9:AE9)-COLUMN('Thiết Kế'!T9)+1)))))</f>
        <v/>
      </c>
      <c r="L406" s="52" t="str">
        <f>IF(AND(G406&lt;&gt;"",G406='Tổng hợp'!$C$4),MAX(L$1:L405)+1,"")</f>
        <v/>
      </c>
    </row>
    <row r="407" ht="15.75" customHeight="1">
      <c r="A407" s="52" t="str">
        <f>IF('Thiết Kế'!C10="","","Thiết Kế")</f>
        <v>Thiết Kế</v>
      </c>
      <c r="B407" s="52" t="str">
        <f>IF('Thiết Kế'!B10="","",'Thiết Kế'!B10)</f>
        <v>TK-005</v>
      </c>
      <c r="C407" s="52" t="str">
        <f>IF('Thiết Kế'!C10="","",'Thiết Kế'!C10)</f>
        <v>Adobe</v>
      </c>
      <c r="D407" s="52" t="str">
        <f>IF('Thiết Kế'!D10="","",'Thiết Kế'!D10)</f>
        <v/>
      </c>
      <c r="E407" s="52" t="str">
        <f>IF('Thiết Kế'!E10="","",'Thiết Kế'!E10)</f>
        <v>Tài khoản Adobe Full Apps</v>
      </c>
      <c r="F407" s="134" t="str">
        <f>IF('Thiết Kế'!F10="","",'Thiết Kế'!F10)</f>
        <v>https://www.adobe.com/</v>
      </c>
      <c r="G407" s="52" t="str">
        <f>IF('Thiết Kế'!G10="","",'Thiết Kế'!G10)</f>
        <v>MAI TÙNG LONG</v>
      </c>
      <c r="H407" s="52" t="str">
        <f>IF('Thiết Kế'!J10="","",'Thiết Kế'!J10)</f>
        <v>Chủ sở hữu / Admin</v>
      </c>
      <c r="I407" s="52" t="str">
        <f>IF('Thiết Kế'!M10="","",'Thiết Kế'!M10)</f>
        <v>Có</v>
      </c>
      <c r="J407" s="52" t="str">
        <f>IF('Thiết Kế'!R10="","",'Thiết Kế'!R10)</f>
        <v>Chưa bàn giao</v>
      </c>
      <c r="K407" s="52" t="str">
        <f t="array" ref="K407">IF(COUNTA('Thiết Kế'!T10:AE10)=0,"",INDEX('Thiết Kế'!T10:AE10,1,SUMPRODUCT(MAX(('Thiết Kế'!T10:AE10&lt;&gt;"")*(COLUMN('Thiết Kế'!T10:AE10)-COLUMN('Thiết Kế'!T10)+1)))))</f>
        <v/>
      </c>
      <c r="L407" s="52" t="str">
        <f>IF(AND(G407&lt;&gt;"",G407='Tổng hợp'!$C$4),MAX(L$1:L406)+1,"")</f>
        <v/>
      </c>
    </row>
    <row r="408" ht="15.75" customHeight="1">
      <c r="A408" s="52" t="str">
        <f>IF('Thiết Kế'!C11="","","Thiết Kế")</f>
        <v>Thiết Kế</v>
      </c>
      <c r="B408" s="52" t="str">
        <f>IF('Thiết Kế'!B11="","",'Thiết Kế'!B11)</f>
        <v>TK-006</v>
      </c>
      <c r="C408" s="52" t="str">
        <f>IF('Thiết Kế'!C11="","",'Thiết Kế'!C11)</f>
        <v>Sketchup</v>
      </c>
      <c r="D408" s="52" t="str">
        <f>IF('Thiết Kế'!D11="","",'Thiết Kế'!D11)</f>
        <v/>
      </c>
      <c r="E408" s="52" t="str">
        <f>IF('Thiết Kế'!E11="","",'Thiết Kế'!E11)</f>
        <v>Tài khoản Sketchup Pro</v>
      </c>
      <c r="F408" s="134" t="str">
        <f>IF('Thiết Kế'!F11="","",'Thiết Kế'!F11)</f>
        <v>https://sketchup.trimble.com/en/plans-and-pricing/sketchup-free?srsltid=AU7gw4WCNkWFgenwqy5I9xRXLmwp3M4kfrzNjjeWAVz8P_XsmzWGdyF3</v>
      </c>
      <c r="G408" s="52" t="str">
        <f>IF('Thiết Kế'!G11="","",'Thiết Kế'!G11)</f>
        <v>MAI TÙNG LONG</v>
      </c>
      <c r="H408" s="52" t="str">
        <f>IF('Thiết Kế'!J11="","",'Thiết Kế'!J11)</f>
        <v>Chủ sở hữu / Admin</v>
      </c>
      <c r="I408" s="52" t="str">
        <f>IF('Thiết Kế'!M11="","",'Thiết Kế'!M11)</f>
        <v>Có</v>
      </c>
      <c r="J408" s="52" t="str">
        <f>IF('Thiết Kế'!R11="","",'Thiết Kế'!R11)</f>
        <v>Chưa bàn giao</v>
      </c>
      <c r="K408" s="52" t="str">
        <f t="array" ref="K408">IF(COUNTA('Thiết Kế'!T11:AE11)=0,"",INDEX('Thiết Kế'!T11:AE11,1,SUMPRODUCT(MAX(('Thiết Kế'!T11:AE11&lt;&gt;"")*(COLUMN('Thiết Kế'!T11:AE11)-COLUMN('Thiết Kế'!T11)+1)))))</f>
        <v/>
      </c>
      <c r="L408" s="52" t="str">
        <f>IF(AND(G408&lt;&gt;"",G408='Tổng hợp'!$C$4),MAX(L$1:L407)+1,"")</f>
        <v/>
      </c>
    </row>
    <row r="409" ht="15.75" customHeight="1">
      <c r="A409" s="52" t="str">
        <f>IF('Thiết Kế'!C13="","","Thiết Kế")</f>
        <v>Thiết Kế</v>
      </c>
      <c r="B409" s="52" t="str">
        <f>IF('Thiết Kế'!B13="","",'Thiết Kế'!B13)</f>
        <v>MD-008</v>
      </c>
      <c r="C409" s="52" t="str">
        <f>IF('Thiết Kế'!C13="","",'Thiết Kế'!C13)</f>
        <v>Magnific</v>
      </c>
      <c r="D409" s="52" t="str">
        <f>IF('Thiết Kế'!D13="","",'Thiết Kế'!D13)</f>
        <v/>
      </c>
      <c r="E409" s="52" t="str">
        <f>IF('Thiết Kế'!E13="","",'Thiết Kế'!E13)</f>
        <v>Tài khoản Magnific</v>
      </c>
      <c r="F409" s="134" t="str">
        <f>IF('Thiết Kế'!F13="","",'Thiết Kế'!F13)</f>
        <v>https://www.magnific.com/</v>
      </c>
      <c r="G409" s="52" t="str">
        <f>IF('Thiết Kế'!G13="","",'Thiết Kế'!G13)</f>
        <v>NGUYỄN MẠNH TĂNG</v>
      </c>
      <c r="H409" s="52" t="str">
        <f>IF('Thiết Kế'!J13="","",'Thiết Kế'!J13)</f>
        <v>Được chia sẻ dùng chung</v>
      </c>
      <c r="I409" s="52" t="str">
        <f>IF('Thiết Kế'!M13="","",'Thiết Kế'!M13)</f>
        <v>Có</v>
      </c>
      <c r="J409" s="52" t="str">
        <f>IF('Thiết Kế'!R13="","",'Thiết Kế'!R13)</f>
        <v>Chưa bàn giao</v>
      </c>
      <c r="K409" s="52" t="str">
        <f t="array" ref="K409">IF(COUNTA('Thiết Kế'!T13:AE13)=0,"",INDEX('Thiết Kế'!T13:AE13,1,SUMPRODUCT(MAX(('Thiết Kế'!T13:AE13&lt;&gt;"")*(COLUMN('Thiết Kế'!T13:AE13)-COLUMN('Thiết Kế'!T13)+1)))))</f>
        <v/>
      </c>
      <c r="L409" s="52" t="str">
        <f>IF(AND(G409&lt;&gt;"",G409='Tổng hợp'!$C$4),MAX(L$1:L408)+1,"")</f>
        <v/>
      </c>
    </row>
    <row r="410" ht="15.75" customHeight="1">
      <c r="A410" s="52" t="str">
        <f>IF('Thiết Kế'!C14="","","Thiết Kế")</f>
        <v>Thiết Kế</v>
      </c>
      <c r="B410" s="52" t="str">
        <f>IF('Thiết Kế'!B14="","",'Thiết Kế'!B14)</f>
        <v>TK-009</v>
      </c>
      <c r="C410" s="52" t="str">
        <f>IF('Thiết Kế'!C14="","",'Thiết Kế'!C14)</f>
        <v>CapCut</v>
      </c>
      <c r="D410" s="52" t="str">
        <f>IF('Thiết Kế'!D14="","",'Thiết Kế'!D14)</f>
        <v/>
      </c>
      <c r="E410" s="52" t="str">
        <f>IF('Thiết Kế'!E14="","",'Thiết Kế'!E14)</f>
        <v>Tài khoản Capcut</v>
      </c>
      <c r="F410" s="134" t="str">
        <f>IF('Thiết Kế'!F14="","",'Thiết Kế'!F14)</f>
        <v>https://www.capcut.com/</v>
      </c>
      <c r="G410" s="52" t="str">
        <f>IF('Thiết Kế'!G14="","",'Thiết Kế'!G14)</f>
        <v>NGUYỄN MẠNH TĂNG</v>
      </c>
      <c r="H410" s="52" t="str">
        <f>IF('Thiết Kế'!J14="","",'Thiết Kế'!J14)</f>
        <v>Chủ sở hữu / Admin</v>
      </c>
      <c r="I410" s="52" t="str">
        <f>IF('Thiết Kế'!M14="","",'Thiết Kế'!M14)</f>
        <v>Có</v>
      </c>
      <c r="J410" s="52" t="str">
        <f>IF('Thiết Kế'!R14="","",'Thiết Kế'!R14)</f>
        <v>Chưa bàn giao</v>
      </c>
      <c r="K410" s="52" t="str">
        <f t="array" ref="K410">IF(COUNTA('Thiết Kế'!T14:AE14)=0,"",INDEX('Thiết Kế'!T14:AE14,1,SUMPRODUCT(MAX(('Thiết Kế'!T14:AE14&lt;&gt;"")*(COLUMN('Thiết Kế'!T14:AE14)-COLUMN('Thiết Kế'!T14)+1)))))</f>
        <v/>
      </c>
      <c r="L410" s="52" t="str">
        <f>IF(AND(G410&lt;&gt;"",G410='Tổng hợp'!$C$4),MAX(L$1:L409)+1,"")</f>
        <v/>
      </c>
    </row>
    <row r="411" ht="15.75" customHeight="1">
      <c r="A411" s="52" t="str">
        <f>IF('Thiết Kế'!C15="","","Thiết Kế")</f>
        <v>Thiết Kế</v>
      </c>
      <c r="B411" s="52" t="str">
        <f>IF('Thiết Kế'!B15="","",'Thiết Kế'!B15)</f>
        <v>TK-010</v>
      </c>
      <c r="C411" s="52" t="str">
        <f>IF('Thiết Kế'!C15="","",'Thiết Kế'!C15)</f>
        <v>Adobe</v>
      </c>
      <c r="D411" s="52" t="str">
        <f>IF('Thiết Kế'!D15="","",'Thiết Kế'!D15)</f>
        <v/>
      </c>
      <c r="E411" s="52" t="str">
        <f>IF('Thiết Kế'!E15="","",'Thiết Kế'!E15)</f>
        <v>Tài khoản Adobe Full Apps</v>
      </c>
      <c r="F411" s="134" t="str">
        <f>IF('Thiết Kế'!F15="","",'Thiết Kế'!F15)</f>
        <v>https://www.adobe.com/</v>
      </c>
      <c r="G411" s="52" t="str">
        <f>IF('Thiết Kế'!G15="","",'Thiết Kế'!G15)</f>
        <v>NGUYỄN MẠNH TĂNG</v>
      </c>
      <c r="H411" s="52" t="str">
        <f>IF('Thiết Kế'!J15="","",'Thiết Kế'!J15)</f>
        <v>Được chia sẻ dùng chung</v>
      </c>
      <c r="I411" s="52" t="str">
        <f>IF('Thiết Kế'!M15="","",'Thiết Kế'!M15)</f>
        <v>Có</v>
      </c>
      <c r="J411" s="52" t="str">
        <f>IF('Thiết Kế'!R15="","",'Thiết Kế'!R15)</f>
        <v>Chưa bàn giao</v>
      </c>
      <c r="K411" s="52" t="str">
        <f t="array" ref="K411">IF(COUNTA('Thiết Kế'!T15:AE15)=0,"",INDEX('Thiết Kế'!T15:AE15,1,SUMPRODUCT(MAX(('Thiết Kế'!T15:AE15&lt;&gt;"")*(COLUMN('Thiết Kế'!T15:AE15)-COLUMN('Thiết Kế'!T15)+1)))))</f>
        <v/>
      </c>
      <c r="L411" s="52" t="str">
        <f>IF(AND(G411&lt;&gt;"",G411='Tổng hợp'!$C$4),MAX(L$1:L410)+1,"")</f>
        <v/>
      </c>
    </row>
    <row r="412" ht="15.75" customHeight="1">
      <c r="A412" s="52" t="str">
        <f>IF('Thiết Kế'!C16="","","Thiết Kế")</f>
        <v/>
      </c>
      <c r="B412" s="52" t="str">
        <f>IF('Thiết Kế'!B16="","",'Thiết Kế'!B16)</f>
        <v/>
      </c>
      <c r="C412" s="52" t="str">
        <f>IF('Thiết Kế'!C16="","",'Thiết Kế'!C16)</f>
        <v/>
      </c>
      <c r="D412" s="52" t="str">
        <f>IF('Thiết Kế'!D16="","",'Thiết Kế'!D16)</f>
        <v/>
      </c>
      <c r="E412" s="52" t="str">
        <f>IF('Thiết Kế'!E16="","",'Thiết Kế'!E16)</f>
        <v/>
      </c>
      <c r="F412" s="52" t="str">
        <f>IF('Thiết Kế'!F16="","",'Thiết Kế'!F16)</f>
        <v/>
      </c>
      <c r="G412" s="52" t="str">
        <f>IF('Thiết Kế'!G16="","",'Thiết Kế'!G16)</f>
        <v/>
      </c>
      <c r="H412" s="52" t="str">
        <f>IF('Thiết Kế'!J16="","",'Thiết Kế'!J16)</f>
        <v/>
      </c>
      <c r="I412" s="52" t="str">
        <f>IF('Thiết Kế'!M16="","",'Thiết Kế'!M16)</f>
        <v/>
      </c>
      <c r="J412" s="52" t="str">
        <f>IF('Thiết Kế'!R16="","",'Thiết Kế'!R16)</f>
        <v/>
      </c>
      <c r="K412" s="52" t="str">
        <f t="array" ref="K412">IF(COUNTA('Thiết Kế'!T16:AE16)=0,"",INDEX('Thiết Kế'!T16:AE16,1,SUMPRODUCT(MAX(('Thiết Kế'!T16:AE16&lt;&gt;"")*(COLUMN('Thiết Kế'!T16:AE16)-COLUMN('Thiết Kế'!T16)+1)))))</f>
        <v/>
      </c>
      <c r="L412" s="52" t="str">
        <f>IF(AND(G412&lt;&gt;"",G412='Tổng hợp'!$C$4),MAX(L$1:L411)+1,"")</f>
        <v/>
      </c>
    </row>
    <row r="413" ht="15.75" customHeight="1">
      <c r="A413" s="52" t="str">
        <f>IF('Thiết Kế'!C17="","","Thiết Kế")</f>
        <v>Thiết Kế</v>
      </c>
      <c r="B413" s="52" t="str">
        <f>IF('Thiết Kế'!B17="","",'Thiết Kế'!B17)</f>
        <v>TK-012</v>
      </c>
      <c r="C413" s="52" t="str">
        <f>IF('Thiết Kế'!C17="","",'Thiết Kế'!C17)</f>
        <v>Magnific</v>
      </c>
      <c r="D413" s="52" t="str">
        <f>IF('Thiết Kế'!D17="","",'Thiết Kế'!D17)</f>
        <v/>
      </c>
      <c r="E413" s="52" t="str">
        <f>IF('Thiết Kế'!E17="","",'Thiết Kế'!E17)</f>
        <v>Tài khoản Magnific</v>
      </c>
      <c r="F413" s="134" t="str">
        <f>IF('Thiết Kế'!F17="","",'Thiết Kế'!F17)</f>
        <v>https://www.magnific.com/</v>
      </c>
      <c r="G413" s="52" t="str">
        <f>IF('Thiết Kế'!G17="","",'Thiết Kế'!G17)</f>
        <v>NGUYỄN THỊ TRANG</v>
      </c>
      <c r="H413" s="52" t="str">
        <f>IF('Thiết Kế'!J17="","",'Thiết Kế'!J17)</f>
        <v>Được chia sẻ dùng chung</v>
      </c>
      <c r="I413" s="52" t="str">
        <f>IF('Thiết Kế'!M17="","",'Thiết Kế'!M17)</f>
        <v>Có</v>
      </c>
      <c r="J413" s="52" t="str">
        <f>IF('Thiết Kế'!R17="","",'Thiết Kế'!R17)</f>
        <v>Chưa bàn giao</v>
      </c>
      <c r="K413" s="52" t="str">
        <f t="array" ref="K413">IF(COUNTA('Thiết Kế'!T17:AE17)=0,"",INDEX('Thiết Kế'!T17:AE17,1,SUMPRODUCT(MAX(('Thiết Kế'!T17:AE17&lt;&gt;"")*(COLUMN('Thiết Kế'!T17:AE17)-COLUMN('Thiết Kế'!T17)+1)))))</f>
        <v/>
      </c>
      <c r="L413" s="52" t="str">
        <f>IF(AND(G413&lt;&gt;"",G413='Tổng hợp'!$C$4),MAX(L$1:L412)+1,"")</f>
        <v/>
      </c>
    </row>
    <row r="414" ht="15.75" customHeight="1">
      <c r="A414" s="52" t="str">
        <f>IF('Thiết Kế'!C18="","","Thiết Kế")</f>
        <v>Thiết Kế</v>
      </c>
      <c r="B414" s="52" t="str">
        <f>IF('Thiết Kế'!B18="","",'Thiết Kế'!B18)</f>
        <v>TK-013</v>
      </c>
      <c r="C414" s="52" t="str">
        <f>IF('Thiết Kế'!C18="","",'Thiết Kế'!C18)</f>
        <v>Adobe</v>
      </c>
      <c r="D414" s="52" t="str">
        <f>IF('Thiết Kế'!D18="","",'Thiết Kế'!D18)</f>
        <v/>
      </c>
      <c r="E414" s="52" t="str">
        <f>IF('Thiết Kế'!E18="","",'Thiết Kế'!E18)</f>
        <v>Tài khoản Adobe Full Apps</v>
      </c>
      <c r="F414" s="134" t="str">
        <f>IF('Thiết Kế'!F18="","",'Thiết Kế'!F18)</f>
        <v>https://www.adobe.com/</v>
      </c>
      <c r="G414" s="52" t="str">
        <f>IF('Thiết Kế'!G18="","",'Thiết Kế'!G18)</f>
        <v>NGUYỄN THỊ TRANG</v>
      </c>
      <c r="H414" s="52" t="str">
        <f>IF('Thiết Kế'!J18="","",'Thiết Kế'!J18)</f>
        <v>Được chia sẻ dùng chung</v>
      </c>
      <c r="I414" s="52" t="str">
        <f>IF('Thiết Kế'!M18="","",'Thiết Kế'!M18)</f>
        <v>Có</v>
      </c>
      <c r="J414" s="52" t="str">
        <f>IF('Thiết Kế'!R18="","",'Thiết Kế'!R18)</f>
        <v>Chưa bàn giao</v>
      </c>
      <c r="K414" s="52" t="str">
        <f t="array" ref="K414">IF(COUNTA('Thiết Kế'!T18:AE18)=0,"",INDEX('Thiết Kế'!T18:AE18,1,SUMPRODUCT(MAX(('Thiết Kế'!T18:AE18&lt;&gt;"")*(COLUMN('Thiết Kế'!T18:AE18)-COLUMN('Thiết Kế'!T18)+1)))))</f>
        <v/>
      </c>
      <c r="L414" s="52" t="str">
        <f>IF(AND(G414&lt;&gt;"",G414='Tổng hợp'!$C$4),MAX(L$1:L413)+1,"")</f>
        <v/>
      </c>
    </row>
    <row r="415" ht="15.75" customHeight="1">
      <c r="A415" s="52" t="str">
        <f>IF('Thiết Kế'!C19="","","Thiết Kế")</f>
        <v>Thiết Kế</v>
      </c>
      <c r="B415" s="52" t="str">
        <f>IF('Thiết Kế'!B19="","",'Thiết Kế'!B19)</f>
        <v>TK-014</v>
      </c>
      <c r="C415" s="52" t="str">
        <f>IF('Thiết Kế'!C19="","",'Thiết Kế'!C19)</f>
        <v>CapCut</v>
      </c>
      <c r="D415" s="52" t="str">
        <f>IF('Thiết Kế'!D19="","",'Thiết Kế'!D19)</f>
        <v/>
      </c>
      <c r="E415" s="52" t="str">
        <f>IF('Thiết Kế'!E19="","",'Thiết Kế'!E19)</f>
        <v>Tài khoản Capcut</v>
      </c>
      <c r="F415" s="134" t="str">
        <f>IF('Thiết Kế'!F19="","",'Thiết Kế'!F19)</f>
        <v>https://www.capcut.com/</v>
      </c>
      <c r="G415" s="52" t="str">
        <f>IF('Thiết Kế'!G19="","",'Thiết Kế'!G19)</f>
        <v>NGUYỄN THỊ TRANG</v>
      </c>
      <c r="H415" s="52" t="str">
        <f>IF('Thiết Kế'!J19="","",'Thiết Kế'!J19)</f>
        <v>Chủ sở hữu / Admin</v>
      </c>
      <c r="I415" s="52" t="str">
        <f>IF('Thiết Kế'!M19="","",'Thiết Kế'!M19)</f>
        <v>Có</v>
      </c>
      <c r="J415" s="52" t="str">
        <f>IF('Thiết Kế'!R19="","",'Thiết Kế'!R19)</f>
        <v>Chưa bàn giao</v>
      </c>
      <c r="K415" s="52" t="str">
        <f t="array" ref="K415">IF(COUNTA('Thiết Kế'!T19:AE19)=0,"",INDEX('Thiết Kế'!T19:AE19,1,SUMPRODUCT(MAX(('Thiết Kế'!T19:AE19&lt;&gt;"")*(COLUMN('Thiết Kế'!T19:AE19)-COLUMN('Thiết Kế'!T19)+1)))))</f>
        <v/>
      </c>
      <c r="L415" s="52" t="str">
        <f>IF(AND(G415&lt;&gt;"",G415='Tổng hợp'!$C$4),MAX(L$1:L414)+1,"")</f>
        <v/>
      </c>
    </row>
    <row r="416" ht="15.75" customHeight="1">
      <c r="A416" s="52" t="str">
        <f>IF('Thiết Kế'!C20="","","Thiết Kế")</f>
        <v/>
      </c>
      <c r="B416" s="52" t="str">
        <f>IF('Thiết Kế'!B20="","",'Thiết Kế'!B20)</f>
        <v/>
      </c>
      <c r="C416" s="52" t="str">
        <f>IF('Thiết Kế'!C20="","",'Thiết Kế'!C20)</f>
        <v/>
      </c>
      <c r="D416" s="52" t="str">
        <f>IF('Thiết Kế'!D20="","",'Thiết Kế'!D20)</f>
        <v/>
      </c>
      <c r="E416" s="52" t="str">
        <f>IF('Thiết Kế'!E20="","",'Thiết Kế'!E20)</f>
        <v/>
      </c>
      <c r="F416" s="52" t="str">
        <f>IF('Thiết Kế'!F20="","",'Thiết Kế'!F20)</f>
        <v/>
      </c>
      <c r="G416" s="52" t="str">
        <f>IF('Thiết Kế'!G20="","",'Thiết Kế'!G20)</f>
        <v/>
      </c>
      <c r="H416" s="52" t="str">
        <f>IF('Thiết Kế'!J20="","",'Thiết Kế'!J20)</f>
        <v/>
      </c>
      <c r="I416" s="52" t="str">
        <f>IF('Thiết Kế'!M20="","",'Thiết Kế'!M20)</f>
        <v/>
      </c>
      <c r="J416" s="52" t="str">
        <f>IF('Thiết Kế'!R20="","",'Thiết Kế'!R20)</f>
        <v/>
      </c>
      <c r="K416" s="52" t="str">
        <f t="array" ref="K416">IF(COUNTA('Thiết Kế'!T20:AE20)=0,"",INDEX('Thiết Kế'!T20:AE20,1,SUMPRODUCT(MAX(('Thiết Kế'!T20:AE20&lt;&gt;"")*(COLUMN('Thiết Kế'!T20:AE20)-COLUMN('Thiết Kế'!T20)+1)))))</f>
        <v/>
      </c>
      <c r="L416" s="52" t="str">
        <f>IF(AND(G416&lt;&gt;"",G416='Tổng hợp'!$C$4),MAX(L$1:L415)+1,"")</f>
        <v/>
      </c>
    </row>
    <row r="417" ht="15.75" customHeight="1">
      <c r="A417" s="52" t="str">
        <f>IF('Thiết Kế'!C21="","","Thiết Kế")</f>
        <v>Thiết Kế</v>
      </c>
      <c r="B417" s="52" t="str">
        <f>IF('Thiết Kế'!B21="","",'Thiết Kế'!B21)</f>
        <v>TK-016</v>
      </c>
      <c r="C417" s="52" t="str">
        <f>IF('Thiết Kế'!C21="","",'Thiết Kế'!C21)</f>
        <v>Magnific</v>
      </c>
      <c r="D417" s="52" t="str">
        <f>IF('Thiết Kế'!D21="","",'Thiết Kế'!D21)</f>
        <v/>
      </c>
      <c r="E417" s="52" t="str">
        <f>IF('Thiết Kế'!E21="","",'Thiết Kế'!E21)</f>
        <v>Tài khoản Magnific</v>
      </c>
      <c r="F417" s="134" t="str">
        <f>IF('Thiết Kế'!F21="","",'Thiết Kế'!F21)</f>
        <v>https://www.magnific.com/</v>
      </c>
      <c r="G417" s="52" t="str">
        <f>IF('Thiết Kế'!G21="","",'Thiết Kế'!G21)</f>
        <v>NGUYỄN HOÀNG HẢI</v>
      </c>
      <c r="H417" s="52" t="str">
        <f>IF('Thiết Kế'!J21="","",'Thiết Kế'!J21)</f>
        <v>Được chia sẻ dùng chung</v>
      </c>
      <c r="I417" s="52" t="str">
        <f>IF('Thiết Kế'!M21="","",'Thiết Kế'!M21)</f>
        <v>Có</v>
      </c>
      <c r="J417" s="52" t="str">
        <f>IF('Thiết Kế'!R21="","",'Thiết Kế'!R21)</f>
        <v>Chưa bàn giao</v>
      </c>
      <c r="K417" s="52" t="str">
        <f t="array" ref="K417">IF(COUNTA('Thiết Kế'!T21:AE21)=0,"",INDEX('Thiết Kế'!T21:AE21,1,SUMPRODUCT(MAX(('Thiết Kế'!T21:AE21&lt;&gt;"")*(COLUMN('Thiết Kế'!T21:AE21)-COLUMN('Thiết Kế'!T21)+1)))))</f>
        <v/>
      </c>
      <c r="L417" s="52" t="str">
        <f>IF(AND(G417&lt;&gt;"",G417='Tổng hợp'!$C$4),MAX(L$1:L416)+1,"")</f>
        <v/>
      </c>
    </row>
    <row r="418" ht="15.75" customHeight="1">
      <c r="A418" s="52" t="str">
        <f>IF('Thiết Kế'!C22="","","Thiết Kế")</f>
        <v>Thiết Kế</v>
      </c>
      <c r="B418" s="52" t="str">
        <f>IF('Thiết Kế'!B22="","",'Thiết Kế'!B22)</f>
        <v>TK-017</v>
      </c>
      <c r="C418" s="52" t="str">
        <f>IF('Thiết Kế'!C22="","",'Thiết Kế'!C22)</f>
        <v>Adobe</v>
      </c>
      <c r="D418" s="52" t="str">
        <f>IF('Thiết Kế'!D22="","",'Thiết Kế'!D22)</f>
        <v/>
      </c>
      <c r="E418" s="52" t="str">
        <f>IF('Thiết Kế'!E22="","",'Thiết Kế'!E22)</f>
        <v>Tài khoản Adobe Full Apps</v>
      </c>
      <c r="F418" s="134" t="str">
        <f>IF('Thiết Kế'!F22="","",'Thiết Kế'!F22)</f>
        <v>https://www.adobe.com/</v>
      </c>
      <c r="G418" s="52" t="str">
        <f>IF('Thiết Kế'!G22="","",'Thiết Kế'!G22)</f>
        <v>NGUYỄN HOÀNG HẢI</v>
      </c>
      <c r="H418" s="52" t="str">
        <f>IF('Thiết Kế'!J22="","",'Thiết Kế'!J22)</f>
        <v>Được chia sẻ dùng chung</v>
      </c>
      <c r="I418" s="52" t="str">
        <f>IF('Thiết Kế'!M22="","",'Thiết Kế'!M22)</f>
        <v>Có</v>
      </c>
      <c r="J418" s="52" t="str">
        <f>IF('Thiết Kế'!R22="","",'Thiết Kế'!R22)</f>
        <v>Chưa bàn giao</v>
      </c>
      <c r="K418" s="52" t="str">
        <f t="array" ref="K418">IF(COUNTA('Thiết Kế'!T22:AE22)=0,"",INDEX('Thiết Kế'!T22:AE22,1,SUMPRODUCT(MAX(('Thiết Kế'!T22:AE22&lt;&gt;"")*(COLUMN('Thiết Kế'!T22:AE22)-COLUMN('Thiết Kế'!T22)+1)))))</f>
        <v/>
      </c>
      <c r="L418" s="52" t="str">
        <f>IF(AND(G418&lt;&gt;"",G418='Tổng hợp'!$C$4),MAX(L$1:L417)+1,"")</f>
        <v/>
      </c>
    </row>
    <row r="419" ht="15.75" customHeight="1">
      <c r="A419" s="52" t="str">
        <f>IF('Thiết Kế'!C23="","","Thiết Kế")</f>
        <v/>
      </c>
      <c r="B419" s="52" t="str">
        <f>IF('Thiết Kế'!B23="","",'Thiết Kế'!B23)</f>
        <v/>
      </c>
      <c r="C419" s="52" t="str">
        <f>IF('Thiết Kế'!C23="","",'Thiết Kế'!C23)</f>
        <v/>
      </c>
      <c r="D419" s="52" t="str">
        <f>IF('Thiết Kế'!D23="","",'Thiết Kế'!D23)</f>
        <v/>
      </c>
      <c r="E419" s="52" t="str">
        <f>IF('Thiết Kế'!E23="","",'Thiết Kế'!E23)</f>
        <v/>
      </c>
      <c r="F419" s="52" t="str">
        <f>IF('Thiết Kế'!F23="","",'Thiết Kế'!F23)</f>
        <v/>
      </c>
      <c r="G419" s="52" t="str">
        <f>IF('Thiết Kế'!G23="","",'Thiết Kế'!G23)</f>
        <v/>
      </c>
      <c r="H419" s="52" t="str">
        <f>IF('Thiết Kế'!J23="","",'Thiết Kế'!J23)</f>
        <v/>
      </c>
      <c r="I419" s="52" t="str">
        <f>IF('Thiết Kế'!M23="","",'Thiết Kế'!M23)</f>
        <v/>
      </c>
      <c r="J419" s="52" t="str">
        <f>IF('Thiết Kế'!R23="","",'Thiết Kế'!R23)</f>
        <v/>
      </c>
      <c r="K419" s="52" t="str">
        <f t="array" ref="K419">IF(COUNTA('Thiết Kế'!T23:AE23)=0,"",INDEX('Thiết Kế'!T23:AE23,1,SUMPRODUCT(MAX(('Thiết Kế'!T23:AE23&lt;&gt;"")*(COLUMN('Thiết Kế'!T23:AE23)-COLUMN('Thiết Kế'!T23)+1)))))</f>
        <v/>
      </c>
      <c r="L419" s="52" t="str">
        <f>IF(AND(G419&lt;&gt;"",G419='Tổng hợp'!$C$4),MAX(L$1:L418)+1,"")</f>
        <v/>
      </c>
    </row>
    <row r="420" ht="15.75" customHeight="1">
      <c r="A420" s="52" t="str">
        <f>IF('Thiết Kế'!C24="","","Thiết Kế")</f>
        <v>Thiết Kế</v>
      </c>
      <c r="B420" s="52" t="str">
        <f>IF('Thiết Kế'!B24="","",'Thiết Kế'!B24)</f>
        <v>TK-019</v>
      </c>
      <c r="C420" s="52" t="str">
        <f>IF('Thiết Kế'!C24="","",'Thiết Kế'!C24)</f>
        <v>Magnific</v>
      </c>
      <c r="D420" s="52" t="str">
        <f>IF('Thiết Kế'!D24="","",'Thiết Kế'!D24)</f>
        <v/>
      </c>
      <c r="E420" s="52" t="str">
        <f>IF('Thiết Kế'!E24="","",'Thiết Kế'!E24)</f>
        <v>Tài khoản Magnific</v>
      </c>
      <c r="F420" s="134" t="str">
        <f>IF('Thiết Kế'!F24="","",'Thiết Kế'!F24)</f>
        <v>https://www.magnific.com/</v>
      </c>
      <c r="G420" s="52" t="str">
        <f>IF('Thiết Kế'!G24="","",'Thiết Kế'!G24)</f>
        <v>ĐỖ THÚY ANH</v>
      </c>
      <c r="H420" s="52" t="str">
        <f>IF('Thiết Kế'!J24="","",'Thiết Kế'!J24)</f>
        <v>Được chia sẻ dùng chung</v>
      </c>
      <c r="I420" s="52" t="str">
        <f>IF('Thiết Kế'!M24="","",'Thiết Kế'!M24)</f>
        <v>Có</v>
      </c>
      <c r="J420" s="52" t="str">
        <f>IF('Thiết Kế'!R24="","",'Thiết Kế'!R24)</f>
        <v>Chưa bàn giao</v>
      </c>
      <c r="K420" s="52" t="str">
        <f t="array" ref="K420">IF(COUNTA('Thiết Kế'!T24:AE24)=0,"",INDEX('Thiết Kế'!T24:AE24,1,SUMPRODUCT(MAX(('Thiết Kế'!T24:AE24&lt;&gt;"")*(COLUMN('Thiết Kế'!T24:AE24)-COLUMN('Thiết Kế'!T24)+1)))))</f>
        <v/>
      </c>
      <c r="L420" s="52" t="str">
        <f>IF(AND(G420&lt;&gt;"",G420='Tổng hợp'!$C$4),MAX(L$1:L419)+1,"")</f>
        <v/>
      </c>
    </row>
    <row r="421" ht="15.75" customHeight="1">
      <c r="A421" s="52" t="str">
        <f>IF('Thiết Kế'!C25="","","Thiết Kế")</f>
        <v>Thiết Kế</v>
      </c>
      <c r="B421" s="52" t="str">
        <f>IF('Thiết Kế'!B25="","",'Thiết Kế'!B25)</f>
        <v>TK-020</v>
      </c>
      <c r="C421" s="52" t="str">
        <f>IF('Thiết Kế'!C25="","",'Thiết Kế'!C25)</f>
        <v>Adobe</v>
      </c>
      <c r="D421" s="52" t="str">
        <f>IF('Thiết Kế'!D25="","",'Thiết Kế'!D25)</f>
        <v/>
      </c>
      <c r="E421" s="52" t="str">
        <f>IF('Thiết Kế'!E25="","",'Thiết Kế'!E25)</f>
        <v>Tài khoản Adobe Full Apps</v>
      </c>
      <c r="F421" s="134" t="str">
        <f>IF('Thiết Kế'!F25="","",'Thiết Kế'!F25)</f>
        <v>https://www.adobe.com/</v>
      </c>
      <c r="G421" s="52" t="str">
        <f>IF('Thiết Kế'!G25="","",'Thiết Kế'!G25)</f>
        <v>ĐỖ THÚY ANH</v>
      </c>
      <c r="H421" s="52" t="str">
        <f>IF('Thiết Kế'!J25="","",'Thiết Kế'!J25)</f>
        <v>Được chia sẻ dùng chung</v>
      </c>
      <c r="I421" s="52" t="str">
        <f>IF('Thiết Kế'!M25="","",'Thiết Kế'!M25)</f>
        <v>Có</v>
      </c>
      <c r="J421" s="52" t="str">
        <f>IF('Thiết Kế'!R25="","",'Thiết Kế'!R25)</f>
        <v>Chưa bàn giao</v>
      </c>
      <c r="K421" s="52" t="str">
        <f t="array" ref="K421">IF(COUNTA('Thiết Kế'!T25:AE25)=0,"",INDEX('Thiết Kế'!T25:AE25,1,SUMPRODUCT(MAX(('Thiết Kế'!T25:AE25&lt;&gt;"")*(COLUMN('Thiết Kế'!T25:AE25)-COLUMN('Thiết Kế'!T25)+1)))))</f>
        <v/>
      </c>
      <c r="L421" s="52" t="str">
        <f>IF(AND(G421&lt;&gt;"",G421='Tổng hợp'!$C$4),MAX(L$1:L420)+1,"")</f>
        <v/>
      </c>
    </row>
    <row r="422" ht="15.75" customHeight="1">
      <c r="A422" s="52" t="str">
        <f>IF('Thiết Kế'!C26="","","Thiết Kế")</f>
        <v/>
      </c>
      <c r="B422" s="52" t="str">
        <f>IF('Thiết Kế'!B26="","",'Thiết Kế'!B26)</f>
        <v/>
      </c>
      <c r="C422" s="52" t="str">
        <f>IF('Thiết Kế'!C26="","",'Thiết Kế'!C26)</f>
        <v/>
      </c>
      <c r="D422" s="52" t="str">
        <f>IF('Thiết Kế'!D26="","",'Thiết Kế'!D26)</f>
        <v/>
      </c>
      <c r="E422" s="52" t="str">
        <f>IF('Thiết Kế'!E26="","",'Thiết Kế'!E26)</f>
        <v/>
      </c>
      <c r="F422" s="52" t="str">
        <f>IF('Thiết Kế'!F26="","",'Thiết Kế'!F26)</f>
        <v/>
      </c>
      <c r="G422" s="52" t="str">
        <f>IF('Thiết Kế'!G26="","",'Thiết Kế'!G26)</f>
        <v/>
      </c>
      <c r="H422" s="52" t="str">
        <f>IF('Thiết Kế'!J26="","",'Thiết Kế'!J26)</f>
        <v/>
      </c>
      <c r="I422" s="52" t="str">
        <f>IF('Thiết Kế'!M26="","",'Thiết Kế'!M26)</f>
        <v/>
      </c>
      <c r="J422" s="52" t="str">
        <f>IF('Thiết Kế'!R26="","",'Thiết Kế'!R26)</f>
        <v/>
      </c>
      <c r="K422" s="52" t="str">
        <f t="array" ref="K422">IF(COUNTA('Thiết Kế'!T26:AE26)=0,"",INDEX('Thiết Kế'!T26:AE26,1,SUMPRODUCT(MAX(('Thiết Kế'!T26:AE26&lt;&gt;"")*(COLUMN('Thiết Kế'!T26:AE26)-COLUMN('Thiết Kế'!T26)+1)))))</f>
        <v/>
      </c>
      <c r="L422" s="52" t="str">
        <f>IF(AND(G422&lt;&gt;"",G422='Tổng hợp'!$C$4),MAX(L$1:L421)+1,"")</f>
        <v/>
      </c>
    </row>
    <row r="423" ht="15.75" customHeight="1">
      <c r="A423" s="52" t="str">
        <f>IF('Thiết Kế'!C27="","","Thiết Kế")</f>
        <v>Thiết Kế</v>
      </c>
      <c r="B423" s="52" t="str">
        <f>IF('Thiết Kế'!B27="","",'Thiết Kế'!B27)</f>
        <v>TK-022</v>
      </c>
      <c r="C423" s="52" t="str">
        <f>IF('Thiết Kế'!C27="","",'Thiết Kế'!C27)</f>
        <v>Magnific</v>
      </c>
      <c r="D423" s="52" t="str">
        <f>IF('Thiết Kế'!D27="","",'Thiết Kế'!D27)</f>
        <v/>
      </c>
      <c r="E423" s="52" t="str">
        <f>IF('Thiết Kế'!E27="","",'Thiết Kế'!E27)</f>
        <v>Tài khoản Magnific</v>
      </c>
      <c r="F423" s="134" t="str">
        <f>IF('Thiết Kế'!F27="","",'Thiết Kế'!F27)</f>
        <v>https://www.magnific.com/</v>
      </c>
      <c r="G423" s="52" t="str">
        <f>IF('Thiết Kế'!G27="","",'Thiết Kế'!G27)</f>
        <v>NGUYỄN THỊ KIỀU TRANG</v>
      </c>
      <c r="H423" s="52" t="str">
        <f>IF('Thiết Kế'!J27="","",'Thiết Kế'!J27)</f>
        <v>Được chia sẻ dùng chung</v>
      </c>
      <c r="I423" s="52" t="str">
        <f>IF('Thiết Kế'!M27="","",'Thiết Kế'!M27)</f>
        <v/>
      </c>
      <c r="J423" s="52" t="str">
        <f>IF('Thiết Kế'!R27="","",'Thiết Kế'!R27)</f>
        <v>Chưa bàn giao</v>
      </c>
      <c r="K423" s="52" t="str">
        <f t="array" ref="K423">IF(COUNTA('Thiết Kế'!T27:AE27)=0,"",INDEX('Thiết Kế'!T27:AE27,1,SUMPRODUCT(MAX(('Thiết Kế'!T27:AE27&lt;&gt;"")*(COLUMN('Thiết Kế'!T27:AE27)-COLUMN('Thiết Kế'!T27)+1)))))</f>
        <v/>
      </c>
      <c r="L423" s="52" t="str">
        <f>IF(AND(G423&lt;&gt;"",G423='Tổng hợp'!$C$4),MAX(L$1:L422)+1,"")</f>
        <v/>
      </c>
    </row>
    <row r="424" ht="15.75" customHeight="1">
      <c r="A424" s="52" t="str">
        <f>IF('Thiết Kế'!C28="","","Thiết Kế")</f>
        <v>Thiết Kế</v>
      </c>
      <c r="B424" s="52" t="str">
        <f>IF('Thiết Kế'!B28="","",'Thiết Kế'!B28)</f>
        <v>TK-023</v>
      </c>
      <c r="C424" s="52" t="str">
        <f>IF('Thiết Kế'!C28="","",'Thiết Kế'!C28)</f>
        <v>Adobe</v>
      </c>
      <c r="D424" s="52" t="str">
        <f>IF('Thiết Kế'!D28="","",'Thiết Kế'!D28)</f>
        <v/>
      </c>
      <c r="E424" s="52" t="str">
        <f>IF('Thiết Kế'!E28="","",'Thiết Kế'!E28)</f>
        <v>Tài khoản Adobe Full Apps</v>
      </c>
      <c r="F424" s="134" t="str">
        <f>IF('Thiết Kế'!F28="","",'Thiết Kế'!F28)</f>
        <v>https://www.adobe.com/</v>
      </c>
      <c r="G424" s="52" t="str">
        <f>IF('Thiết Kế'!G28="","",'Thiết Kế'!G28)</f>
        <v>NGUYỄN THỊ KIỀU TRANG</v>
      </c>
      <c r="H424" s="52" t="str">
        <f>IF('Thiết Kế'!J28="","",'Thiết Kế'!J28)</f>
        <v>Được chia sẻ dùng chung</v>
      </c>
      <c r="I424" s="52" t="str">
        <f>IF('Thiết Kế'!M28="","",'Thiết Kế'!M28)</f>
        <v/>
      </c>
      <c r="J424" s="52" t="str">
        <f>IF('Thiết Kế'!R28="","",'Thiết Kế'!R28)</f>
        <v>Chưa bàn giao</v>
      </c>
      <c r="K424" s="52" t="str">
        <f t="array" ref="K424">IF(COUNTA('Thiết Kế'!T28:AE28)=0,"",INDEX('Thiết Kế'!T28:AE28,1,SUMPRODUCT(MAX(('Thiết Kế'!T28:AE28&lt;&gt;"")*(COLUMN('Thiết Kế'!T28:AE28)-COLUMN('Thiết Kế'!T28)+1)))))</f>
        <v/>
      </c>
      <c r="L424" s="52" t="str">
        <f>IF(AND(G424&lt;&gt;"",G424='Tổng hợp'!$C$4),MAX(L$1:L423)+1,"")</f>
        <v/>
      </c>
    </row>
    <row r="425" ht="15.75" customHeight="1">
      <c r="A425" s="52" t="str">
        <f>IF('Thiết Kế'!C29="","","Thiết Kế")</f>
        <v/>
      </c>
      <c r="B425" s="52" t="str">
        <f>IF('Thiết Kế'!B29="","",'Thiết Kế'!B29)</f>
        <v/>
      </c>
      <c r="C425" s="52" t="str">
        <f>IF('Thiết Kế'!C29="","",'Thiết Kế'!C29)</f>
        <v/>
      </c>
      <c r="D425" s="52" t="str">
        <f>IF('Thiết Kế'!D29="","",'Thiết Kế'!D29)</f>
        <v/>
      </c>
      <c r="E425" s="52" t="str">
        <f>IF('Thiết Kế'!E29="","",'Thiết Kế'!E29)</f>
        <v/>
      </c>
      <c r="F425" s="52" t="str">
        <f>IF('Thiết Kế'!F29="","",'Thiết Kế'!F29)</f>
        <v/>
      </c>
      <c r="G425" s="52" t="str">
        <f>IF('Thiết Kế'!G29="","",'Thiết Kế'!G29)</f>
        <v/>
      </c>
      <c r="H425" s="52" t="str">
        <f>IF('Thiết Kế'!J29="","",'Thiết Kế'!J29)</f>
        <v/>
      </c>
      <c r="I425" s="52" t="str">
        <f>IF('Thiết Kế'!M29="","",'Thiết Kế'!M29)</f>
        <v/>
      </c>
      <c r="J425" s="52" t="str">
        <f>IF('Thiết Kế'!R29="","",'Thiết Kế'!R29)</f>
        <v/>
      </c>
      <c r="K425" s="52" t="str">
        <f t="array" ref="K425">IF(COUNTA('Thiết Kế'!T29:AE29)=0,"",INDEX('Thiết Kế'!T29:AE29,1,SUMPRODUCT(MAX(('Thiết Kế'!T29:AE29&lt;&gt;"")*(COLUMN('Thiết Kế'!T29:AE29)-COLUMN('Thiết Kế'!T29)+1)))))</f>
        <v/>
      </c>
      <c r="L425" s="52" t="str">
        <f>IF(AND(G425&lt;&gt;"",G425='Tổng hợp'!$C$4),MAX(L$1:L424)+1,"")</f>
        <v/>
      </c>
    </row>
    <row r="426" ht="15.75" customHeight="1">
      <c r="A426" s="52" t="str">
        <f>IF('Thiết Kế'!C30="","","Thiết Kế")</f>
        <v/>
      </c>
      <c r="B426" s="52" t="str">
        <f>IF('Thiết Kế'!B30="","",'Thiết Kế'!B30)</f>
        <v/>
      </c>
      <c r="C426" s="52" t="str">
        <f>IF('Thiết Kế'!C30="","",'Thiết Kế'!C30)</f>
        <v/>
      </c>
      <c r="D426" s="52" t="str">
        <f>IF('Thiết Kế'!D30="","",'Thiết Kế'!D30)</f>
        <v/>
      </c>
      <c r="E426" s="52" t="str">
        <f>IF('Thiết Kế'!E30="","",'Thiết Kế'!E30)</f>
        <v/>
      </c>
      <c r="F426" s="52" t="str">
        <f>IF('Thiết Kế'!F30="","",'Thiết Kế'!F30)</f>
        <v/>
      </c>
      <c r="G426" s="52" t="str">
        <f>IF('Thiết Kế'!G30="","",'Thiết Kế'!G30)</f>
        <v/>
      </c>
      <c r="H426" s="52" t="str">
        <f>IF('Thiết Kế'!J30="","",'Thiết Kế'!J30)</f>
        <v/>
      </c>
      <c r="I426" s="52" t="str">
        <f>IF('Thiết Kế'!M30="","",'Thiết Kế'!M30)</f>
        <v/>
      </c>
      <c r="J426" s="52" t="str">
        <f>IF('Thiết Kế'!R30="","",'Thiết Kế'!R30)</f>
        <v/>
      </c>
      <c r="K426" s="52" t="str">
        <f t="array" ref="K426">IF(COUNTA('Thiết Kế'!T30:AE30)=0,"",INDEX('Thiết Kế'!T30:AE30,1,SUMPRODUCT(MAX(('Thiết Kế'!T30:AE30&lt;&gt;"")*(COLUMN('Thiết Kế'!T30:AE30)-COLUMN('Thiết Kế'!T30)+1)))))</f>
        <v/>
      </c>
      <c r="L426" s="52" t="str">
        <f>IF(AND(G426&lt;&gt;"",G426='Tổng hợp'!$C$4),MAX(L$1:L425)+1,"")</f>
        <v/>
      </c>
    </row>
    <row r="427" ht="15.75" customHeight="1">
      <c r="A427" s="52" t="str">
        <f>IF('Thiết Kế'!C31="","","Thiết Kế")</f>
        <v/>
      </c>
      <c r="B427" s="52" t="str">
        <f>IF('Thiết Kế'!B31="","",'Thiết Kế'!B31)</f>
        <v/>
      </c>
      <c r="C427" s="52" t="str">
        <f>IF('Thiết Kế'!C31="","",'Thiết Kế'!C31)</f>
        <v/>
      </c>
      <c r="D427" s="52" t="str">
        <f>IF('Thiết Kế'!D31="","",'Thiết Kế'!D31)</f>
        <v/>
      </c>
      <c r="E427" s="52" t="str">
        <f>IF('Thiết Kế'!E31="","",'Thiết Kế'!E31)</f>
        <v/>
      </c>
      <c r="F427" s="52" t="str">
        <f>IF('Thiết Kế'!F31="","",'Thiết Kế'!F31)</f>
        <v/>
      </c>
      <c r="G427" s="52" t="str">
        <f>IF('Thiết Kế'!G31="","",'Thiết Kế'!G31)</f>
        <v/>
      </c>
      <c r="H427" s="52" t="str">
        <f>IF('Thiết Kế'!J31="","",'Thiết Kế'!J31)</f>
        <v/>
      </c>
      <c r="I427" s="52" t="str">
        <f>IF('Thiết Kế'!M31="","",'Thiết Kế'!M31)</f>
        <v/>
      </c>
      <c r="J427" s="52" t="str">
        <f>IF('Thiết Kế'!R31="","",'Thiết Kế'!R31)</f>
        <v/>
      </c>
      <c r="K427" s="52" t="str">
        <f t="array" ref="K427">IF(COUNTA('Thiết Kế'!T31:AE31)=0,"",INDEX('Thiết Kế'!T31:AE31,1,SUMPRODUCT(MAX(('Thiết Kế'!T31:AE31&lt;&gt;"")*(COLUMN('Thiết Kế'!T31:AE31)-COLUMN('Thiết Kế'!T31)+1)))))</f>
        <v/>
      </c>
      <c r="L427" s="52" t="str">
        <f>IF(AND(G427&lt;&gt;"",G427='Tổng hợp'!$C$4),MAX(L$1:L426)+1,"")</f>
        <v/>
      </c>
    </row>
    <row r="428" ht="15.75" customHeight="1">
      <c r="A428" s="52" t="str">
        <f>IF('Thiết Kế'!C32="","","Thiết Kế")</f>
        <v/>
      </c>
      <c r="B428" s="52" t="str">
        <f>IF('Thiết Kế'!B32="","",'Thiết Kế'!B32)</f>
        <v/>
      </c>
      <c r="C428" s="52" t="str">
        <f>IF('Thiết Kế'!C32="","",'Thiết Kế'!C32)</f>
        <v/>
      </c>
      <c r="D428" s="52" t="str">
        <f>IF('Thiết Kế'!D32="","",'Thiết Kế'!D32)</f>
        <v/>
      </c>
      <c r="E428" s="52" t="str">
        <f>IF('Thiết Kế'!E32="","",'Thiết Kế'!E32)</f>
        <v/>
      </c>
      <c r="F428" s="52" t="str">
        <f>IF('Thiết Kế'!F32="","",'Thiết Kế'!F32)</f>
        <v/>
      </c>
      <c r="G428" s="52" t="str">
        <f>IF('Thiết Kế'!G32="","",'Thiết Kế'!G32)</f>
        <v/>
      </c>
      <c r="H428" s="52" t="str">
        <f>IF('Thiết Kế'!J32="","",'Thiết Kế'!J32)</f>
        <v/>
      </c>
      <c r="I428" s="52" t="str">
        <f>IF('Thiết Kế'!M32="","",'Thiết Kế'!M32)</f>
        <v/>
      </c>
      <c r="J428" s="52" t="str">
        <f>IF('Thiết Kế'!R32="","",'Thiết Kế'!R32)</f>
        <v/>
      </c>
      <c r="K428" s="52" t="str">
        <f t="array" ref="K428">IF(COUNTA('Thiết Kế'!T32:AE32)=0,"",INDEX('Thiết Kế'!T32:AE32,1,SUMPRODUCT(MAX(('Thiết Kế'!T32:AE32&lt;&gt;"")*(COLUMN('Thiết Kế'!T32:AE32)-COLUMN('Thiết Kế'!T32)+1)))))</f>
        <v/>
      </c>
      <c r="L428" s="52" t="str">
        <f>IF(AND(G428&lt;&gt;"",G428='Tổng hợp'!$C$4),MAX(L$1:L427)+1,"")</f>
        <v/>
      </c>
    </row>
    <row r="429" ht="15.75" customHeight="1">
      <c r="A429" s="52" t="str">
        <f>IF('Thiết Kế'!C33="","","Thiết Kế")</f>
        <v/>
      </c>
      <c r="B429" s="52" t="str">
        <f>IF('Thiết Kế'!B33="","",'Thiết Kế'!B33)</f>
        <v/>
      </c>
      <c r="C429" s="52" t="str">
        <f>IF('Thiết Kế'!C33="","",'Thiết Kế'!C33)</f>
        <v/>
      </c>
      <c r="D429" s="52" t="str">
        <f>IF('Thiết Kế'!D33="","",'Thiết Kế'!D33)</f>
        <v/>
      </c>
      <c r="E429" s="52" t="str">
        <f>IF('Thiết Kế'!E33="","",'Thiết Kế'!E33)</f>
        <v/>
      </c>
      <c r="F429" s="52" t="str">
        <f>IF('Thiết Kế'!F33="","",'Thiết Kế'!F33)</f>
        <v/>
      </c>
      <c r="G429" s="52" t="str">
        <f>IF('Thiết Kế'!G33="","",'Thiết Kế'!G33)</f>
        <v/>
      </c>
      <c r="H429" s="52" t="str">
        <f>IF('Thiết Kế'!J33="","",'Thiết Kế'!J33)</f>
        <v/>
      </c>
      <c r="I429" s="52" t="str">
        <f>IF('Thiết Kế'!M33="","",'Thiết Kế'!M33)</f>
        <v/>
      </c>
      <c r="J429" s="52" t="str">
        <f>IF('Thiết Kế'!R33="","",'Thiết Kế'!R33)</f>
        <v/>
      </c>
      <c r="K429" s="52" t="str">
        <f t="array" ref="K429">IF(COUNTA('Thiết Kế'!T33:AE33)=0,"",INDEX('Thiết Kế'!T33:AE33,1,SUMPRODUCT(MAX(('Thiết Kế'!T33:AE33&lt;&gt;"")*(COLUMN('Thiết Kế'!T33:AE33)-COLUMN('Thiết Kế'!T33)+1)))))</f>
        <v/>
      </c>
      <c r="L429" s="52" t="str">
        <f>IF(AND(G429&lt;&gt;"",G429='Tổng hợp'!$C$4),MAX(L$1:L428)+1,"")</f>
        <v/>
      </c>
    </row>
    <row r="430" ht="15.75" customHeight="1">
      <c r="A430" s="52" t="str">
        <f>IF('Thiết Kế'!C34="","","Thiết Kế")</f>
        <v/>
      </c>
      <c r="B430" s="52" t="str">
        <f>IF('Thiết Kế'!B34="","",'Thiết Kế'!B34)</f>
        <v/>
      </c>
      <c r="C430" s="52" t="str">
        <f>IF('Thiết Kế'!C34="","",'Thiết Kế'!C34)</f>
        <v/>
      </c>
      <c r="D430" s="52" t="str">
        <f>IF('Thiết Kế'!D34="","",'Thiết Kế'!D34)</f>
        <v/>
      </c>
      <c r="E430" s="52" t="str">
        <f>IF('Thiết Kế'!E34="","",'Thiết Kế'!E34)</f>
        <v/>
      </c>
      <c r="F430" s="52" t="str">
        <f>IF('Thiết Kế'!F34="","",'Thiết Kế'!F34)</f>
        <v/>
      </c>
      <c r="G430" s="52" t="str">
        <f>IF('Thiết Kế'!G34="","",'Thiết Kế'!G34)</f>
        <v/>
      </c>
      <c r="H430" s="52" t="str">
        <f>IF('Thiết Kế'!J34="","",'Thiết Kế'!J34)</f>
        <v/>
      </c>
      <c r="I430" s="52" t="str">
        <f>IF('Thiết Kế'!M34="","",'Thiết Kế'!M34)</f>
        <v/>
      </c>
      <c r="J430" s="52" t="str">
        <f>IF('Thiết Kế'!R34="","",'Thiết Kế'!R34)</f>
        <v/>
      </c>
      <c r="K430" s="52" t="str">
        <f t="array" ref="K430">IF(COUNTA('Thiết Kế'!T34:AE34)=0,"",INDEX('Thiết Kế'!T34:AE34,1,SUMPRODUCT(MAX(('Thiết Kế'!T34:AE34&lt;&gt;"")*(COLUMN('Thiết Kế'!T34:AE34)-COLUMN('Thiết Kế'!T34)+1)))))</f>
        <v/>
      </c>
      <c r="L430" s="52" t="str">
        <f>IF(AND(G430&lt;&gt;"",G430='Tổng hợp'!$C$4),MAX(L$1:L429)+1,"")</f>
        <v/>
      </c>
    </row>
    <row r="431" ht="15.75" customHeight="1">
      <c r="A431" s="52" t="str">
        <f>IF('Thiết Kế'!C35="","","Thiết Kế")</f>
        <v/>
      </c>
      <c r="B431" s="52" t="str">
        <f>IF('Thiết Kế'!B35="","",'Thiết Kế'!B35)</f>
        <v/>
      </c>
      <c r="C431" s="52" t="str">
        <f>IF('Thiết Kế'!C35="","",'Thiết Kế'!C35)</f>
        <v/>
      </c>
      <c r="D431" s="52" t="str">
        <f>IF('Thiết Kế'!D35="","",'Thiết Kế'!D35)</f>
        <v/>
      </c>
      <c r="E431" s="52" t="str">
        <f>IF('Thiết Kế'!E35="","",'Thiết Kế'!E35)</f>
        <v/>
      </c>
      <c r="F431" s="52" t="str">
        <f>IF('Thiết Kế'!F35="","",'Thiết Kế'!F35)</f>
        <v/>
      </c>
      <c r="G431" s="52" t="str">
        <f>IF('Thiết Kế'!G35="","",'Thiết Kế'!G35)</f>
        <v/>
      </c>
      <c r="H431" s="52" t="str">
        <f>IF('Thiết Kế'!J35="","",'Thiết Kế'!J35)</f>
        <v/>
      </c>
      <c r="I431" s="52" t="str">
        <f>IF('Thiết Kế'!M35="","",'Thiết Kế'!M35)</f>
        <v/>
      </c>
      <c r="J431" s="52" t="str">
        <f>IF('Thiết Kế'!R35="","",'Thiết Kế'!R35)</f>
        <v/>
      </c>
      <c r="K431" s="52" t="str">
        <f t="array" ref="K431">IF(COUNTA('Thiết Kế'!T35:AE35)=0,"",INDEX('Thiết Kế'!T35:AE35,1,SUMPRODUCT(MAX(('Thiết Kế'!T35:AE35&lt;&gt;"")*(COLUMN('Thiết Kế'!T35:AE35)-COLUMN('Thiết Kế'!T35)+1)))))</f>
        <v/>
      </c>
      <c r="L431" s="52" t="str">
        <f>IF(AND(G431&lt;&gt;"",G431='Tổng hợp'!$C$4),MAX(L$1:L430)+1,"")</f>
        <v/>
      </c>
    </row>
    <row r="432" ht="15.75" customHeight="1">
      <c r="A432" s="52" t="str">
        <f>IF('Thiết Kế'!C36="","","Thiết Kế")</f>
        <v/>
      </c>
      <c r="B432" s="52" t="str">
        <f>IF('Thiết Kế'!B36="","",'Thiết Kế'!B36)</f>
        <v/>
      </c>
      <c r="C432" s="52" t="str">
        <f>IF('Thiết Kế'!C36="","",'Thiết Kế'!C36)</f>
        <v/>
      </c>
      <c r="D432" s="52" t="str">
        <f>IF('Thiết Kế'!D36="","",'Thiết Kế'!D36)</f>
        <v/>
      </c>
      <c r="E432" s="52" t="str">
        <f>IF('Thiết Kế'!E36="","",'Thiết Kế'!E36)</f>
        <v/>
      </c>
      <c r="F432" s="52" t="str">
        <f>IF('Thiết Kế'!F36="","",'Thiết Kế'!F36)</f>
        <v/>
      </c>
      <c r="G432" s="52" t="str">
        <f>IF('Thiết Kế'!G36="","",'Thiết Kế'!G36)</f>
        <v/>
      </c>
      <c r="H432" s="52" t="str">
        <f>IF('Thiết Kế'!J36="","",'Thiết Kế'!J36)</f>
        <v/>
      </c>
      <c r="I432" s="52" t="str">
        <f>IF('Thiết Kế'!M36="","",'Thiết Kế'!M36)</f>
        <v/>
      </c>
      <c r="J432" s="52" t="str">
        <f>IF('Thiết Kế'!R36="","",'Thiết Kế'!R36)</f>
        <v/>
      </c>
      <c r="K432" s="52" t="str">
        <f t="array" ref="K432">IF(COUNTA('Thiết Kế'!T36:AE36)=0,"",INDEX('Thiết Kế'!T36:AE36,1,SUMPRODUCT(MAX(('Thiết Kế'!T36:AE36&lt;&gt;"")*(COLUMN('Thiết Kế'!T36:AE36)-COLUMN('Thiết Kế'!T36)+1)))))</f>
        <v/>
      </c>
      <c r="L432" s="52" t="str">
        <f>IF(AND(G432&lt;&gt;"",G432='Tổng hợp'!$C$4),MAX(L$1:L431)+1,"")</f>
        <v/>
      </c>
    </row>
    <row r="433" ht="15.75" customHeight="1">
      <c r="A433" s="52" t="str">
        <f>IF('Thiết Kế'!C37="","","Thiết Kế")</f>
        <v/>
      </c>
      <c r="B433" s="52" t="str">
        <f>IF('Thiết Kế'!B37="","",'Thiết Kế'!B37)</f>
        <v/>
      </c>
      <c r="C433" s="52" t="str">
        <f>IF('Thiết Kế'!C37="","",'Thiết Kế'!C37)</f>
        <v/>
      </c>
      <c r="D433" s="52" t="str">
        <f>IF('Thiết Kế'!D37="","",'Thiết Kế'!D37)</f>
        <v/>
      </c>
      <c r="E433" s="52" t="str">
        <f>IF('Thiết Kế'!E37="","",'Thiết Kế'!E37)</f>
        <v/>
      </c>
      <c r="F433" s="52" t="str">
        <f>IF('Thiết Kế'!F37="","",'Thiết Kế'!F37)</f>
        <v/>
      </c>
      <c r="G433" s="52" t="str">
        <f>IF('Thiết Kế'!G37="","",'Thiết Kế'!G37)</f>
        <v/>
      </c>
      <c r="H433" s="52" t="str">
        <f>IF('Thiết Kế'!J37="","",'Thiết Kế'!J37)</f>
        <v/>
      </c>
      <c r="I433" s="52" t="str">
        <f>IF('Thiết Kế'!M37="","",'Thiết Kế'!M37)</f>
        <v/>
      </c>
      <c r="J433" s="52" t="str">
        <f>IF('Thiết Kế'!R37="","",'Thiết Kế'!R37)</f>
        <v/>
      </c>
      <c r="K433" s="52" t="str">
        <f t="array" ref="K433">IF(COUNTA('Thiết Kế'!T37:AE37)=0,"",INDEX('Thiết Kế'!T37:AE37,1,SUMPRODUCT(MAX(('Thiết Kế'!T37:AE37&lt;&gt;"")*(COLUMN('Thiết Kế'!T37:AE37)-COLUMN('Thiết Kế'!T37)+1)))))</f>
        <v/>
      </c>
      <c r="L433" s="52" t="str">
        <f>IF(AND(G433&lt;&gt;"",G433='Tổng hợp'!$C$4),MAX(L$1:L432)+1,"")</f>
        <v/>
      </c>
    </row>
    <row r="434" ht="15.75" customHeight="1">
      <c r="A434" s="52" t="str">
        <f>IF('Thiết Kế'!C38="","","Thiết Kế")</f>
        <v/>
      </c>
      <c r="B434" s="52" t="str">
        <f>IF('Thiết Kế'!B38="","",'Thiết Kế'!B38)</f>
        <v/>
      </c>
      <c r="C434" s="52" t="str">
        <f>IF('Thiết Kế'!C38="","",'Thiết Kế'!C38)</f>
        <v/>
      </c>
      <c r="D434" s="52" t="str">
        <f>IF('Thiết Kế'!D38="","",'Thiết Kế'!D38)</f>
        <v/>
      </c>
      <c r="E434" s="52" t="str">
        <f>IF('Thiết Kế'!E38="","",'Thiết Kế'!E38)</f>
        <v/>
      </c>
      <c r="F434" s="52" t="str">
        <f>IF('Thiết Kế'!F38="","",'Thiết Kế'!F38)</f>
        <v/>
      </c>
      <c r="G434" s="52" t="str">
        <f>IF('Thiết Kế'!G38="","",'Thiết Kế'!G38)</f>
        <v/>
      </c>
      <c r="H434" s="52" t="str">
        <f>IF('Thiết Kế'!J38="","",'Thiết Kế'!J38)</f>
        <v/>
      </c>
      <c r="I434" s="52" t="str">
        <f>IF('Thiết Kế'!M38="","",'Thiết Kế'!M38)</f>
        <v/>
      </c>
      <c r="J434" s="52" t="str">
        <f>IF('Thiết Kế'!R38="","",'Thiết Kế'!R38)</f>
        <v/>
      </c>
      <c r="K434" s="52" t="str">
        <f t="array" ref="K434">IF(COUNTA('Thiết Kế'!T38:AE38)=0,"",INDEX('Thiết Kế'!T38:AE38,1,SUMPRODUCT(MAX(('Thiết Kế'!T38:AE38&lt;&gt;"")*(COLUMN('Thiết Kế'!T38:AE38)-COLUMN('Thiết Kế'!T38)+1)))))</f>
        <v/>
      </c>
      <c r="L434" s="52" t="str">
        <f>IF(AND(G434&lt;&gt;"",G434='Tổng hợp'!$C$4),MAX(L$1:L433)+1,"")</f>
        <v/>
      </c>
    </row>
    <row r="435" ht="15.75" customHeight="1">
      <c r="A435" s="52" t="str">
        <f>IF('Thiết Kế'!C39="","","Thiết Kế")</f>
        <v/>
      </c>
      <c r="B435" s="52" t="str">
        <f>IF('Thiết Kế'!B39="","",'Thiết Kế'!B39)</f>
        <v/>
      </c>
      <c r="C435" s="52" t="str">
        <f>IF('Thiết Kế'!C39="","",'Thiết Kế'!C39)</f>
        <v/>
      </c>
      <c r="D435" s="52" t="str">
        <f>IF('Thiết Kế'!D39="","",'Thiết Kế'!D39)</f>
        <v/>
      </c>
      <c r="E435" s="52" t="str">
        <f>IF('Thiết Kế'!E39="","",'Thiết Kế'!E39)</f>
        <v/>
      </c>
      <c r="F435" s="52" t="str">
        <f>IF('Thiết Kế'!F39="","",'Thiết Kế'!F39)</f>
        <v/>
      </c>
      <c r="G435" s="52" t="str">
        <f>IF('Thiết Kế'!G39="","",'Thiết Kế'!G39)</f>
        <v/>
      </c>
      <c r="H435" s="52" t="str">
        <f>IF('Thiết Kế'!J39="","",'Thiết Kế'!J39)</f>
        <v/>
      </c>
      <c r="I435" s="52" t="str">
        <f>IF('Thiết Kế'!M39="","",'Thiết Kế'!M39)</f>
        <v/>
      </c>
      <c r="J435" s="52" t="str">
        <f>IF('Thiết Kế'!R39="","",'Thiết Kế'!R39)</f>
        <v/>
      </c>
      <c r="K435" s="52" t="str">
        <f t="array" ref="K435">IF(COUNTA('Thiết Kế'!T39:AE39)=0,"",INDEX('Thiết Kế'!T39:AE39,1,SUMPRODUCT(MAX(('Thiết Kế'!T39:AE39&lt;&gt;"")*(COLUMN('Thiết Kế'!T39:AE39)-COLUMN('Thiết Kế'!T39)+1)))))</f>
        <v/>
      </c>
      <c r="L435" s="52" t="str">
        <f>IF(AND(G435&lt;&gt;"",G435='Tổng hợp'!$C$4),MAX(L$1:L434)+1,"")</f>
        <v/>
      </c>
    </row>
    <row r="436" ht="15.75" customHeight="1">
      <c r="A436" s="52" t="str">
        <f>IF('Thiết Kế'!C40="","","Thiết Kế")</f>
        <v/>
      </c>
      <c r="B436" s="52" t="str">
        <f>IF('Thiết Kế'!B40="","",'Thiết Kế'!B40)</f>
        <v/>
      </c>
      <c r="C436" s="52" t="str">
        <f>IF('Thiết Kế'!C40="","",'Thiết Kế'!C40)</f>
        <v/>
      </c>
      <c r="D436" s="52" t="str">
        <f>IF('Thiết Kế'!D40="","",'Thiết Kế'!D40)</f>
        <v/>
      </c>
      <c r="E436" s="52" t="str">
        <f>IF('Thiết Kế'!E40="","",'Thiết Kế'!E40)</f>
        <v/>
      </c>
      <c r="F436" s="52" t="str">
        <f>IF('Thiết Kế'!F40="","",'Thiết Kế'!F40)</f>
        <v/>
      </c>
      <c r="G436" s="52" t="str">
        <f>IF('Thiết Kế'!G40="","",'Thiết Kế'!G40)</f>
        <v/>
      </c>
      <c r="H436" s="52" t="str">
        <f>IF('Thiết Kế'!J40="","",'Thiết Kế'!J40)</f>
        <v/>
      </c>
      <c r="I436" s="52" t="str">
        <f>IF('Thiết Kế'!M40="","",'Thiết Kế'!M40)</f>
        <v/>
      </c>
      <c r="J436" s="52" t="str">
        <f>IF('Thiết Kế'!R40="","",'Thiết Kế'!R40)</f>
        <v/>
      </c>
      <c r="K436" s="52" t="str">
        <f t="array" ref="K436">IF(COUNTA('Thiết Kế'!T40:AE40)=0,"",INDEX('Thiết Kế'!T40:AE40,1,SUMPRODUCT(MAX(('Thiết Kế'!T40:AE40&lt;&gt;"")*(COLUMN('Thiết Kế'!T40:AE40)-COLUMN('Thiết Kế'!T40)+1)))))</f>
        <v/>
      </c>
      <c r="L436" s="52" t="str">
        <f>IF(AND(G436&lt;&gt;"",G436='Tổng hợp'!$C$4),MAX(L$1:L435)+1,"")</f>
        <v/>
      </c>
    </row>
    <row r="437" ht="15.75" customHeight="1">
      <c r="A437" s="52" t="str">
        <f>IF('Thiết Kế'!C41="","","Thiết Kế")</f>
        <v/>
      </c>
      <c r="B437" s="52" t="str">
        <f>IF('Thiết Kế'!B41="","",'Thiết Kế'!B41)</f>
        <v/>
      </c>
      <c r="C437" s="52" t="str">
        <f>IF('Thiết Kế'!C41="","",'Thiết Kế'!C41)</f>
        <v/>
      </c>
      <c r="D437" s="52" t="str">
        <f>IF('Thiết Kế'!D41="","",'Thiết Kế'!D41)</f>
        <v/>
      </c>
      <c r="E437" s="52" t="str">
        <f>IF('Thiết Kế'!E41="","",'Thiết Kế'!E41)</f>
        <v/>
      </c>
      <c r="F437" s="52" t="str">
        <f>IF('Thiết Kế'!F41="","",'Thiết Kế'!F41)</f>
        <v/>
      </c>
      <c r="G437" s="52" t="str">
        <f>IF('Thiết Kế'!G41="","",'Thiết Kế'!G41)</f>
        <v/>
      </c>
      <c r="H437" s="52" t="str">
        <f>IF('Thiết Kế'!J41="","",'Thiết Kế'!J41)</f>
        <v/>
      </c>
      <c r="I437" s="52" t="str">
        <f>IF('Thiết Kế'!M41="","",'Thiết Kế'!M41)</f>
        <v/>
      </c>
      <c r="J437" s="52" t="str">
        <f>IF('Thiết Kế'!R41="","",'Thiết Kế'!R41)</f>
        <v/>
      </c>
      <c r="K437" s="52" t="str">
        <f t="array" ref="K437">IF(COUNTA('Thiết Kế'!T41:AE41)=0,"",INDEX('Thiết Kế'!T41:AE41,1,SUMPRODUCT(MAX(('Thiết Kế'!T41:AE41&lt;&gt;"")*(COLUMN('Thiết Kế'!T41:AE41)-COLUMN('Thiết Kế'!T41)+1)))))</f>
        <v/>
      </c>
      <c r="L437" s="52" t="str">
        <f>IF(AND(G437&lt;&gt;"",G437='Tổng hợp'!$C$4),MAX(L$1:L436)+1,"")</f>
        <v/>
      </c>
    </row>
    <row r="438" ht="15.75" customHeight="1">
      <c r="A438" s="52" t="str">
        <f>IF('Thiết Kế'!C42="","","Thiết Kế")</f>
        <v/>
      </c>
      <c r="B438" s="52" t="str">
        <f>IF('Thiết Kế'!B42="","",'Thiết Kế'!B42)</f>
        <v/>
      </c>
      <c r="C438" s="52" t="str">
        <f>IF('Thiết Kế'!C42="","",'Thiết Kế'!C42)</f>
        <v/>
      </c>
      <c r="D438" s="52" t="str">
        <f>IF('Thiết Kế'!D42="","",'Thiết Kế'!D42)</f>
        <v/>
      </c>
      <c r="E438" s="52" t="str">
        <f>IF('Thiết Kế'!E42="","",'Thiết Kế'!E42)</f>
        <v/>
      </c>
      <c r="F438" s="52" t="str">
        <f>IF('Thiết Kế'!F42="","",'Thiết Kế'!F42)</f>
        <v/>
      </c>
      <c r="G438" s="52" t="str">
        <f>IF('Thiết Kế'!G42="","",'Thiết Kế'!G42)</f>
        <v/>
      </c>
      <c r="H438" s="52" t="str">
        <f>IF('Thiết Kế'!J42="","",'Thiết Kế'!J42)</f>
        <v/>
      </c>
      <c r="I438" s="52" t="str">
        <f>IF('Thiết Kế'!M42="","",'Thiết Kế'!M42)</f>
        <v/>
      </c>
      <c r="J438" s="52" t="str">
        <f>IF('Thiết Kế'!R42="","",'Thiết Kế'!R42)</f>
        <v/>
      </c>
      <c r="K438" s="52" t="str">
        <f t="array" ref="K438">IF(COUNTA('Thiết Kế'!T42:AE42)=0,"",INDEX('Thiết Kế'!T42:AE42,1,SUMPRODUCT(MAX(('Thiết Kế'!T42:AE42&lt;&gt;"")*(COLUMN('Thiết Kế'!T42:AE42)-COLUMN('Thiết Kế'!T42)+1)))))</f>
        <v/>
      </c>
      <c r="L438" s="52" t="str">
        <f>IF(AND(G438&lt;&gt;"",G438='Tổng hợp'!$C$4),MAX(L$1:L437)+1,"")</f>
        <v/>
      </c>
    </row>
    <row r="439" ht="15.75" customHeight="1">
      <c r="A439" s="52" t="str">
        <f>IF('Thiết Kế'!C43="","","Thiết Kế")</f>
        <v/>
      </c>
      <c r="B439" s="52" t="str">
        <f>IF('Thiết Kế'!B43="","",'Thiết Kế'!B43)</f>
        <v/>
      </c>
      <c r="C439" s="52" t="str">
        <f>IF('Thiết Kế'!C43="","",'Thiết Kế'!C43)</f>
        <v/>
      </c>
      <c r="D439" s="52" t="str">
        <f>IF('Thiết Kế'!D43="","",'Thiết Kế'!D43)</f>
        <v/>
      </c>
      <c r="E439" s="52" t="str">
        <f>IF('Thiết Kế'!E43="","",'Thiết Kế'!E43)</f>
        <v/>
      </c>
      <c r="F439" s="52" t="str">
        <f>IF('Thiết Kế'!F43="","",'Thiết Kế'!F43)</f>
        <v/>
      </c>
      <c r="G439" s="52" t="str">
        <f>IF('Thiết Kế'!G43="","",'Thiết Kế'!G43)</f>
        <v/>
      </c>
      <c r="H439" s="52" t="str">
        <f>IF('Thiết Kế'!J43="","",'Thiết Kế'!J43)</f>
        <v/>
      </c>
      <c r="I439" s="52" t="str">
        <f>IF('Thiết Kế'!M43="","",'Thiết Kế'!M43)</f>
        <v/>
      </c>
      <c r="J439" s="52" t="str">
        <f>IF('Thiết Kế'!R43="","",'Thiết Kế'!R43)</f>
        <v/>
      </c>
      <c r="K439" s="52" t="str">
        <f t="array" ref="K439">IF(COUNTA('Thiết Kế'!T43:AE43)=0,"",INDEX('Thiết Kế'!T43:AE43,1,SUMPRODUCT(MAX(('Thiết Kế'!T43:AE43&lt;&gt;"")*(COLUMN('Thiết Kế'!T43:AE43)-COLUMN('Thiết Kế'!T43)+1)))))</f>
        <v/>
      </c>
      <c r="L439" s="52" t="str">
        <f>IF(AND(G439&lt;&gt;"",G439='Tổng hợp'!$C$4),MAX(L$1:L438)+1,"")</f>
        <v/>
      </c>
    </row>
    <row r="440" ht="15.75" customHeight="1">
      <c r="A440" s="52" t="str">
        <f>IF('Thiết Kế'!C44="","","Thiết Kế")</f>
        <v/>
      </c>
      <c r="B440" s="52" t="str">
        <f>IF('Thiết Kế'!B44="","",'Thiết Kế'!B44)</f>
        <v/>
      </c>
      <c r="C440" s="52" t="str">
        <f>IF('Thiết Kế'!C44="","",'Thiết Kế'!C44)</f>
        <v/>
      </c>
      <c r="D440" s="52" t="str">
        <f>IF('Thiết Kế'!D44="","",'Thiết Kế'!D44)</f>
        <v/>
      </c>
      <c r="E440" s="52" t="str">
        <f>IF('Thiết Kế'!E44="","",'Thiết Kế'!E44)</f>
        <v/>
      </c>
      <c r="F440" s="52" t="str">
        <f>IF('Thiết Kế'!F44="","",'Thiết Kế'!F44)</f>
        <v/>
      </c>
      <c r="G440" s="52" t="str">
        <f>IF('Thiết Kế'!G44="","",'Thiết Kế'!G44)</f>
        <v/>
      </c>
      <c r="H440" s="52" t="str">
        <f>IF('Thiết Kế'!J44="","",'Thiết Kế'!J44)</f>
        <v/>
      </c>
      <c r="I440" s="52" t="str">
        <f>IF('Thiết Kế'!M44="","",'Thiết Kế'!M44)</f>
        <v/>
      </c>
      <c r="J440" s="52" t="str">
        <f>IF('Thiết Kế'!R44="","",'Thiết Kế'!R44)</f>
        <v/>
      </c>
      <c r="K440" s="52" t="str">
        <f t="array" ref="K440">IF(COUNTA('Thiết Kế'!T44:AE44)=0,"",INDEX('Thiết Kế'!T44:AE44,1,SUMPRODUCT(MAX(('Thiết Kế'!T44:AE44&lt;&gt;"")*(COLUMN('Thiết Kế'!T44:AE44)-COLUMN('Thiết Kế'!T44)+1)))))</f>
        <v/>
      </c>
      <c r="L440" s="52" t="str">
        <f>IF(AND(G440&lt;&gt;"",G440='Tổng hợp'!$C$4),MAX(L$1:L439)+1,"")</f>
        <v/>
      </c>
    </row>
    <row r="441" ht="15.75" customHeight="1">
      <c r="A441" s="52" t="str">
        <f>IF('Thiết Kế'!C45="","","Thiết Kế")</f>
        <v/>
      </c>
      <c r="B441" s="52" t="str">
        <f>IF('Thiết Kế'!B45="","",'Thiết Kế'!B45)</f>
        <v/>
      </c>
      <c r="C441" s="52" t="str">
        <f>IF('Thiết Kế'!C45="","",'Thiết Kế'!C45)</f>
        <v/>
      </c>
      <c r="D441" s="52" t="str">
        <f>IF('Thiết Kế'!D45="","",'Thiết Kế'!D45)</f>
        <v/>
      </c>
      <c r="E441" s="52" t="str">
        <f>IF('Thiết Kế'!E45="","",'Thiết Kế'!E45)</f>
        <v/>
      </c>
      <c r="F441" s="52" t="str">
        <f>IF('Thiết Kế'!F45="","",'Thiết Kế'!F45)</f>
        <v/>
      </c>
      <c r="G441" s="52" t="str">
        <f>IF('Thiết Kế'!G45="","",'Thiết Kế'!G45)</f>
        <v/>
      </c>
      <c r="H441" s="52" t="str">
        <f>IF('Thiết Kế'!J45="","",'Thiết Kế'!J45)</f>
        <v/>
      </c>
      <c r="I441" s="52" t="str">
        <f>IF('Thiết Kế'!M45="","",'Thiết Kế'!M45)</f>
        <v/>
      </c>
      <c r="J441" s="52" t="str">
        <f>IF('Thiết Kế'!R45="","",'Thiết Kế'!R45)</f>
        <v/>
      </c>
      <c r="K441" s="52" t="str">
        <f t="array" ref="K441">IF(COUNTA('Thiết Kế'!T45:AE45)=0,"",INDEX('Thiết Kế'!T45:AE45,1,SUMPRODUCT(MAX(('Thiết Kế'!T45:AE45&lt;&gt;"")*(COLUMN('Thiết Kế'!T45:AE45)-COLUMN('Thiết Kế'!T45)+1)))))</f>
        <v/>
      </c>
      <c r="L441" s="52" t="str">
        <f>IF(AND(G441&lt;&gt;"",G441='Tổng hợp'!$C$4),MAX(L$1:L440)+1,"")</f>
        <v/>
      </c>
    </row>
    <row r="442" ht="15.75" customHeight="1">
      <c r="A442" s="52" t="str">
        <f>IF('Thiết Kế'!C46="","","Thiết Kế")</f>
        <v/>
      </c>
      <c r="B442" s="52" t="str">
        <f>IF('Thiết Kế'!B46="","",'Thiết Kế'!B46)</f>
        <v/>
      </c>
      <c r="C442" s="52" t="str">
        <f>IF('Thiết Kế'!C46="","",'Thiết Kế'!C46)</f>
        <v/>
      </c>
      <c r="D442" s="52" t="str">
        <f>IF('Thiết Kế'!D46="","",'Thiết Kế'!D46)</f>
        <v/>
      </c>
      <c r="E442" s="52" t="str">
        <f>IF('Thiết Kế'!E46="","",'Thiết Kế'!E46)</f>
        <v/>
      </c>
      <c r="F442" s="52" t="str">
        <f>IF('Thiết Kế'!F46="","",'Thiết Kế'!F46)</f>
        <v/>
      </c>
      <c r="G442" s="52" t="str">
        <f>IF('Thiết Kế'!G46="","",'Thiết Kế'!G46)</f>
        <v/>
      </c>
      <c r="H442" s="52" t="str">
        <f>IF('Thiết Kế'!J46="","",'Thiết Kế'!J46)</f>
        <v/>
      </c>
      <c r="I442" s="52" t="str">
        <f>IF('Thiết Kế'!M46="","",'Thiết Kế'!M46)</f>
        <v/>
      </c>
      <c r="J442" s="52" t="str">
        <f>IF('Thiết Kế'!R46="","",'Thiết Kế'!R46)</f>
        <v/>
      </c>
      <c r="K442" s="52" t="str">
        <f t="array" ref="K442">IF(COUNTA('Thiết Kế'!T46:AE46)=0,"",INDEX('Thiết Kế'!T46:AE46,1,SUMPRODUCT(MAX(('Thiết Kế'!T46:AE46&lt;&gt;"")*(COLUMN('Thiết Kế'!T46:AE46)-COLUMN('Thiết Kế'!T46)+1)))))</f>
        <v/>
      </c>
      <c r="L442" s="52" t="str">
        <f>IF(AND(G442&lt;&gt;"",G442='Tổng hợp'!$C$4),MAX(L$1:L441)+1,"")</f>
        <v/>
      </c>
    </row>
    <row r="443" ht="15.75" customHeight="1">
      <c r="A443" s="52" t="str">
        <f>IF('Thiết Kế'!C47="","","Thiết Kế")</f>
        <v/>
      </c>
      <c r="B443" s="52" t="str">
        <f>IF('Thiết Kế'!B47="","",'Thiết Kế'!B47)</f>
        <v/>
      </c>
      <c r="C443" s="52" t="str">
        <f>IF('Thiết Kế'!C47="","",'Thiết Kế'!C47)</f>
        <v/>
      </c>
      <c r="D443" s="52" t="str">
        <f>IF('Thiết Kế'!D47="","",'Thiết Kế'!D47)</f>
        <v/>
      </c>
      <c r="E443" s="52" t="str">
        <f>IF('Thiết Kế'!E47="","",'Thiết Kế'!E47)</f>
        <v/>
      </c>
      <c r="F443" s="52" t="str">
        <f>IF('Thiết Kế'!F47="","",'Thiết Kế'!F47)</f>
        <v/>
      </c>
      <c r="G443" s="52" t="str">
        <f>IF('Thiết Kế'!G47="","",'Thiết Kế'!G47)</f>
        <v/>
      </c>
      <c r="H443" s="52" t="str">
        <f>IF('Thiết Kế'!J47="","",'Thiết Kế'!J47)</f>
        <v/>
      </c>
      <c r="I443" s="52" t="str">
        <f>IF('Thiết Kế'!M47="","",'Thiết Kế'!M47)</f>
        <v/>
      </c>
      <c r="J443" s="52" t="str">
        <f>IF('Thiết Kế'!R47="","",'Thiết Kế'!R47)</f>
        <v/>
      </c>
      <c r="K443" s="52" t="str">
        <f t="array" ref="K443">IF(COUNTA('Thiết Kế'!T47:AE47)=0,"",INDEX('Thiết Kế'!T47:AE47,1,SUMPRODUCT(MAX(('Thiết Kế'!T47:AE47&lt;&gt;"")*(COLUMN('Thiết Kế'!T47:AE47)-COLUMN('Thiết Kế'!T47)+1)))))</f>
        <v/>
      </c>
      <c r="L443" s="52" t="str">
        <f>IF(AND(G443&lt;&gt;"",G443='Tổng hợp'!$C$4),MAX(L$1:L442)+1,"")</f>
        <v/>
      </c>
    </row>
    <row r="444" ht="15.75" customHeight="1">
      <c r="A444" s="52" t="str">
        <f>IF('Thiết Kế'!C48="","","Thiết Kế")</f>
        <v/>
      </c>
      <c r="B444" s="52" t="str">
        <f>IF('Thiết Kế'!B48="","",'Thiết Kế'!B48)</f>
        <v/>
      </c>
      <c r="C444" s="52" t="str">
        <f>IF('Thiết Kế'!C48="","",'Thiết Kế'!C48)</f>
        <v/>
      </c>
      <c r="D444" s="52" t="str">
        <f>IF('Thiết Kế'!D48="","",'Thiết Kế'!D48)</f>
        <v/>
      </c>
      <c r="E444" s="52" t="str">
        <f>IF('Thiết Kế'!E48="","",'Thiết Kế'!E48)</f>
        <v/>
      </c>
      <c r="F444" s="52" t="str">
        <f>IF('Thiết Kế'!F48="","",'Thiết Kế'!F48)</f>
        <v/>
      </c>
      <c r="G444" s="52" t="str">
        <f>IF('Thiết Kế'!G48="","",'Thiết Kế'!G48)</f>
        <v/>
      </c>
      <c r="H444" s="52" t="str">
        <f>IF('Thiết Kế'!J48="","",'Thiết Kế'!J48)</f>
        <v/>
      </c>
      <c r="I444" s="52" t="str">
        <f>IF('Thiết Kế'!M48="","",'Thiết Kế'!M48)</f>
        <v/>
      </c>
      <c r="J444" s="52" t="str">
        <f>IF('Thiết Kế'!R48="","",'Thiết Kế'!R48)</f>
        <v/>
      </c>
      <c r="K444" s="52" t="str">
        <f t="array" ref="K444">IF(COUNTA('Thiết Kế'!T48:AE48)=0,"",INDEX('Thiết Kế'!T48:AE48,1,SUMPRODUCT(MAX(('Thiết Kế'!T48:AE48&lt;&gt;"")*(COLUMN('Thiết Kế'!T48:AE48)-COLUMN('Thiết Kế'!T48)+1)))))</f>
        <v/>
      </c>
      <c r="L444" s="52" t="str">
        <f>IF(AND(G444&lt;&gt;"",G444='Tổng hợp'!$C$4),MAX(L$1:L443)+1,"")</f>
        <v/>
      </c>
    </row>
    <row r="445" ht="15.75" customHeight="1">
      <c r="A445" s="52" t="str">
        <f>IF('Thiết Kế'!C49="","","Thiết Kế")</f>
        <v/>
      </c>
      <c r="B445" s="52" t="str">
        <f>IF('Thiết Kế'!B49="","",'Thiết Kế'!B49)</f>
        <v/>
      </c>
      <c r="C445" s="52" t="str">
        <f>IF('Thiết Kế'!C49="","",'Thiết Kế'!C49)</f>
        <v/>
      </c>
      <c r="D445" s="52" t="str">
        <f>IF('Thiết Kế'!D49="","",'Thiết Kế'!D49)</f>
        <v/>
      </c>
      <c r="E445" s="52" t="str">
        <f>IF('Thiết Kế'!E49="","",'Thiết Kế'!E49)</f>
        <v/>
      </c>
      <c r="F445" s="52" t="str">
        <f>IF('Thiết Kế'!F49="","",'Thiết Kế'!F49)</f>
        <v/>
      </c>
      <c r="G445" s="52" t="str">
        <f>IF('Thiết Kế'!G49="","",'Thiết Kế'!G49)</f>
        <v/>
      </c>
      <c r="H445" s="52" t="str">
        <f>IF('Thiết Kế'!J49="","",'Thiết Kế'!J49)</f>
        <v/>
      </c>
      <c r="I445" s="52" t="str">
        <f>IF('Thiết Kế'!M49="","",'Thiết Kế'!M49)</f>
        <v/>
      </c>
      <c r="J445" s="52" t="str">
        <f>IF('Thiết Kế'!R49="","",'Thiết Kế'!R49)</f>
        <v/>
      </c>
      <c r="K445" s="52" t="str">
        <f t="array" ref="K445">IF(COUNTA('Thiết Kế'!T49:AE49)=0,"",INDEX('Thiết Kế'!T49:AE49,1,SUMPRODUCT(MAX(('Thiết Kế'!T49:AE49&lt;&gt;"")*(COLUMN('Thiết Kế'!T49:AE49)-COLUMN('Thiết Kế'!T49)+1)))))</f>
        <v/>
      </c>
      <c r="L445" s="52" t="str">
        <f>IF(AND(G445&lt;&gt;"",G445='Tổng hợp'!$C$4),MAX(L$1:L444)+1,"")</f>
        <v/>
      </c>
    </row>
    <row r="446" ht="15.75" customHeight="1">
      <c r="A446" s="52" t="str">
        <f>IF('Thiết Kế'!C50="","","Thiết Kế")</f>
        <v/>
      </c>
      <c r="B446" s="52" t="str">
        <f>IF('Thiết Kế'!B50="","",'Thiết Kế'!B50)</f>
        <v/>
      </c>
      <c r="C446" s="52" t="str">
        <f>IF('Thiết Kế'!C50="","",'Thiết Kế'!C50)</f>
        <v/>
      </c>
      <c r="D446" s="52" t="str">
        <f>IF('Thiết Kế'!D50="","",'Thiết Kế'!D50)</f>
        <v/>
      </c>
      <c r="E446" s="52" t="str">
        <f>IF('Thiết Kế'!E50="","",'Thiết Kế'!E50)</f>
        <v/>
      </c>
      <c r="F446" s="52" t="str">
        <f>IF('Thiết Kế'!F50="","",'Thiết Kế'!F50)</f>
        <v/>
      </c>
      <c r="G446" s="52" t="str">
        <f>IF('Thiết Kế'!G50="","",'Thiết Kế'!G50)</f>
        <v/>
      </c>
      <c r="H446" s="52" t="str">
        <f>IF('Thiết Kế'!J50="","",'Thiết Kế'!J50)</f>
        <v/>
      </c>
      <c r="I446" s="52" t="str">
        <f>IF('Thiết Kế'!M50="","",'Thiết Kế'!M50)</f>
        <v/>
      </c>
      <c r="J446" s="52" t="str">
        <f>IF('Thiết Kế'!R50="","",'Thiết Kế'!R50)</f>
        <v/>
      </c>
      <c r="K446" s="52" t="str">
        <f t="array" ref="K446">IF(COUNTA('Thiết Kế'!T50:AE50)=0,"",INDEX('Thiết Kế'!T50:AE50,1,SUMPRODUCT(MAX(('Thiết Kế'!T50:AE50&lt;&gt;"")*(COLUMN('Thiết Kế'!T50:AE50)-COLUMN('Thiết Kế'!T50)+1)))))</f>
        <v/>
      </c>
      <c r="L446" s="52" t="str">
        <f>IF(AND(G446&lt;&gt;"",G446='Tổng hợp'!$C$4),MAX(L$1:L445)+1,"")</f>
        <v/>
      </c>
    </row>
    <row r="447" ht="15.75" customHeight="1">
      <c r="A447" s="52" t="str">
        <f>IF('Thiết Kế'!C51="","","Thiết Kế")</f>
        <v/>
      </c>
      <c r="B447" s="52" t="str">
        <f>IF('Thiết Kế'!B51="","",'Thiết Kế'!B51)</f>
        <v/>
      </c>
      <c r="C447" s="52" t="str">
        <f>IF('Thiết Kế'!C51="","",'Thiết Kế'!C51)</f>
        <v/>
      </c>
      <c r="D447" s="52" t="str">
        <f>IF('Thiết Kế'!D51="","",'Thiết Kế'!D51)</f>
        <v/>
      </c>
      <c r="E447" s="52" t="str">
        <f>IF('Thiết Kế'!E51="","",'Thiết Kế'!E51)</f>
        <v/>
      </c>
      <c r="F447" s="52" t="str">
        <f>IF('Thiết Kế'!F51="","",'Thiết Kế'!F51)</f>
        <v/>
      </c>
      <c r="G447" s="52" t="str">
        <f>IF('Thiết Kế'!G51="","",'Thiết Kế'!G51)</f>
        <v/>
      </c>
      <c r="H447" s="52" t="str">
        <f>IF('Thiết Kế'!J51="","",'Thiết Kế'!J51)</f>
        <v/>
      </c>
      <c r="I447" s="52" t="str">
        <f>IF('Thiết Kế'!M51="","",'Thiết Kế'!M51)</f>
        <v/>
      </c>
      <c r="J447" s="52" t="str">
        <f>IF('Thiết Kế'!R51="","",'Thiết Kế'!R51)</f>
        <v/>
      </c>
      <c r="K447" s="52" t="str">
        <f t="array" ref="K447">IF(COUNTA('Thiết Kế'!T51:AE51)=0,"",INDEX('Thiết Kế'!T51:AE51,1,SUMPRODUCT(MAX(('Thiết Kế'!T51:AE51&lt;&gt;"")*(COLUMN('Thiết Kế'!T51:AE51)-COLUMN('Thiết Kế'!T51)+1)))))</f>
        <v/>
      </c>
      <c r="L447" s="52" t="str">
        <f>IF(AND(G447&lt;&gt;"",G447='Tổng hợp'!$C$4),MAX(L$1:L446)+1,"")</f>
        <v/>
      </c>
    </row>
    <row r="448" ht="15.75" customHeight="1">
      <c r="A448" s="52" t="str">
        <f>IF('Thiết Kế'!C52="","","Thiết Kế")</f>
        <v/>
      </c>
      <c r="B448" s="52" t="str">
        <f>IF('Thiết Kế'!B52="","",'Thiết Kế'!B52)</f>
        <v/>
      </c>
      <c r="C448" s="52" t="str">
        <f>IF('Thiết Kế'!C52="","",'Thiết Kế'!C52)</f>
        <v/>
      </c>
      <c r="D448" s="52" t="str">
        <f>IF('Thiết Kế'!D52="","",'Thiết Kế'!D52)</f>
        <v/>
      </c>
      <c r="E448" s="52" t="str">
        <f>IF('Thiết Kế'!E52="","",'Thiết Kế'!E52)</f>
        <v/>
      </c>
      <c r="F448" s="52" t="str">
        <f>IF('Thiết Kế'!F52="","",'Thiết Kế'!F52)</f>
        <v/>
      </c>
      <c r="G448" s="52" t="str">
        <f>IF('Thiết Kế'!G52="","",'Thiết Kế'!G52)</f>
        <v/>
      </c>
      <c r="H448" s="52" t="str">
        <f>IF('Thiết Kế'!J52="","",'Thiết Kế'!J52)</f>
        <v/>
      </c>
      <c r="I448" s="52" t="str">
        <f>IF('Thiết Kế'!M52="","",'Thiết Kế'!M52)</f>
        <v/>
      </c>
      <c r="J448" s="52" t="str">
        <f>IF('Thiết Kế'!R52="","",'Thiết Kế'!R52)</f>
        <v/>
      </c>
      <c r="K448" s="52" t="str">
        <f t="array" ref="K448">IF(COUNTA('Thiết Kế'!T52:AE52)=0,"",INDEX('Thiết Kế'!T52:AE52,1,SUMPRODUCT(MAX(('Thiết Kế'!T52:AE52&lt;&gt;"")*(COLUMN('Thiết Kế'!T52:AE52)-COLUMN('Thiết Kế'!T52)+1)))))</f>
        <v/>
      </c>
      <c r="L448" s="52" t="str">
        <f>IF(AND(G448&lt;&gt;"",G448='Tổng hợp'!$C$4),MAX(L$1:L447)+1,"")</f>
        <v/>
      </c>
    </row>
    <row r="449" ht="15.75" customHeight="1">
      <c r="A449" s="52" t="str">
        <f>IF('Thiết Kế'!C53="","","Thiết Kế")</f>
        <v/>
      </c>
      <c r="B449" s="52" t="str">
        <f>IF('Thiết Kế'!B53="","",'Thiết Kế'!B53)</f>
        <v/>
      </c>
      <c r="C449" s="52" t="str">
        <f>IF('Thiết Kế'!C53="","",'Thiết Kế'!C53)</f>
        <v/>
      </c>
      <c r="D449" s="52" t="str">
        <f>IF('Thiết Kế'!D53="","",'Thiết Kế'!D53)</f>
        <v/>
      </c>
      <c r="E449" s="52" t="str">
        <f>IF('Thiết Kế'!E53="","",'Thiết Kế'!E53)</f>
        <v/>
      </c>
      <c r="F449" s="52" t="str">
        <f>IF('Thiết Kế'!F53="","",'Thiết Kế'!F53)</f>
        <v/>
      </c>
      <c r="G449" s="52" t="str">
        <f>IF('Thiết Kế'!G53="","",'Thiết Kế'!G53)</f>
        <v/>
      </c>
      <c r="H449" s="52" t="str">
        <f>IF('Thiết Kế'!J53="","",'Thiết Kế'!J53)</f>
        <v/>
      </c>
      <c r="I449" s="52" t="str">
        <f>IF('Thiết Kế'!M53="","",'Thiết Kế'!M53)</f>
        <v/>
      </c>
      <c r="J449" s="52" t="str">
        <f>IF('Thiết Kế'!R53="","",'Thiết Kế'!R53)</f>
        <v/>
      </c>
      <c r="K449" s="52" t="str">
        <f t="array" ref="K449">IF(COUNTA('Thiết Kế'!T53:AE53)=0,"",INDEX('Thiết Kế'!T53:AE53,1,SUMPRODUCT(MAX(('Thiết Kế'!T53:AE53&lt;&gt;"")*(COLUMN('Thiết Kế'!T53:AE53)-COLUMN('Thiết Kế'!T53)+1)))))</f>
        <v/>
      </c>
      <c r="L449" s="52" t="str">
        <f>IF(AND(G449&lt;&gt;"",G449='Tổng hợp'!$C$4),MAX(L$1:L448)+1,"")</f>
        <v/>
      </c>
    </row>
    <row r="450" ht="15.75" customHeight="1">
      <c r="A450" s="52" t="str">
        <f>IF('Thiết Kế'!C54="","","Thiết Kế")</f>
        <v/>
      </c>
      <c r="B450" s="52" t="str">
        <f>IF('Thiết Kế'!B54="","",'Thiết Kế'!B54)</f>
        <v/>
      </c>
      <c r="C450" s="52" t="str">
        <f>IF('Thiết Kế'!C54="","",'Thiết Kế'!C54)</f>
        <v/>
      </c>
      <c r="D450" s="52" t="str">
        <f>IF('Thiết Kế'!D54="","",'Thiết Kế'!D54)</f>
        <v/>
      </c>
      <c r="E450" s="52" t="str">
        <f>IF('Thiết Kế'!E54="","",'Thiết Kế'!E54)</f>
        <v/>
      </c>
      <c r="F450" s="52" t="str">
        <f>IF('Thiết Kế'!F54="","",'Thiết Kế'!F54)</f>
        <v/>
      </c>
      <c r="G450" s="52" t="str">
        <f>IF('Thiết Kế'!G54="","",'Thiết Kế'!G54)</f>
        <v/>
      </c>
      <c r="H450" s="52" t="str">
        <f>IF('Thiết Kế'!J54="","",'Thiết Kế'!J54)</f>
        <v/>
      </c>
      <c r="I450" s="52" t="str">
        <f>IF('Thiết Kế'!M54="","",'Thiết Kế'!M54)</f>
        <v/>
      </c>
      <c r="J450" s="52" t="str">
        <f>IF('Thiết Kế'!R54="","",'Thiết Kế'!R54)</f>
        <v/>
      </c>
      <c r="K450" s="52" t="str">
        <f t="array" ref="K450">IF(COUNTA('Thiết Kế'!T54:AE54)=0,"",INDEX('Thiết Kế'!T54:AE54,1,SUMPRODUCT(MAX(('Thiết Kế'!T54:AE54&lt;&gt;"")*(COLUMN('Thiết Kế'!T54:AE54)-COLUMN('Thiết Kế'!T54)+1)))))</f>
        <v/>
      </c>
      <c r="L450" s="52" t="str">
        <f>IF(AND(G450&lt;&gt;"",G450='Tổng hợp'!$C$4),MAX(L$1:L449)+1,"")</f>
        <v/>
      </c>
    </row>
    <row r="451" ht="15.75" customHeight="1">
      <c r="A451" s="52" t="str">
        <f>IF('Thiết Kế'!C55="","","Thiết Kế")</f>
        <v/>
      </c>
      <c r="B451" s="52" t="str">
        <f>IF('Thiết Kế'!B55="","",'Thiết Kế'!B55)</f>
        <v/>
      </c>
      <c r="C451" s="52" t="str">
        <f>IF('Thiết Kế'!C55="","",'Thiết Kế'!C55)</f>
        <v/>
      </c>
      <c r="D451" s="52" t="str">
        <f>IF('Thiết Kế'!D55="","",'Thiết Kế'!D55)</f>
        <v/>
      </c>
      <c r="E451" s="52" t="str">
        <f>IF('Thiết Kế'!E55="","",'Thiết Kế'!E55)</f>
        <v/>
      </c>
      <c r="F451" s="52" t="str">
        <f>IF('Thiết Kế'!F55="","",'Thiết Kế'!F55)</f>
        <v/>
      </c>
      <c r="G451" s="52" t="str">
        <f>IF('Thiết Kế'!G55="","",'Thiết Kế'!G55)</f>
        <v/>
      </c>
      <c r="H451" s="52" t="str">
        <f>IF('Thiết Kế'!J55="","",'Thiết Kế'!J55)</f>
        <v/>
      </c>
      <c r="I451" s="52" t="str">
        <f>IF('Thiết Kế'!M55="","",'Thiết Kế'!M55)</f>
        <v/>
      </c>
      <c r="J451" s="52" t="str">
        <f>IF('Thiết Kế'!R55="","",'Thiết Kế'!R55)</f>
        <v/>
      </c>
      <c r="K451" s="52" t="str">
        <f t="array" ref="K451">IF(COUNTA('Thiết Kế'!T55:AE55)=0,"",INDEX('Thiết Kế'!T55:AE55,1,SUMPRODUCT(MAX(('Thiết Kế'!T55:AE55&lt;&gt;"")*(COLUMN('Thiết Kế'!T55:AE55)-COLUMN('Thiết Kế'!T55)+1)))))</f>
        <v/>
      </c>
      <c r="L451" s="52" t="str">
        <f>IF(AND(G451&lt;&gt;"",G451='Tổng hợp'!$C$4),MAX(L$1:L450)+1,"")</f>
        <v/>
      </c>
    </row>
    <row r="452" ht="15.75" customHeight="1">
      <c r="A452" s="52" t="str">
        <f>IF('Thiết Kế'!C56="","","Thiết Kế")</f>
        <v/>
      </c>
      <c r="B452" s="52" t="str">
        <f>IF('Thiết Kế'!B56="","",'Thiết Kế'!B56)</f>
        <v/>
      </c>
      <c r="C452" s="52" t="str">
        <f>IF('Thiết Kế'!C56="","",'Thiết Kế'!C56)</f>
        <v/>
      </c>
      <c r="D452" s="52" t="str">
        <f>IF('Thiết Kế'!D56="","",'Thiết Kế'!D56)</f>
        <v/>
      </c>
      <c r="E452" s="52" t="str">
        <f>IF('Thiết Kế'!E56="","",'Thiết Kế'!E56)</f>
        <v/>
      </c>
      <c r="F452" s="52" t="str">
        <f>IF('Thiết Kế'!F56="","",'Thiết Kế'!F56)</f>
        <v/>
      </c>
      <c r="G452" s="52" t="str">
        <f>IF('Thiết Kế'!G56="","",'Thiết Kế'!G56)</f>
        <v/>
      </c>
      <c r="H452" s="52" t="str">
        <f>IF('Thiết Kế'!J56="","",'Thiết Kế'!J56)</f>
        <v/>
      </c>
      <c r="I452" s="52" t="str">
        <f>IF('Thiết Kế'!M56="","",'Thiết Kế'!M56)</f>
        <v/>
      </c>
      <c r="J452" s="52" t="str">
        <f>IF('Thiết Kế'!R56="","",'Thiết Kế'!R56)</f>
        <v/>
      </c>
      <c r="K452" s="52" t="str">
        <f t="array" ref="K452">IF(COUNTA('Thiết Kế'!T56:AE56)=0,"",INDEX('Thiết Kế'!T56:AE56,1,SUMPRODUCT(MAX(('Thiết Kế'!T56:AE56&lt;&gt;"")*(COLUMN('Thiết Kế'!T56:AE56)-COLUMN('Thiết Kế'!T56)+1)))))</f>
        <v/>
      </c>
      <c r="L452" s="52" t="str">
        <f>IF(AND(G452&lt;&gt;"",G452='Tổng hợp'!$C$4),MAX(L$1:L451)+1,"")</f>
        <v/>
      </c>
    </row>
    <row r="453" ht="15.75" customHeight="1">
      <c r="A453" s="52" t="str">
        <f>IF('Thiết Kế'!C57="","","Thiết Kế")</f>
        <v/>
      </c>
      <c r="B453" s="52" t="str">
        <f>IF('Thiết Kế'!B57="","",'Thiết Kế'!B57)</f>
        <v/>
      </c>
      <c r="C453" s="52" t="str">
        <f>IF('Thiết Kế'!C57="","",'Thiết Kế'!C57)</f>
        <v/>
      </c>
      <c r="D453" s="52" t="str">
        <f>IF('Thiết Kế'!D57="","",'Thiết Kế'!D57)</f>
        <v/>
      </c>
      <c r="E453" s="52" t="str">
        <f>IF('Thiết Kế'!E57="","",'Thiết Kế'!E57)</f>
        <v/>
      </c>
      <c r="F453" s="52" t="str">
        <f>IF('Thiết Kế'!F57="","",'Thiết Kế'!F57)</f>
        <v/>
      </c>
      <c r="G453" s="52" t="str">
        <f>IF('Thiết Kế'!G57="","",'Thiết Kế'!G57)</f>
        <v/>
      </c>
      <c r="H453" s="52" t="str">
        <f>IF('Thiết Kế'!J57="","",'Thiết Kế'!J57)</f>
        <v/>
      </c>
      <c r="I453" s="52" t="str">
        <f>IF('Thiết Kế'!M57="","",'Thiết Kế'!M57)</f>
        <v/>
      </c>
      <c r="J453" s="52" t="str">
        <f>IF('Thiết Kế'!R57="","",'Thiết Kế'!R57)</f>
        <v/>
      </c>
      <c r="K453" s="52" t="str">
        <f t="array" ref="K453">IF(COUNTA('Thiết Kế'!T57:AE57)=0,"",INDEX('Thiết Kế'!T57:AE57,1,SUMPRODUCT(MAX(('Thiết Kế'!T57:AE57&lt;&gt;"")*(COLUMN('Thiết Kế'!T57:AE57)-COLUMN('Thiết Kế'!T57)+1)))))</f>
        <v/>
      </c>
      <c r="L453" s="52" t="str">
        <f>IF(AND(G453&lt;&gt;"",G453='Tổng hợp'!$C$4),MAX(L$1:L452)+1,"")</f>
        <v/>
      </c>
    </row>
    <row r="454" ht="15.75" customHeight="1">
      <c r="A454" s="52" t="str">
        <f>IF('Thiết Kế'!C58="","","Thiết Kế")</f>
        <v/>
      </c>
      <c r="B454" s="52" t="str">
        <f>IF('Thiết Kế'!B58="","",'Thiết Kế'!B58)</f>
        <v/>
      </c>
      <c r="C454" s="52" t="str">
        <f>IF('Thiết Kế'!C58="","",'Thiết Kế'!C58)</f>
        <v/>
      </c>
      <c r="D454" s="52" t="str">
        <f>IF('Thiết Kế'!D58="","",'Thiết Kế'!D58)</f>
        <v/>
      </c>
      <c r="E454" s="52" t="str">
        <f>IF('Thiết Kế'!E58="","",'Thiết Kế'!E58)</f>
        <v/>
      </c>
      <c r="F454" s="52" t="str">
        <f>IF('Thiết Kế'!F58="","",'Thiết Kế'!F58)</f>
        <v/>
      </c>
      <c r="G454" s="52" t="str">
        <f>IF('Thiết Kế'!G58="","",'Thiết Kế'!G58)</f>
        <v/>
      </c>
      <c r="H454" s="52" t="str">
        <f>IF('Thiết Kế'!J58="","",'Thiết Kế'!J58)</f>
        <v/>
      </c>
      <c r="I454" s="52" t="str">
        <f>IF('Thiết Kế'!M58="","",'Thiết Kế'!M58)</f>
        <v/>
      </c>
      <c r="J454" s="52" t="str">
        <f>IF('Thiết Kế'!R58="","",'Thiết Kế'!R58)</f>
        <v/>
      </c>
      <c r="K454" s="52" t="str">
        <f t="array" ref="K454">IF(COUNTA('Thiết Kế'!T58:AE58)=0,"",INDEX('Thiết Kế'!T58:AE58,1,SUMPRODUCT(MAX(('Thiết Kế'!T58:AE58&lt;&gt;"")*(COLUMN('Thiết Kế'!T58:AE58)-COLUMN('Thiết Kế'!T58)+1)))))</f>
        <v/>
      </c>
      <c r="L454" s="52" t="str">
        <f>IF(AND(G454&lt;&gt;"",G454='Tổng hợp'!$C$4),MAX(L$1:L453)+1,"")</f>
        <v/>
      </c>
    </row>
    <row r="455" ht="15.75" customHeight="1">
      <c r="A455" s="52" t="str">
        <f>IF('Thiết Kế'!C59="","","Thiết Kế")</f>
        <v/>
      </c>
      <c r="B455" s="52" t="str">
        <f>IF('Thiết Kế'!B59="","",'Thiết Kế'!B59)</f>
        <v/>
      </c>
      <c r="C455" s="52" t="str">
        <f>IF('Thiết Kế'!C59="","",'Thiết Kế'!C59)</f>
        <v/>
      </c>
      <c r="D455" s="52" t="str">
        <f>IF('Thiết Kế'!D59="","",'Thiết Kế'!D59)</f>
        <v/>
      </c>
      <c r="E455" s="52" t="str">
        <f>IF('Thiết Kế'!E59="","",'Thiết Kế'!E59)</f>
        <v/>
      </c>
      <c r="F455" s="52" t="str">
        <f>IF('Thiết Kế'!F59="","",'Thiết Kế'!F59)</f>
        <v/>
      </c>
      <c r="G455" s="52" t="str">
        <f>IF('Thiết Kế'!G59="","",'Thiết Kế'!G59)</f>
        <v/>
      </c>
      <c r="H455" s="52" t="str">
        <f>IF('Thiết Kế'!J59="","",'Thiết Kế'!J59)</f>
        <v/>
      </c>
      <c r="I455" s="52" t="str">
        <f>IF('Thiết Kế'!M59="","",'Thiết Kế'!M59)</f>
        <v/>
      </c>
      <c r="J455" s="52" t="str">
        <f>IF('Thiết Kế'!R59="","",'Thiết Kế'!R59)</f>
        <v/>
      </c>
      <c r="K455" s="52" t="str">
        <f t="array" ref="K455">IF(COUNTA('Thiết Kế'!T59:AE59)=0,"",INDEX('Thiết Kế'!T59:AE59,1,SUMPRODUCT(MAX(('Thiết Kế'!T59:AE59&lt;&gt;"")*(COLUMN('Thiết Kế'!T59:AE59)-COLUMN('Thiết Kế'!T59)+1)))))</f>
        <v/>
      </c>
      <c r="L455" s="52" t="str">
        <f>IF(AND(G455&lt;&gt;"",G455='Tổng hợp'!$C$4),MAX(L$1:L454)+1,"")</f>
        <v/>
      </c>
    </row>
    <row r="456" ht="15.75" customHeight="1">
      <c r="A456" s="52" t="str">
        <f>IF('Thiết Kế'!C60="","","Thiết Kế")</f>
        <v/>
      </c>
      <c r="B456" s="52" t="str">
        <f>IF('Thiết Kế'!B60="","",'Thiết Kế'!B60)</f>
        <v/>
      </c>
      <c r="C456" s="52" t="str">
        <f>IF('Thiết Kế'!C60="","",'Thiết Kế'!C60)</f>
        <v/>
      </c>
      <c r="D456" s="52" t="str">
        <f>IF('Thiết Kế'!D60="","",'Thiết Kế'!D60)</f>
        <v/>
      </c>
      <c r="E456" s="52" t="str">
        <f>IF('Thiết Kế'!E60="","",'Thiết Kế'!E60)</f>
        <v/>
      </c>
      <c r="F456" s="52" t="str">
        <f>IF('Thiết Kế'!F60="","",'Thiết Kế'!F60)</f>
        <v/>
      </c>
      <c r="G456" s="52" t="str">
        <f>IF('Thiết Kế'!G60="","",'Thiết Kế'!G60)</f>
        <v/>
      </c>
      <c r="H456" s="52" t="str">
        <f>IF('Thiết Kế'!J60="","",'Thiết Kế'!J60)</f>
        <v/>
      </c>
      <c r="I456" s="52" t="str">
        <f>IF('Thiết Kế'!M60="","",'Thiết Kế'!M60)</f>
        <v/>
      </c>
      <c r="J456" s="52" t="str">
        <f>IF('Thiết Kế'!R60="","",'Thiết Kế'!R60)</f>
        <v/>
      </c>
      <c r="K456" s="52" t="str">
        <f t="array" ref="K456">IF(COUNTA('Thiết Kế'!T60:AE60)=0,"",INDEX('Thiết Kế'!T60:AE60,1,SUMPRODUCT(MAX(('Thiết Kế'!T60:AE60&lt;&gt;"")*(COLUMN('Thiết Kế'!T60:AE60)-COLUMN('Thiết Kế'!T60)+1)))))</f>
        <v/>
      </c>
      <c r="L456" s="52" t="str">
        <f>IF(AND(G456&lt;&gt;"",G456='Tổng hợp'!$C$4),MAX(L$1:L455)+1,"")</f>
        <v/>
      </c>
    </row>
    <row r="457" ht="15.75" customHeight="1">
      <c r="A457" s="52" t="str">
        <f>IF('Thiết Kế'!C61="","","Thiết Kế")</f>
        <v/>
      </c>
      <c r="B457" s="52" t="str">
        <f>IF('Thiết Kế'!B61="","",'Thiết Kế'!B61)</f>
        <v/>
      </c>
      <c r="C457" s="52" t="str">
        <f>IF('Thiết Kế'!C61="","",'Thiết Kế'!C61)</f>
        <v/>
      </c>
      <c r="D457" s="52" t="str">
        <f>IF('Thiết Kế'!D61="","",'Thiết Kế'!D61)</f>
        <v/>
      </c>
      <c r="E457" s="52" t="str">
        <f>IF('Thiết Kế'!E61="","",'Thiết Kế'!E61)</f>
        <v/>
      </c>
      <c r="F457" s="52" t="str">
        <f>IF('Thiết Kế'!F61="","",'Thiết Kế'!F61)</f>
        <v/>
      </c>
      <c r="G457" s="52" t="str">
        <f>IF('Thiết Kế'!G61="","",'Thiết Kế'!G61)</f>
        <v/>
      </c>
      <c r="H457" s="52" t="str">
        <f>IF('Thiết Kế'!J61="","",'Thiết Kế'!J61)</f>
        <v/>
      </c>
      <c r="I457" s="52" t="str">
        <f>IF('Thiết Kế'!M61="","",'Thiết Kế'!M61)</f>
        <v/>
      </c>
      <c r="J457" s="52" t="str">
        <f>IF('Thiết Kế'!R61="","",'Thiết Kế'!R61)</f>
        <v/>
      </c>
      <c r="K457" s="52" t="str">
        <f t="array" ref="K457">IF(COUNTA('Thiết Kế'!T61:AE61)=0,"",INDEX('Thiết Kế'!T61:AE61,1,SUMPRODUCT(MAX(('Thiết Kế'!T61:AE61&lt;&gt;"")*(COLUMN('Thiết Kế'!T61:AE61)-COLUMN('Thiết Kế'!T61)+1)))))</f>
        <v/>
      </c>
      <c r="L457" s="52" t="str">
        <f>IF(AND(G457&lt;&gt;"",G457='Tổng hợp'!$C$4),MAX(L$1:L456)+1,"")</f>
        <v/>
      </c>
    </row>
    <row r="458" ht="15.75" customHeight="1">
      <c r="A458" s="52" t="str">
        <f>IF('Thiết Kế'!C62="","","Thiết Kế")</f>
        <v/>
      </c>
      <c r="B458" s="52" t="str">
        <f>IF('Thiết Kế'!B62="","",'Thiết Kế'!B62)</f>
        <v/>
      </c>
      <c r="C458" s="52" t="str">
        <f>IF('Thiết Kế'!C62="","",'Thiết Kế'!C62)</f>
        <v/>
      </c>
      <c r="D458" s="52" t="str">
        <f>IF('Thiết Kế'!D62="","",'Thiết Kế'!D62)</f>
        <v/>
      </c>
      <c r="E458" s="52" t="str">
        <f>IF('Thiết Kế'!E62="","",'Thiết Kế'!E62)</f>
        <v/>
      </c>
      <c r="F458" s="52" t="str">
        <f>IF('Thiết Kế'!F62="","",'Thiết Kế'!F62)</f>
        <v/>
      </c>
      <c r="G458" s="52" t="str">
        <f>IF('Thiết Kế'!G62="","",'Thiết Kế'!G62)</f>
        <v/>
      </c>
      <c r="H458" s="52" t="str">
        <f>IF('Thiết Kế'!J62="","",'Thiết Kế'!J62)</f>
        <v/>
      </c>
      <c r="I458" s="52" t="str">
        <f>IF('Thiết Kế'!M62="","",'Thiết Kế'!M62)</f>
        <v/>
      </c>
      <c r="J458" s="52" t="str">
        <f>IF('Thiết Kế'!R62="","",'Thiết Kế'!R62)</f>
        <v/>
      </c>
      <c r="K458" s="52" t="str">
        <f t="array" ref="K458">IF(COUNTA('Thiết Kế'!T62:AE62)=0,"",INDEX('Thiết Kế'!T62:AE62,1,SUMPRODUCT(MAX(('Thiết Kế'!T62:AE62&lt;&gt;"")*(COLUMN('Thiết Kế'!T62:AE62)-COLUMN('Thiết Kế'!T62)+1)))))</f>
        <v/>
      </c>
      <c r="L458" s="52" t="str">
        <f>IF(AND(G458&lt;&gt;"",G458='Tổng hợp'!$C$4),MAX(L$1:L457)+1,"")</f>
        <v/>
      </c>
    </row>
    <row r="459" ht="15.75" customHeight="1">
      <c r="A459" s="52" t="str">
        <f>IF('Thiết Kế'!C63="","","Thiết Kế")</f>
        <v/>
      </c>
      <c r="B459" s="52" t="str">
        <f>IF('Thiết Kế'!B63="","",'Thiết Kế'!B63)</f>
        <v/>
      </c>
      <c r="C459" s="52" t="str">
        <f>IF('Thiết Kế'!C63="","",'Thiết Kế'!C63)</f>
        <v/>
      </c>
      <c r="D459" s="52" t="str">
        <f>IF('Thiết Kế'!D63="","",'Thiết Kế'!D63)</f>
        <v/>
      </c>
      <c r="E459" s="52" t="str">
        <f>IF('Thiết Kế'!E63="","",'Thiết Kế'!E63)</f>
        <v/>
      </c>
      <c r="F459" s="52" t="str">
        <f>IF('Thiết Kế'!F63="","",'Thiết Kế'!F63)</f>
        <v/>
      </c>
      <c r="G459" s="52" t="str">
        <f>IF('Thiết Kế'!G63="","",'Thiết Kế'!G63)</f>
        <v/>
      </c>
      <c r="H459" s="52" t="str">
        <f>IF('Thiết Kế'!J63="","",'Thiết Kế'!J63)</f>
        <v/>
      </c>
      <c r="I459" s="52" t="str">
        <f>IF('Thiết Kế'!M63="","",'Thiết Kế'!M63)</f>
        <v/>
      </c>
      <c r="J459" s="52" t="str">
        <f>IF('Thiết Kế'!R63="","",'Thiết Kế'!R63)</f>
        <v/>
      </c>
      <c r="K459" s="52" t="str">
        <f t="array" ref="K459">IF(COUNTA('Thiết Kế'!T63:AE63)=0,"",INDEX('Thiết Kế'!T63:AE63,1,SUMPRODUCT(MAX(('Thiết Kế'!T63:AE63&lt;&gt;"")*(COLUMN('Thiết Kế'!T63:AE63)-COLUMN('Thiết Kế'!T63)+1)))))</f>
        <v/>
      </c>
      <c r="L459" s="52" t="str">
        <f>IF(AND(G459&lt;&gt;"",G459='Tổng hợp'!$C$4),MAX(L$1:L458)+1,"")</f>
        <v/>
      </c>
    </row>
    <row r="460" ht="15.75" customHeight="1">
      <c r="A460" s="52" t="str">
        <f>IF('Thiết Kế'!C64="","","Thiết Kế")</f>
        <v/>
      </c>
      <c r="B460" s="52" t="str">
        <f>IF('Thiết Kế'!B64="","",'Thiết Kế'!B64)</f>
        <v/>
      </c>
      <c r="C460" s="52" t="str">
        <f>IF('Thiết Kế'!C64="","",'Thiết Kế'!C64)</f>
        <v/>
      </c>
      <c r="D460" s="52" t="str">
        <f>IF('Thiết Kế'!D64="","",'Thiết Kế'!D64)</f>
        <v/>
      </c>
      <c r="E460" s="52" t="str">
        <f>IF('Thiết Kế'!E64="","",'Thiết Kế'!E64)</f>
        <v/>
      </c>
      <c r="F460" s="52" t="str">
        <f>IF('Thiết Kế'!F64="","",'Thiết Kế'!F64)</f>
        <v/>
      </c>
      <c r="G460" s="52" t="str">
        <f>IF('Thiết Kế'!G64="","",'Thiết Kế'!G64)</f>
        <v/>
      </c>
      <c r="H460" s="52" t="str">
        <f>IF('Thiết Kế'!J64="","",'Thiết Kế'!J64)</f>
        <v/>
      </c>
      <c r="I460" s="52" t="str">
        <f>IF('Thiết Kế'!M64="","",'Thiết Kế'!M64)</f>
        <v/>
      </c>
      <c r="J460" s="52" t="str">
        <f>IF('Thiết Kế'!R64="","",'Thiết Kế'!R64)</f>
        <v/>
      </c>
      <c r="K460" s="52" t="str">
        <f t="array" ref="K460">IF(COUNTA('Thiết Kế'!T64:AE64)=0,"",INDEX('Thiết Kế'!T64:AE64,1,SUMPRODUCT(MAX(('Thiết Kế'!T64:AE64&lt;&gt;"")*(COLUMN('Thiết Kế'!T64:AE64)-COLUMN('Thiết Kế'!T64)+1)))))</f>
        <v/>
      </c>
      <c r="L460" s="52" t="str">
        <f>IF(AND(G460&lt;&gt;"",G460='Tổng hợp'!$C$4),MAX(L$1:L459)+1,"")</f>
        <v/>
      </c>
    </row>
    <row r="461" ht="15.75" customHeight="1">
      <c r="A461" s="52" t="str">
        <f>IF('Thiết Kế'!C65="","","Thiết Kế")</f>
        <v/>
      </c>
      <c r="B461" s="52" t="str">
        <f>IF('Thiết Kế'!B65="","",'Thiết Kế'!B65)</f>
        <v/>
      </c>
      <c r="C461" s="52" t="str">
        <f>IF('Thiết Kế'!C65="","",'Thiết Kế'!C65)</f>
        <v/>
      </c>
      <c r="D461" s="52" t="str">
        <f>IF('Thiết Kế'!D65="","",'Thiết Kế'!D65)</f>
        <v/>
      </c>
      <c r="E461" s="52" t="str">
        <f>IF('Thiết Kế'!E65="","",'Thiết Kế'!E65)</f>
        <v/>
      </c>
      <c r="F461" s="52" t="str">
        <f>IF('Thiết Kế'!F65="","",'Thiết Kế'!F65)</f>
        <v/>
      </c>
      <c r="G461" s="52" t="str">
        <f>IF('Thiết Kế'!G65="","",'Thiết Kế'!G65)</f>
        <v/>
      </c>
      <c r="H461" s="52" t="str">
        <f>IF('Thiết Kế'!J65="","",'Thiết Kế'!J65)</f>
        <v/>
      </c>
      <c r="I461" s="52" t="str">
        <f>IF('Thiết Kế'!M65="","",'Thiết Kế'!M65)</f>
        <v/>
      </c>
      <c r="J461" s="52" t="str">
        <f>IF('Thiết Kế'!R65="","",'Thiết Kế'!R65)</f>
        <v/>
      </c>
      <c r="K461" s="52" t="str">
        <f t="array" ref="K461">IF(COUNTA('Thiết Kế'!T65:AE65)=0,"",INDEX('Thiết Kế'!T65:AE65,1,SUMPRODUCT(MAX(('Thiết Kế'!T65:AE65&lt;&gt;"")*(COLUMN('Thiết Kế'!T65:AE65)-COLUMN('Thiết Kế'!T65)+1)))))</f>
        <v/>
      </c>
      <c r="L461" s="52" t="str">
        <f>IF(AND(G461&lt;&gt;"",G461='Tổng hợp'!$C$4),MAX(L$1:L460)+1,"")</f>
        <v/>
      </c>
    </row>
    <row r="462" ht="15.75" customHeight="1">
      <c r="A462" s="52" t="str">
        <f>IF('Thiết Kế'!C66="","","Thiết Kế")</f>
        <v/>
      </c>
      <c r="B462" s="52" t="str">
        <f>IF('Thiết Kế'!B66="","",'Thiết Kế'!B66)</f>
        <v/>
      </c>
      <c r="C462" s="52" t="str">
        <f>IF('Thiết Kế'!C66="","",'Thiết Kế'!C66)</f>
        <v/>
      </c>
      <c r="D462" s="52" t="str">
        <f>IF('Thiết Kế'!D66="","",'Thiết Kế'!D66)</f>
        <v/>
      </c>
      <c r="E462" s="52" t="str">
        <f>IF('Thiết Kế'!E66="","",'Thiết Kế'!E66)</f>
        <v/>
      </c>
      <c r="F462" s="52" t="str">
        <f>IF('Thiết Kế'!F66="","",'Thiết Kế'!F66)</f>
        <v/>
      </c>
      <c r="G462" s="52" t="str">
        <f>IF('Thiết Kế'!G66="","",'Thiết Kế'!G66)</f>
        <v/>
      </c>
      <c r="H462" s="52" t="str">
        <f>IF('Thiết Kế'!J66="","",'Thiết Kế'!J66)</f>
        <v/>
      </c>
      <c r="I462" s="52" t="str">
        <f>IF('Thiết Kế'!M66="","",'Thiết Kế'!M66)</f>
        <v/>
      </c>
      <c r="J462" s="52" t="str">
        <f>IF('Thiết Kế'!R66="","",'Thiết Kế'!R66)</f>
        <v/>
      </c>
      <c r="K462" s="52" t="str">
        <f t="array" ref="K462">IF(COUNTA('Thiết Kế'!T66:AE66)=0,"",INDEX('Thiết Kế'!T66:AE66,1,SUMPRODUCT(MAX(('Thiết Kế'!T66:AE66&lt;&gt;"")*(COLUMN('Thiết Kế'!T66:AE66)-COLUMN('Thiết Kế'!T66)+1)))))</f>
        <v/>
      </c>
      <c r="L462" s="52" t="str">
        <f>IF(AND(G462&lt;&gt;"",G462='Tổng hợp'!$C$4),MAX(L$1:L461)+1,"")</f>
        <v/>
      </c>
    </row>
    <row r="463" ht="15.75" customHeight="1">
      <c r="A463" s="52" t="str">
        <f>IF('Thiết Kế'!C67="","","Thiết Kế")</f>
        <v/>
      </c>
      <c r="B463" s="52" t="str">
        <f>IF('Thiết Kế'!B67="","",'Thiết Kế'!B67)</f>
        <v/>
      </c>
      <c r="C463" s="52" t="str">
        <f>IF('Thiết Kế'!C67="","",'Thiết Kế'!C67)</f>
        <v/>
      </c>
      <c r="D463" s="52" t="str">
        <f>IF('Thiết Kế'!D67="","",'Thiết Kế'!D67)</f>
        <v/>
      </c>
      <c r="E463" s="52" t="str">
        <f>IF('Thiết Kế'!E67="","",'Thiết Kế'!E67)</f>
        <v/>
      </c>
      <c r="F463" s="52" t="str">
        <f>IF('Thiết Kế'!F67="","",'Thiết Kế'!F67)</f>
        <v/>
      </c>
      <c r="G463" s="52" t="str">
        <f>IF('Thiết Kế'!G67="","",'Thiết Kế'!G67)</f>
        <v/>
      </c>
      <c r="H463" s="52" t="str">
        <f>IF('Thiết Kế'!J67="","",'Thiết Kế'!J67)</f>
        <v/>
      </c>
      <c r="I463" s="52" t="str">
        <f>IF('Thiết Kế'!M67="","",'Thiết Kế'!M67)</f>
        <v/>
      </c>
      <c r="J463" s="52" t="str">
        <f>IF('Thiết Kế'!R67="","",'Thiết Kế'!R67)</f>
        <v/>
      </c>
      <c r="K463" s="52" t="str">
        <f t="array" ref="K463">IF(COUNTA('Thiết Kế'!T67:AE67)=0,"",INDEX('Thiết Kế'!T67:AE67,1,SUMPRODUCT(MAX(('Thiết Kế'!T67:AE67&lt;&gt;"")*(COLUMN('Thiết Kế'!T67:AE67)-COLUMN('Thiết Kế'!T67)+1)))))</f>
        <v/>
      </c>
      <c r="L463" s="52" t="str">
        <f>IF(AND(G463&lt;&gt;"",G463='Tổng hợp'!$C$4),MAX(L$1:L462)+1,"")</f>
        <v/>
      </c>
    </row>
    <row r="464" ht="15.75" customHeight="1">
      <c r="A464" s="52" t="str">
        <f>IF('Thiết Kế'!C68="","","Thiết Kế")</f>
        <v/>
      </c>
      <c r="B464" s="52" t="str">
        <f>IF('Thiết Kế'!B68="","",'Thiết Kế'!B68)</f>
        <v/>
      </c>
      <c r="C464" s="52" t="str">
        <f>IF('Thiết Kế'!C68="","",'Thiết Kế'!C68)</f>
        <v/>
      </c>
      <c r="D464" s="52" t="str">
        <f>IF('Thiết Kế'!D68="","",'Thiết Kế'!D68)</f>
        <v/>
      </c>
      <c r="E464" s="52" t="str">
        <f>IF('Thiết Kế'!E68="","",'Thiết Kế'!E68)</f>
        <v/>
      </c>
      <c r="F464" s="52" t="str">
        <f>IF('Thiết Kế'!F68="","",'Thiết Kế'!F68)</f>
        <v/>
      </c>
      <c r="G464" s="52" t="str">
        <f>IF('Thiết Kế'!G68="","",'Thiết Kế'!G68)</f>
        <v/>
      </c>
      <c r="H464" s="52" t="str">
        <f>IF('Thiết Kế'!J68="","",'Thiết Kế'!J68)</f>
        <v/>
      </c>
      <c r="I464" s="52" t="str">
        <f>IF('Thiết Kế'!M68="","",'Thiết Kế'!M68)</f>
        <v/>
      </c>
      <c r="J464" s="52" t="str">
        <f>IF('Thiết Kế'!R68="","",'Thiết Kế'!R68)</f>
        <v/>
      </c>
      <c r="K464" s="52" t="str">
        <f t="array" ref="K464">IF(COUNTA('Thiết Kế'!T68:AE68)=0,"",INDEX('Thiết Kế'!T68:AE68,1,SUMPRODUCT(MAX(('Thiết Kế'!T68:AE68&lt;&gt;"")*(COLUMN('Thiết Kế'!T68:AE68)-COLUMN('Thiết Kế'!T68)+1)))))</f>
        <v/>
      </c>
      <c r="L464" s="52" t="str">
        <f>IF(AND(G464&lt;&gt;"",G464='Tổng hợp'!$C$4),MAX(L$1:L463)+1,"")</f>
        <v/>
      </c>
    </row>
    <row r="465" ht="15.75" customHeight="1">
      <c r="A465" s="52" t="str">
        <f>IF('Thiết Kế'!C69="","","Thiết Kế")</f>
        <v/>
      </c>
      <c r="B465" s="52" t="str">
        <f>IF('Thiết Kế'!B69="","",'Thiết Kế'!B69)</f>
        <v/>
      </c>
      <c r="C465" s="52" t="str">
        <f>IF('Thiết Kế'!C69="","",'Thiết Kế'!C69)</f>
        <v/>
      </c>
      <c r="D465" s="52" t="str">
        <f>IF('Thiết Kế'!D69="","",'Thiết Kế'!D69)</f>
        <v/>
      </c>
      <c r="E465" s="52" t="str">
        <f>IF('Thiết Kế'!E69="","",'Thiết Kế'!E69)</f>
        <v/>
      </c>
      <c r="F465" s="52" t="str">
        <f>IF('Thiết Kế'!F69="","",'Thiết Kế'!F69)</f>
        <v/>
      </c>
      <c r="G465" s="52" t="str">
        <f>IF('Thiết Kế'!G69="","",'Thiết Kế'!G69)</f>
        <v/>
      </c>
      <c r="H465" s="52" t="str">
        <f>IF('Thiết Kế'!J69="","",'Thiết Kế'!J69)</f>
        <v/>
      </c>
      <c r="I465" s="52" t="str">
        <f>IF('Thiết Kế'!M69="","",'Thiết Kế'!M69)</f>
        <v/>
      </c>
      <c r="J465" s="52" t="str">
        <f>IF('Thiết Kế'!R69="","",'Thiết Kế'!R69)</f>
        <v/>
      </c>
      <c r="K465" s="52" t="str">
        <f t="array" ref="K465">IF(COUNTA('Thiết Kế'!T69:AE69)=0,"",INDEX('Thiết Kế'!T69:AE69,1,SUMPRODUCT(MAX(('Thiết Kế'!T69:AE69&lt;&gt;"")*(COLUMN('Thiết Kế'!T69:AE69)-COLUMN('Thiết Kế'!T69)+1)))))</f>
        <v/>
      </c>
      <c r="L465" s="52" t="str">
        <f>IF(AND(G465&lt;&gt;"",G465='Tổng hợp'!$C$4),MAX(L$1:L464)+1,"")</f>
        <v/>
      </c>
    </row>
    <row r="466" ht="15.75" customHeight="1">
      <c r="A466" s="52" t="str">
        <f>IF('Thiết Kế'!C70="","","Thiết Kế")</f>
        <v/>
      </c>
      <c r="B466" s="52" t="str">
        <f>IF('Thiết Kế'!B70="","",'Thiết Kế'!B70)</f>
        <v/>
      </c>
      <c r="C466" s="52" t="str">
        <f>IF('Thiết Kế'!C70="","",'Thiết Kế'!C70)</f>
        <v/>
      </c>
      <c r="D466" s="52" t="str">
        <f>IF('Thiết Kế'!D70="","",'Thiết Kế'!D70)</f>
        <v/>
      </c>
      <c r="E466" s="52" t="str">
        <f>IF('Thiết Kế'!E70="","",'Thiết Kế'!E70)</f>
        <v/>
      </c>
      <c r="F466" s="52" t="str">
        <f>IF('Thiết Kế'!F70="","",'Thiết Kế'!F70)</f>
        <v/>
      </c>
      <c r="G466" s="52" t="str">
        <f>IF('Thiết Kế'!G70="","",'Thiết Kế'!G70)</f>
        <v/>
      </c>
      <c r="H466" s="52" t="str">
        <f>IF('Thiết Kế'!J70="","",'Thiết Kế'!J70)</f>
        <v/>
      </c>
      <c r="I466" s="52" t="str">
        <f>IF('Thiết Kế'!M70="","",'Thiết Kế'!M70)</f>
        <v/>
      </c>
      <c r="J466" s="52" t="str">
        <f>IF('Thiết Kế'!R70="","",'Thiết Kế'!R70)</f>
        <v/>
      </c>
      <c r="K466" s="52" t="str">
        <f t="array" ref="K466">IF(COUNTA('Thiết Kế'!T70:AE70)=0,"",INDEX('Thiết Kế'!T70:AE70,1,SUMPRODUCT(MAX(('Thiết Kế'!T70:AE70&lt;&gt;"")*(COLUMN('Thiết Kế'!T70:AE70)-COLUMN('Thiết Kế'!T70)+1)))))</f>
        <v/>
      </c>
      <c r="L466" s="52" t="str">
        <f>IF(AND(G466&lt;&gt;"",G466='Tổng hợp'!$C$4),MAX(L$1:L465)+1,"")</f>
        <v/>
      </c>
    </row>
    <row r="467" ht="15.75" customHeight="1">
      <c r="A467" s="52" t="str">
        <f>IF('Thiết Kế'!C71="","","Thiết Kế")</f>
        <v/>
      </c>
      <c r="B467" s="52" t="str">
        <f>IF('Thiết Kế'!B71="","",'Thiết Kế'!B71)</f>
        <v/>
      </c>
      <c r="C467" s="52" t="str">
        <f>IF('Thiết Kế'!C71="","",'Thiết Kế'!C71)</f>
        <v/>
      </c>
      <c r="D467" s="52" t="str">
        <f>IF('Thiết Kế'!D71="","",'Thiết Kế'!D71)</f>
        <v/>
      </c>
      <c r="E467" s="52" t="str">
        <f>IF('Thiết Kế'!E71="","",'Thiết Kế'!E71)</f>
        <v/>
      </c>
      <c r="F467" s="52" t="str">
        <f>IF('Thiết Kế'!F71="","",'Thiết Kế'!F71)</f>
        <v/>
      </c>
      <c r="G467" s="52" t="str">
        <f>IF('Thiết Kế'!G71="","",'Thiết Kế'!G71)</f>
        <v/>
      </c>
      <c r="H467" s="52" t="str">
        <f>IF('Thiết Kế'!J71="","",'Thiết Kế'!J71)</f>
        <v/>
      </c>
      <c r="I467" s="52" t="str">
        <f>IF('Thiết Kế'!M71="","",'Thiết Kế'!M71)</f>
        <v/>
      </c>
      <c r="J467" s="52" t="str">
        <f>IF('Thiết Kế'!R71="","",'Thiết Kế'!R71)</f>
        <v/>
      </c>
      <c r="K467" s="52" t="str">
        <f t="array" ref="K467">IF(COUNTA('Thiết Kế'!T71:AE71)=0,"",INDEX('Thiết Kế'!T71:AE71,1,SUMPRODUCT(MAX(('Thiết Kế'!T71:AE71&lt;&gt;"")*(COLUMN('Thiết Kế'!T71:AE71)-COLUMN('Thiết Kế'!T71)+1)))))</f>
        <v/>
      </c>
      <c r="L467" s="52" t="str">
        <f>IF(AND(G467&lt;&gt;"",G467='Tổng hợp'!$C$4),MAX(L$1:L466)+1,"")</f>
        <v/>
      </c>
    </row>
    <row r="468" ht="15.75" customHeight="1">
      <c r="A468" s="52" t="str">
        <f>IF('Thiết Kế'!C72="","","Thiết Kế")</f>
        <v/>
      </c>
      <c r="B468" s="52" t="str">
        <f>IF('Thiết Kế'!B72="","",'Thiết Kế'!B72)</f>
        <v/>
      </c>
      <c r="C468" s="52" t="str">
        <f>IF('Thiết Kế'!C72="","",'Thiết Kế'!C72)</f>
        <v/>
      </c>
      <c r="D468" s="52" t="str">
        <f>IF('Thiết Kế'!D72="","",'Thiết Kế'!D72)</f>
        <v/>
      </c>
      <c r="E468" s="52" t="str">
        <f>IF('Thiết Kế'!E72="","",'Thiết Kế'!E72)</f>
        <v/>
      </c>
      <c r="F468" s="52" t="str">
        <f>IF('Thiết Kế'!F72="","",'Thiết Kế'!F72)</f>
        <v/>
      </c>
      <c r="G468" s="52" t="str">
        <f>IF('Thiết Kế'!G72="","",'Thiết Kế'!G72)</f>
        <v/>
      </c>
      <c r="H468" s="52" t="str">
        <f>IF('Thiết Kế'!J72="","",'Thiết Kế'!J72)</f>
        <v/>
      </c>
      <c r="I468" s="52" t="str">
        <f>IF('Thiết Kế'!M72="","",'Thiết Kế'!M72)</f>
        <v/>
      </c>
      <c r="J468" s="52" t="str">
        <f>IF('Thiết Kế'!R72="","",'Thiết Kế'!R72)</f>
        <v/>
      </c>
      <c r="K468" s="52" t="str">
        <f t="array" ref="K468">IF(COUNTA('Thiết Kế'!T72:AE72)=0,"",INDEX('Thiết Kế'!T72:AE72,1,SUMPRODUCT(MAX(('Thiết Kế'!T72:AE72&lt;&gt;"")*(COLUMN('Thiết Kế'!T72:AE72)-COLUMN('Thiết Kế'!T72)+1)))))</f>
        <v/>
      </c>
      <c r="L468" s="52" t="str">
        <f>IF(AND(G468&lt;&gt;"",G468='Tổng hợp'!$C$4),MAX(L$1:L467)+1,"")</f>
        <v/>
      </c>
    </row>
    <row r="469" ht="15.75" customHeight="1">
      <c r="A469" s="52" t="str">
        <f>IF('Thiết Kế'!C73="","","Thiết Kế")</f>
        <v/>
      </c>
      <c r="B469" s="52" t="str">
        <f>IF('Thiết Kế'!B73="","",'Thiết Kế'!B73)</f>
        <v/>
      </c>
      <c r="C469" s="52" t="str">
        <f>IF('Thiết Kế'!C73="","",'Thiết Kế'!C73)</f>
        <v/>
      </c>
      <c r="D469" s="52" t="str">
        <f>IF('Thiết Kế'!D73="","",'Thiết Kế'!D73)</f>
        <v/>
      </c>
      <c r="E469" s="52" t="str">
        <f>IF('Thiết Kế'!E73="","",'Thiết Kế'!E73)</f>
        <v/>
      </c>
      <c r="F469" s="52" t="str">
        <f>IF('Thiết Kế'!F73="","",'Thiết Kế'!F73)</f>
        <v/>
      </c>
      <c r="G469" s="52" t="str">
        <f>IF('Thiết Kế'!G73="","",'Thiết Kế'!G73)</f>
        <v/>
      </c>
      <c r="H469" s="52" t="str">
        <f>IF('Thiết Kế'!J73="","",'Thiết Kế'!J73)</f>
        <v/>
      </c>
      <c r="I469" s="52" t="str">
        <f>IF('Thiết Kế'!M73="","",'Thiết Kế'!M73)</f>
        <v/>
      </c>
      <c r="J469" s="52" t="str">
        <f>IF('Thiết Kế'!R73="","",'Thiết Kế'!R73)</f>
        <v/>
      </c>
      <c r="K469" s="52" t="str">
        <f t="array" ref="K469">IF(COUNTA('Thiết Kế'!T73:AE73)=0,"",INDEX('Thiết Kế'!T73:AE73,1,SUMPRODUCT(MAX(('Thiết Kế'!T73:AE73&lt;&gt;"")*(COLUMN('Thiết Kế'!T73:AE73)-COLUMN('Thiết Kế'!T73)+1)))))</f>
        <v/>
      </c>
      <c r="L469" s="52" t="str">
        <f>IF(AND(G469&lt;&gt;"",G469='Tổng hợp'!$C$4),MAX(L$1:L468)+1,"")</f>
        <v/>
      </c>
    </row>
    <row r="470" ht="15.75" customHeight="1">
      <c r="A470" s="52" t="str">
        <f>IF('Thiết Kế'!C74="","","Thiết Kế")</f>
        <v/>
      </c>
      <c r="B470" s="52" t="str">
        <f>IF('Thiết Kế'!B74="","",'Thiết Kế'!B74)</f>
        <v/>
      </c>
      <c r="C470" s="52" t="str">
        <f>IF('Thiết Kế'!C74="","",'Thiết Kế'!C74)</f>
        <v/>
      </c>
      <c r="D470" s="52" t="str">
        <f>IF('Thiết Kế'!D74="","",'Thiết Kế'!D74)</f>
        <v/>
      </c>
      <c r="E470" s="52" t="str">
        <f>IF('Thiết Kế'!E74="","",'Thiết Kế'!E74)</f>
        <v/>
      </c>
      <c r="F470" s="52" t="str">
        <f>IF('Thiết Kế'!F74="","",'Thiết Kế'!F74)</f>
        <v/>
      </c>
      <c r="G470" s="52" t="str">
        <f>IF('Thiết Kế'!G74="","",'Thiết Kế'!G74)</f>
        <v/>
      </c>
      <c r="H470" s="52" t="str">
        <f>IF('Thiết Kế'!J74="","",'Thiết Kế'!J74)</f>
        <v/>
      </c>
      <c r="I470" s="52" t="str">
        <f>IF('Thiết Kế'!M74="","",'Thiết Kế'!M74)</f>
        <v/>
      </c>
      <c r="J470" s="52" t="str">
        <f>IF('Thiết Kế'!R74="","",'Thiết Kế'!R74)</f>
        <v/>
      </c>
      <c r="K470" s="52" t="str">
        <f t="array" ref="K470">IF(COUNTA('Thiết Kế'!T74:AE74)=0,"",INDEX('Thiết Kế'!T74:AE74,1,SUMPRODUCT(MAX(('Thiết Kế'!T74:AE74&lt;&gt;"")*(COLUMN('Thiết Kế'!T74:AE74)-COLUMN('Thiết Kế'!T74)+1)))))</f>
        <v/>
      </c>
      <c r="L470" s="52" t="str">
        <f>IF(AND(G470&lt;&gt;"",G470='Tổng hợp'!$C$4),MAX(L$1:L469)+1,"")</f>
        <v/>
      </c>
    </row>
    <row r="471" ht="15.75" customHeight="1">
      <c r="A471" s="52" t="str">
        <f>IF('Thiết Kế'!C75="","","Thiết Kế")</f>
        <v/>
      </c>
      <c r="B471" s="52" t="str">
        <f>IF('Thiết Kế'!B75="","",'Thiết Kế'!B75)</f>
        <v/>
      </c>
      <c r="C471" s="52" t="str">
        <f>IF('Thiết Kế'!C75="","",'Thiết Kế'!C75)</f>
        <v/>
      </c>
      <c r="D471" s="52" t="str">
        <f>IF('Thiết Kế'!D75="","",'Thiết Kế'!D75)</f>
        <v/>
      </c>
      <c r="E471" s="52" t="str">
        <f>IF('Thiết Kế'!E75="","",'Thiết Kế'!E75)</f>
        <v/>
      </c>
      <c r="F471" s="52" t="str">
        <f>IF('Thiết Kế'!F75="","",'Thiết Kế'!F75)</f>
        <v/>
      </c>
      <c r="G471" s="52" t="str">
        <f>IF('Thiết Kế'!G75="","",'Thiết Kế'!G75)</f>
        <v/>
      </c>
      <c r="H471" s="52" t="str">
        <f>IF('Thiết Kế'!J75="","",'Thiết Kế'!J75)</f>
        <v/>
      </c>
      <c r="I471" s="52" t="str">
        <f>IF('Thiết Kế'!M75="","",'Thiết Kế'!M75)</f>
        <v/>
      </c>
      <c r="J471" s="52" t="str">
        <f>IF('Thiết Kế'!R75="","",'Thiết Kế'!R75)</f>
        <v/>
      </c>
      <c r="K471" s="52" t="str">
        <f t="array" ref="K471">IF(COUNTA('Thiết Kế'!T75:AE75)=0,"",INDEX('Thiết Kế'!T75:AE75,1,SUMPRODUCT(MAX(('Thiết Kế'!T75:AE75&lt;&gt;"")*(COLUMN('Thiết Kế'!T75:AE75)-COLUMN('Thiết Kế'!T75)+1)))))</f>
        <v/>
      </c>
      <c r="L471" s="52" t="str">
        <f>IF(AND(G471&lt;&gt;"",G471='Tổng hợp'!$C$4),MAX(L$1:L470)+1,"")</f>
        <v/>
      </c>
    </row>
    <row r="472" ht="15.75" customHeight="1">
      <c r="A472" s="52" t="str">
        <f>IF('Thiết Kế'!C76="","","Thiết Kế")</f>
        <v/>
      </c>
      <c r="B472" s="52" t="str">
        <f>IF('Thiết Kế'!B76="","",'Thiết Kế'!B76)</f>
        <v/>
      </c>
      <c r="C472" s="52" t="str">
        <f>IF('Thiết Kế'!C76="","",'Thiết Kế'!C76)</f>
        <v/>
      </c>
      <c r="D472" s="52" t="str">
        <f>IF('Thiết Kế'!D76="","",'Thiết Kế'!D76)</f>
        <v/>
      </c>
      <c r="E472" s="52" t="str">
        <f>IF('Thiết Kế'!E76="","",'Thiết Kế'!E76)</f>
        <v/>
      </c>
      <c r="F472" s="52" t="str">
        <f>IF('Thiết Kế'!F76="","",'Thiết Kế'!F76)</f>
        <v/>
      </c>
      <c r="G472" s="52" t="str">
        <f>IF('Thiết Kế'!G76="","",'Thiết Kế'!G76)</f>
        <v/>
      </c>
      <c r="H472" s="52" t="str">
        <f>IF('Thiết Kế'!J76="","",'Thiết Kế'!J76)</f>
        <v/>
      </c>
      <c r="I472" s="52" t="str">
        <f>IF('Thiết Kế'!M76="","",'Thiết Kế'!M76)</f>
        <v/>
      </c>
      <c r="J472" s="52" t="str">
        <f>IF('Thiết Kế'!R76="","",'Thiết Kế'!R76)</f>
        <v/>
      </c>
      <c r="K472" s="52" t="str">
        <f t="array" ref="K472">IF(COUNTA('Thiết Kế'!T76:AE76)=0,"",INDEX('Thiết Kế'!T76:AE76,1,SUMPRODUCT(MAX(('Thiết Kế'!T76:AE76&lt;&gt;"")*(COLUMN('Thiết Kế'!T76:AE76)-COLUMN('Thiết Kế'!T76)+1)))))</f>
        <v/>
      </c>
      <c r="L472" s="52" t="str">
        <f>IF(AND(G472&lt;&gt;"",G472='Tổng hợp'!$C$4),MAX(L$1:L471)+1,"")</f>
        <v/>
      </c>
    </row>
    <row r="473" ht="15.75" customHeight="1">
      <c r="A473" s="52" t="str">
        <f>IF('Thiết Kế'!C77="","","Thiết Kế")</f>
        <v/>
      </c>
      <c r="B473" s="52" t="str">
        <f>IF('Thiết Kế'!B77="","",'Thiết Kế'!B77)</f>
        <v/>
      </c>
      <c r="C473" s="52" t="str">
        <f>IF('Thiết Kế'!C77="","",'Thiết Kế'!C77)</f>
        <v/>
      </c>
      <c r="D473" s="52" t="str">
        <f>IF('Thiết Kế'!D77="","",'Thiết Kế'!D77)</f>
        <v/>
      </c>
      <c r="E473" s="52" t="str">
        <f>IF('Thiết Kế'!E77="","",'Thiết Kế'!E77)</f>
        <v/>
      </c>
      <c r="F473" s="52" t="str">
        <f>IF('Thiết Kế'!F77="","",'Thiết Kế'!F77)</f>
        <v/>
      </c>
      <c r="G473" s="52" t="str">
        <f>IF('Thiết Kế'!G77="","",'Thiết Kế'!G77)</f>
        <v/>
      </c>
      <c r="H473" s="52" t="str">
        <f>IF('Thiết Kế'!J77="","",'Thiết Kế'!J77)</f>
        <v/>
      </c>
      <c r="I473" s="52" t="str">
        <f>IF('Thiết Kế'!M77="","",'Thiết Kế'!M77)</f>
        <v/>
      </c>
      <c r="J473" s="52" t="str">
        <f>IF('Thiết Kế'!R77="","",'Thiết Kế'!R77)</f>
        <v/>
      </c>
      <c r="K473" s="52" t="str">
        <f t="array" ref="K473">IF(COUNTA('Thiết Kế'!T77:AE77)=0,"",INDEX('Thiết Kế'!T77:AE77,1,SUMPRODUCT(MAX(('Thiết Kế'!T77:AE77&lt;&gt;"")*(COLUMN('Thiết Kế'!T77:AE77)-COLUMN('Thiết Kế'!T77)+1)))))</f>
        <v/>
      </c>
      <c r="L473" s="52" t="str">
        <f>IF(AND(G473&lt;&gt;"",G473='Tổng hợp'!$C$4),MAX(L$1:L472)+1,"")</f>
        <v/>
      </c>
    </row>
    <row r="474" ht="15.75" customHeight="1">
      <c r="A474" s="52" t="str">
        <f>IF('Thiết Kế'!C78="","","Thiết Kế")</f>
        <v/>
      </c>
      <c r="B474" s="52" t="str">
        <f>IF('Thiết Kế'!B78="","",'Thiết Kế'!B78)</f>
        <v/>
      </c>
      <c r="C474" s="52" t="str">
        <f>IF('Thiết Kế'!C78="","",'Thiết Kế'!C78)</f>
        <v/>
      </c>
      <c r="D474" s="52" t="str">
        <f>IF('Thiết Kế'!D78="","",'Thiết Kế'!D78)</f>
        <v/>
      </c>
      <c r="E474" s="52" t="str">
        <f>IF('Thiết Kế'!E78="","",'Thiết Kế'!E78)</f>
        <v/>
      </c>
      <c r="F474" s="52" t="str">
        <f>IF('Thiết Kế'!F78="","",'Thiết Kế'!F78)</f>
        <v/>
      </c>
      <c r="G474" s="52" t="str">
        <f>IF('Thiết Kế'!G78="","",'Thiết Kế'!G78)</f>
        <v/>
      </c>
      <c r="H474" s="52" t="str">
        <f>IF('Thiết Kế'!J78="","",'Thiết Kế'!J78)</f>
        <v/>
      </c>
      <c r="I474" s="52" t="str">
        <f>IF('Thiết Kế'!M78="","",'Thiết Kế'!M78)</f>
        <v/>
      </c>
      <c r="J474" s="52" t="str">
        <f>IF('Thiết Kế'!R78="","",'Thiết Kế'!R78)</f>
        <v/>
      </c>
      <c r="K474" s="52" t="str">
        <f t="array" ref="K474">IF(COUNTA('Thiết Kế'!T78:AE78)=0,"",INDEX('Thiết Kế'!T78:AE78,1,SUMPRODUCT(MAX(('Thiết Kế'!T78:AE78&lt;&gt;"")*(COLUMN('Thiết Kế'!T78:AE78)-COLUMN('Thiết Kế'!T78)+1)))))</f>
        <v/>
      </c>
      <c r="L474" s="52" t="str">
        <f>IF(AND(G474&lt;&gt;"",G474='Tổng hợp'!$C$4),MAX(L$1:L473)+1,"")</f>
        <v/>
      </c>
    </row>
    <row r="475" ht="15.75" customHeight="1">
      <c r="A475" s="52" t="str">
        <f>IF('Thiết Kế'!C79="","","Thiết Kế")</f>
        <v/>
      </c>
      <c r="B475" s="52" t="str">
        <f>IF('Thiết Kế'!B79="","",'Thiết Kế'!B79)</f>
        <v/>
      </c>
      <c r="C475" s="52" t="str">
        <f>IF('Thiết Kế'!C79="","",'Thiết Kế'!C79)</f>
        <v/>
      </c>
      <c r="D475" s="52" t="str">
        <f>IF('Thiết Kế'!D79="","",'Thiết Kế'!D79)</f>
        <v/>
      </c>
      <c r="E475" s="52" t="str">
        <f>IF('Thiết Kế'!E79="","",'Thiết Kế'!E79)</f>
        <v/>
      </c>
      <c r="F475" s="52" t="str">
        <f>IF('Thiết Kế'!F79="","",'Thiết Kế'!F79)</f>
        <v/>
      </c>
      <c r="G475" s="52" t="str">
        <f>IF('Thiết Kế'!G79="","",'Thiết Kế'!G79)</f>
        <v/>
      </c>
      <c r="H475" s="52" t="str">
        <f>IF('Thiết Kế'!J79="","",'Thiết Kế'!J79)</f>
        <v/>
      </c>
      <c r="I475" s="52" t="str">
        <f>IF('Thiết Kế'!M79="","",'Thiết Kế'!M79)</f>
        <v/>
      </c>
      <c r="J475" s="52" t="str">
        <f>IF('Thiết Kế'!R79="","",'Thiết Kế'!R79)</f>
        <v/>
      </c>
      <c r="K475" s="52" t="str">
        <f t="array" ref="K475">IF(COUNTA('Thiết Kế'!T79:AE79)=0,"",INDEX('Thiết Kế'!T79:AE79,1,SUMPRODUCT(MAX(('Thiết Kế'!T79:AE79&lt;&gt;"")*(COLUMN('Thiết Kế'!T79:AE79)-COLUMN('Thiết Kế'!T79)+1)))))</f>
        <v/>
      </c>
      <c r="L475" s="52" t="str">
        <f>IF(AND(G475&lt;&gt;"",G475='Tổng hợp'!$C$4),MAX(L$1:L474)+1,"")</f>
        <v/>
      </c>
    </row>
    <row r="476" ht="15.75" customHeight="1">
      <c r="A476" s="52" t="str">
        <f>IF('Thiết Kế'!C80="","","Thiết Kế")</f>
        <v/>
      </c>
      <c r="B476" s="52" t="str">
        <f>IF('Thiết Kế'!B80="","",'Thiết Kế'!B80)</f>
        <v/>
      </c>
      <c r="C476" s="52" t="str">
        <f>IF('Thiết Kế'!C80="","",'Thiết Kế'!C80)</f>
        <v/>
      </c>
      <c r="D476" s="52" t="str">
        <f>IF('Thiết Kế'!D80="","",'Thiết Kế'!D80)</f>
        <v/>
      </c>
      <c r="E476" s="52" t="str">
        <f>IF('Thiết Kế'!E80="","",'Thiết Kế'!E80)</f>
        <v/>
      </c>
      <c r="F476" s="52" t="str">
        <f>IF('Thiết Kế'!F80="","",'Thiết Kế'!F80)</f>
        <v/>
      </c>
      <c r="G476" s="52" t="str">
        <f>IF('Thiết Kế'!G80="","",'Thiết Kế'!G80)</f>
        <v/>
      </c>
      <c r="H476" s="52" t="str">
        <f>IF('Thiết Kế'!J80="","",'Thiết Kế'!J80)</f>
        <v/>
      </c>
      <c r="I476" s="52" t="str">
        <f>IF('Thiết Kế'!M80="","",'Thiết Kế'!M80)</f>
        <v/>
      </c>
      <c r="J476" s="52" t="str">
        <f>IF('Thiết Kế'!R80="","",'Thiết Kế'!R80)</f>
        <v/>
      </c>
      <c r="K476" s="52" t="str">
        <f t="array" ref="K476">IF(COUNTA('Thiết Kế'!T80:AE80)=0,"",INDEX('Thiết Kế'!T80:AE80,1,SUMPRODUCT(MAX(('Thiết Kế'!T80:AE80&lt;&gt;"")*(COLUMN('Thiết Kế'!T80:AE80)-COLUMN('Thiết Kế'!T80)+1)))))</f>
        <v/>
      </c>
      <c r="L476" s="52" t="str">
        <f>IF(AND(G476&lt;&gt;"",G476='Tổng hợp'!$C$4),MAX(L$1:L475)+1,"")</f>
        <v/>
      </c>
    </row>
    <row r="477" ht="15.75" customHeight="1">
      <c r="A477" s="52" t="str">
        <f>IF('Thiết Kế'!C81="","","Thiết Kế")</f>
        <v/>
      </c>
      <c r="B477" s="52" t="str">
        <f>IF('Thiết Kế'!B81="","",'Thiết Kế'!B81)</f>
        <v/>
      </c>
      <c r="C477" s="52" t="str">
        <f>IF('Thiết Kế'!C81="","",'Thiết Kế'!C81)</f>
        <v/>
      </c>
      <c r="D477" s="52" t="str">
        <f>IF('Thiết Kế'!D81="","",'Thiết Kế'!D81)</f>
        <v/>
      </c>
      <c r="E477" s="52" t="str">
        <f>IF('Thiết Kế'!E81="","",'Thiết Kế'!E81)</f>
        <v/>
      </c>
      <c r="F477" s="52" t="str">
        <f>IF('Thiết Kế'!F81="","",'Thiết Kế'!F81)</f>
        <v/>
      </c>
      <c r="G477" s="52" t="str">
        <f>IF('Thiết Kế'!G81="","",'Thiết Kế'!G81)</f>
        <v/>
      </c>
      <c r="H477" s="52" t="str">
        <f>IF('Thiết Kế'!J81="","",'Thiết Kế'!J81)</f>
        <v/>
      </c>
      <c r="I477" s="52" t="str">
        <f>IF('Thiết Kế'!M81="","",'Thiết Kế'!M81)</f>
        <v/>
      </c>
      <c r="J477" s="52" t="str">
        <f>IF('Thiết Kế'!R81="","",'Thiết Kế'!R81)</f>
        <v/>
      </c>
      <c r="K477" s="52" t="str">
        <f t="array" ref="K477">IF(COUNTA('Thiết Kế'!T81:AE81)=0,"",INDEX('Thiết Kế'!T81:AE81,1,SUMPRODUCT(MAX(('Thiết Kế'!T81:AE81&lt;&gt;"")*(COLUMN('Thiết Kế'!T81:AE81)-COLUMN('Thiết Kế'!T81)+1)))))</f>
        <v/>
      </c>
      <c r="L477" s="52" t="str">
        <f>IF(AND(G477&lt;&gt;"",G477='Tổng hợp'!$C$4),MAX(L$1:L476)+1,"")</f>
        <v/>
      </c>
    </row>
    <row r="478" ht="15.75" customHeight="1">
      <c r="A478" s="52" t="str">
        <f>IF('Thiết Kế'!C82="","","Thiết Kế")</f>
        <v/>
      </c>
      <c r="B478" s="52" t="str">
        <f>IF('Thiết Kế'!B82="","",'Thiết Kế'!B82)</f>
        <v/>
      </c>
      <c r="C478" s="52" t="str">
        <f>IF('Thiết Kế'!C82="","",'Thiết Kế'!C82)</f>
        <v/>
      </c>
      <c r="D478" s="52" t="str">
        <f>IF('Thiết Kế'!D82="","",'Thiết Kế'!D82)</f>
        <v/>
      </c>
      <c r="E478" s="52" t="str">
        <f>IF('Thiết Kế'!E82="","",'Thiết Kế'!E82)</f>
        <v/>
      </c>
      <c r="F478" s="52" t="str">
        <f>IF('Thiết Kế'!F82="","",'Thiết Kế'!F82)</f>
        <v/>
      </c>
      <c r="G478" s="52" t="str">
        <f>IF('Thiết Kế'!G82="","",'Thiết Kế'!G82)</f>
        <v/>
      </c>
      <c r="H478" s="52" t="str">
        <f>IF('Thiết Kế'!J82="","",'Thiết Kế'!J82)</f>
        <v/>
      </c>
      <c r="I478" s="52" t="str">
        <f>IF('Thiết Kế'!M82="","",'Thiết Kế'!M82)</f>
        <v/>
      </c>
      <c r="J478" s="52" t="str">
        <f>IF('Thiết Kế'!R82="","",'Thiết Kế'!R82)</f>
        <v/>
      </c>
      <c r="K478" s="52" t="str">
        <f t="array" ref="K478">IF(COUNTA('Thiết Kế'!T82:AE82)=0,"",INDEX('Thiết Kế'!T82:AE82,1,SUMPRODUCT(MAX(('Thiết Kế'!T82:AE82&lt;&gt;"")*(COLUMN('Thiết Kế'!T82:AE82)-COLUMN('Thiết Kế'!T82)+1)))))</f>
        <v/>
      </c>
      <c r="L478" s="52" t="str">
        <f>IF(AND(G478&lt;&gt;"",G478='Tổng hợp'!$C$4),MAX(L$1:L477)+1,"")</f>
        <v/>
      </c>
    </row>
    <row r="479" ht="15.75" customHeight="1">
      <c r="A479" s="52" t="str">
        <f>IF('Thiết Kế'!C83="","","Thiết Kế")</f>
        <v/>
      </c>
      <c r="B479" s="52" t="str">
        <f>IF('Thiết Kế'!B83="","",'Thiết Kế'!B83)</f>
        <v/>
      </c>
      <c r="C479" s="52" t="str">
        <f>IF('Thiết Kế'!C83="","",'Thiết Kế'!C83)</f>
        <v/>
      </c>
      <c r="D479" s="52" t="str">
        <f>IF('Thiết Kế'!D83="","",'Thiết Kế'!D83)</f>
        <v/>
      </c>
      <c r="E479" s="52" t="str">
        <f>IF('Thiết Kế'!E83="","",'Thiết Kế'!E83)</f>
        <v/>
      </c>
      <c r="F479" s="52" t="str">
        <f>IF('Thiết Kế'!F83="","",'Thiết Kế'!F83)</f>
        <v/>
      </c>
      <c r="G479" s="52" t="str">
        <f>IF('Thiết Kế'!G83="","",'Thiết Kế'!G83)</f>
        <v/>
      </c>
      <c r="H479" s="52" t="str">
        <f>IF('Thiết Kế'!J83="","",'Thiết Kế'!J83)</f>
        <v/>
      </c>
      <c r="I479" s="52" t="str">
        <f>IF('Thiết Kế'!M83="","",'Thiết Kế'!M83)</f>
        <v/>
      </c>
      <c r="J479" s="52" t="str">
        <f>IF('Thiết Kế'!R83="","",'Thiết Kế'!R83)</f>
        <v/>
      </c>
      <c r="K479" s="52" t="str">
        <f t="array" ref="K479">IF(COUNTA('Thiết Kế'!T83:AE83)=0,"",INDEX('Thiết Kế'!T83:AE83,1,SUMPRODUCT(MAX(('Thiết Kế'!T83:AE83&lt;&gt;"")*(COLUMN('Thiết Kế'!T83:AE83)-COLUMN('Thiết Kế'!T83)+1)))))</f>
        <v/>
      </c>
      <c r="L479" s="52" t="str">
        <f>IF(AND(G479&lt;&gt;"",G479='Tổng hợp'!$C$4),MAX(L$1:L478)+1,"")</f>
        <v/>
      </c>
    </row>
    <row r="480" ht="15.75" customHeight="1">
      <c r="A480" s="52" t="str">
        <f>IF('Thiết Kế'!C84="","","Thiết Kế")</f>
        <v/>
      </c>
      <c r="B480" s="52" t="str">
        <f>IF('Thiết Kế'!B84="","",'Thiết Kế'!B84)</f>
        <v/>
      </c>
      <c r="C480" s="52" t="str">
        <f>IF('Thiết Kế'!C84="","",'Thiết Kế'!C84)</f>
        <v/>
      </c>
      <c r="D480" s="52" t="str">
        <f>IF('Thiết Kế'!D84="","",'Thiết Kế'!D84)</f>
        <v/>
      </c>
      <c r="E480" s="52" t="str">
        <f>IF('Thiết Kế'!E84="","",'Thiết Kế'!E84)</f>
        <v/>
      </c>
      <c r="F480" s="52" t="str">
        <f>IF('Thiết Kế'!F84="","",'Thiết Kế'!F84)</f>
        <v/>
      </c>
      <c r="G480" s="52" t="str">
        <f>IF('Thiết Kế'!G84="","",'Thiết Kế'!G84)</f>
        <v/>
      </c>
      <c r="H480" s="52" t="str">
        <f>IF('Thiết Kế'!J84="","",'Thiết Kế'!J84)</f>
        <v/>
      </c>
      <c r="I480" s="52" t="str">
        <f>IF('Thiết Kế'!M84="","",'Thiết Kế'!M84)</f>
        <v/>
      </c>
      <c r="J480" s="52" t="str">
        <f>IF('Thiết Kế'!R84="","",'Thiết Kế'!R84)</f>
        <v/>
      </c>
      <c r="K480" s="52" t="str">
        <f t="array" ref="K480">IF(COUNTA('Thiết Kế'!T84:AE84)=0,"",INDEX('Thiết Kế'!T84:AE84,1,SUMPRODUCT(MAX(('Thiết Kế'!T84:AE84&lt;&gt;"")*(COLUMN('Thiết Kế'!T84:AE84)-COLUMN('Thiết Kế'!T84)+1)))))</f>
        <v/>
      </c>
      <c r="L480" s="52" t="str">
        <f>IF(AND(G480&lt;&gt;"",G480='Tổng hợp'!$C$4),MAX(L$1:L479)+1,"")</f>
        <v/>
      </c>
    </row>
    <row r="481" ht="15.75" customHeight="1">
      <c r="A481" s="52" t="str">
        <f>IF('Thiết Kế'!C85="","","Thiết Kế")</f>
        <v/>
      </c>
      <c r="B481" s="52" t="str">
        <f>IF('Thiết Kế'!B85="","",'Thiết Kế'!B85)</f>
        <v/>
      </c>
      <c r="C481" s="52" t="str">
        <f>IF('Thiết Kế'!C85="","",'Thiết Kế'!C85)</f>
        <v/>
      </c>
      <c r="D481" s="52" t="str">
        <f>IF('Thiết Kế'!D85="","",'Thiết Kế'!D85)</f>
        <v/>
      </c>
      <c r="E481" s="52" t="str">
        <f>IF('Thiết Kế'!E85="","",'Thiết Kế'!E85)</f>
        <v/>
      </c>
      <c r="F481" s="52" t="str">
        <f>IF('Thiết Kế'!F85="","",'Thiết Kế'!F85)</f>
        <v/>
      </c>
      <c r="G481" s="52" t="str">
        <f>IF('Thiết Kế'!G85="","",'Thiết Kế'!G85)</f>
        <v/>
      </c>
      <c r="H481" s="52" t="str">
        <f>IF('Thiết Kế'!J85="","",'Thiết Kế'!J85)</f>
        <v/>
      </c>
      <c r="I481" s="52" t="str">
        <f>IF('Thiết Kế'!M85="","",'Thiết Kế'!M85)</f>
        <v/>
      </c>
      <c r="J481" s="52" t="str">
        <f>IF('Thiết Kế'!R85="","",'Thiết Kế'!R85)</f>
        <v/>
      </c>
      <c r="K481" s="52" t="str">
        <f t="array" ref="K481">IF(COUNTA('Thiết Kế'!T85:AE85)=0,"",INDEX('Thiết Kế'!T85:AE85,1,SUMPRODUCT(MAX(('Thiết Kế'!T85:AE85&lt;&gt;"")*(COLUMN('Thiết Kế'!T85:AE85)-COLUMN('Thiết Kế'!T85)+1)))))</f>
        <v/>
      </c>
      <c r="L481" s="52" t="str">
        <f>IF(AND(G481&lt;&gt;"",G481='Tổng hợp'!$C$4),MAX(L$1:L480)+1,"")</f>
        <v/>
      </c>
    </row>
    <row r="482" ht="15.75" customHeight="1">
      <c r="A482" s="52" t="str">
        <f>IF('Thiết Kế'!C86="","","Thiết Kế")</f>
        <v/>
      </c>
      <c r="B482" s="52" t="str">
        <f>IF('Thiết Kế'!B86="","",'Thiết Kế'!B86)</f>
        <v/>
      </c>
      <c r="C482" s="52" t="str">
        <f>IF('Thiết Kế'!C86="","",'Thiết Kế'!C86)</f>
        <v/>
      </c>
      <c r="D482" s="52" t="str">
        <f>IF('Thiết Kế'!D86="","",'Thiết Kế'!D86)</f>
        <v/>
      </c>
      <c r="E482" s="52" t="str">
        <f>IF('Thiết Kế'!E86="","",'Thiết Kế'!E86)</f>
        <v/>
      </c>
      <c r="F482" s="52" t="str">
        <f>IF('Thiết Kế'!F86="","",'Thiết Kế'!F86)</f>
        <v/>
      </c>
      <c r="G482" s="52" t="str">
        <f>IF('Thiết Kế'!G86="","",'Thiết Kế'!G86)</f>
        <v/>
      </c>
      <c r="H482" s="52" t="str">
        <f>IF('Thiết Kế'!J86="","",'Thiết Kế'!J86)</f>
        <v/>
      </c>
      <c r="I482" s="52" t="str">
        <f>IF('Thiết Kế'!M86="","",'Thiết Kế'!M86)</f>
        <v/>
      </c>
      <c r="J482" s="52" t="str">
        <f>IF('Thiết Kế'!R86="","",'Thiết Kế'!R86)</f>
        <v/>
      </c>
      <c r="K482" s="52" t="str">
        <f t="array" ref="K482">IF(COUNTA('Thiết Kế'!T86:AE86)=0,"",INDEX('Thiết Kế'!T86:AE86,1,SUMPRODUCT(MAX(('Thiết Kế'!T86:AE86&lt;&gt;"")*(COLUMN('Thiết Kế'!T86:AE86)-COLUMN('Thiết Kế'!T86)+1)))))</f>
        <v/>
      </c>
      <c r="L482" s="52" t="str">
        <f>IF(AND(G482&lt;&gt;"",G482='Tổng hợp'!$C$4),MAX(L$1:L481)+1,"")</f>
        <v/>
      </c>
    </row>
    <row r="483" ht="15.75" customHeight="1">
      <c r="A483" s="52" t="str">
        <f>IF('Thiết Kế'!C87="","","Thiết Kế")</f>
        <v/>
      </c>
      <c r="B483" s="52" t="str">
        <f>IF('Thiết Kế'!B87="","",'Thiết Kế'!B87)</f>
        <v/>
      </c>
      <c r="C483" s="52" t="str">
        <f>IF('Thiết Kế'!C87="","",'Thiết Kế'!C87)</f>
        <v/>
      </c>
      <c r="D483" s="52" t="str">
        <f>IF('Thiết Kế'!D87="","",'Thiết Kế'!D87)</f>
        <v/>
      </c>
      <c r="E483" s="52" t="str">
        <f>IF('Thiết Kế'!E87="","",'Thiết Kế'!E87)</f>
        <v/>
      </c>
      <c r="F483" s="52" t="str">
        <f>IF('Thiết Kế'!F87="","",'Thiết Kế'!F87)</f>
        <v/>
      </c>
      <c r="G483" s="52" t="str">
        <f>IF('Thiết Kế'!G87="","",'Thiết Kế'!G87)</f>
        <v/>
      </c>
      <c r="H483" s="52" t="str">
        <f>IF('Thiết Kế'!J87="","",'Thiết Kế'!J87)</f>
        <v/>
      </c>
      <c r="I483" s="52" t="str">
        <f>IF('Thiết Kế'!M87="","",'Thiết Kế'!M87)</f>
        <v/>
      </c>
      <c r="J483" s="52" t="str">
        <f>IF('Thiết Kế'!R87="","",'Thiết Kế'!R87)</f>
        <v/>
      </c>
      <c r="K483" s="52" t="str">
        <f t="array" ref="K483">IF(COUNTA('Thiết Kế'!T87:AE87)=0,"",INDEX('Thiết Kế'!T87:AE87,1,SUMPRODUCT(MAX(('Thiết Kế'!T87:AE87&lt;&gt;"")*(COLUMN('Thiết Kế'!T87:AE87)-COLUMN('Thiết Kế'!T87)+1)))))</f>
        <v/>
      </c>
      <c r="L483" s="52" t="str">
        <f>IF(AND(G483&lt;&gt;"",G483='Tổng hợp'!$C$4),MAX(L$1:L482)+1,"")</f>
        <v/>
      </c>
    </row>
    <row r="484" ht="15.75" customHeight="1">
      <c r="A484" s="52" t="str">
        <f>IF('Thiết Kế'!C88="","","Thiết Kế")</f>
        <v/>
      </c>
      <c r="B484" s="52" t="str">
        <f>IF('Thiết Kế'!B88="","",'Thiết Kế'!B88)</f>
        <v/>
      </c>
      <c r="C484" s="52" t="str">
        <f>IF('Thiết Kế'!C88="","",'Thiết Kế'!C88)</f>
        <v/>
      </c>
      <c r="D484" s="52" t="str">
        <f>IF('Thiết Kế'!D88="","",'Thiết Kế'!D88)</f>
        <v/>
      </c>
      <c r="E484" s="52" t="str">
        <f>IF('Thiết Kế'!E88="","",'Thiết Kế'!E88)</f>
        <v/>
      </c>
      <c r="F484" s="52" t="str">
        <f>IF('Thiết Kế'!F88="","",'Thiết Kế'!F88)</f>
        <v/>
      </c>
      <c r="G484" s="52" t="str">
        <f>IF('Thiết Kế'!G88="","",'Thiết Kế'!G88)</f>
        <v/>
      </c>
      <c r="H484" s="52" t="str">
        <f>IF('Thiết Kế'!J88="","",'Thiết Kế'!J88)</f>
        <v/>
      </c>
      <c r="I484" s="52" t="str">
        <f>IF('Thiết Kế'!M88="","",'Thiết Kế'!M88)</f>
        <v/>
      </c>
      <c r="J484" s="52" t="str">
        <f>IF('Thiết Kế'!R88="","",'Thiết Kế'!R88)</f>
        <v/>
      </c>
      <c r="K484" s="52" t="str">
        <f t="array" ref="K484">IF(COUNTA('Thiết Kế'!T88:AE88)=0,"",INDEX('Thiết Kế'!T88:AE88,1,SUMPRODUCT(MAX(('Thiết Kế'!T88:AE88&lt;&gt;"")*(COLUMN('Thiết Kế'!T88:AE88)-COLUMN('Thiết Kế'!T88)+1)))))</f>
        <v/>
      </c>
      <c r="L484" s="52" t="str">
        <f>IF(AND(G484&lt;&gt;"",G484='Tổng hợp'!$C$4),MAX(L$1:L483)+1,"")</f>
        <v/>
      </c>
    </row>
    <row r="485" ht="15.75" customHeight="1">
      <c r="A485" s="52" t="str">
        <f>IF('Thiết Kế'!C89="","","Thiết Kế")</f>
        <v/>
      </c>
      <c r="B485" s="52" t="str">
        <f>IF('Thiết Kế'!B89="","",'Thiết Kế'!B89)</f>
        <v/>
      </c>
      <c r="C485" s="52" t="str">
        <f>IF('Thiết Kế'!C89="","",'Thiết Kế'!C89)</f>
        <v/>
      </c>
      <c r="D485" s="52" t="str">
        <f>IF('Thiết Kế'!D89="","",'Thiết Kế'!D89)</f>
        <v/>
      </c>
      <c r="E485" s="52" t="str">
        <f>IF('Thiết Kế'!E89="","",'Thiết Kế'!E89)</f>
        <v/>
      </c>
      <c r="F485" s="52" t="str">
        <f>IF('Thiết Kế'!F89="","",'Thiết Kế'!F89)</f>
        <v/>
      </c>
      <c r="G485" s="52" t="str">
        <f>IF('Thiết Kế'!G89="","",'Thiết Kế'!G89)</f>
        <v/>
      </c>
      <c r="H485" s="52" t="str">
        <f>IF('Thiết Kế'!J89="","",'Thiết Kế'!J89)</f>
        <v/>
      </c>
      <c r="I485" s="52" t="str">
        <f>IF('Thiết Kế'!M89="","",'Thiết Kế'!M89)</f>
        <v/>
      </c>
      <c r="J485" s="52" t="str">
        <f>IF('Thiết Kế'!R89="","",'Thiết Kế'!R89)</f>
        <v/>
      </c>
      <c r="K485" s="52" t="str">
        <f t="array" ref="K485">IF(COUNTA('Thiết Kế'!T89:AE89)=0,"",INDEX('Thiết Kế'!T89:AE89,1,SUMPRODUCT(MAX(('Thiết Kế'!T89:AE89&lt;&gt;"")*(COLUMN('Thiết Kế'!T89:AE89)-COLUMN('Thiết Kế'!T89)+1)))))</f>
        <v/>
      </c>
      <c r="L485" s="52" t="str">
        <f>IF(AND(G485&lt;&gt;"",G485='Tổng hợp'!$C$4),MAX(L$1:L484)+1,"")</f>
        <v/>
      </c>
    </row>
    <row r="486" ht="15.75" customHeight="1">
      <c r="A486" s="52" t="str">
        <f>IF('Thiết Kế'!C90="","","Thiết Kế")</f>
        <v/>
      </c>
      <c r="B486" s="52" t="str">
        <f>IF('Thiết Kế'!B90="","",'Thiết Kế'!B90)</f>
        <v/>
      </c>
      <c r="C486" s="52" t="str">
        <f>IF('Thiết Kế'!C90="","",'Thiết Kế'!C90)</f>
        <v/>
      </c>
      <c r="D486" s="52" t="str">
        <f>IF('Thiết Kế'!D90="","",'Thiết Kế'!D90)</f>
        <v/>
      </c>
      <c r="E486" s="52" t="str">
        <f>IF('Thiết Kế'!E90="","",'Thiết Kế'!E90)</f>
        <v/>
      </c>
      <c r="F486" s="52" t="str">
        <f>IF('Thiết Kế'!F90="","",'Thiết Kế'!F90)</f>
        <v/>
      </c>
      <c r="G486" s="52" t="str">
        <f>IF('Thiết Kế'!G90="","",'Thiết Kế'!G90)</f>
        <v/>
      </c>
      <c r="H486" s="52" t="str">
        <f>IF('Thiết Kế'!J90="","",'Thiết Kế'!J90)</f>
        <v/>
      </c>
      <c r="I486" s="52" t="str">
        <f>IF('Thiết Kế'!M90="","",'Thiết Kế'!M90)</f>
        <v/>
      </c>
      <c r="J486" s="52" t="str">
        <f>IF('Thiết Kế'!R90="","",'Thiết Kế'!R90)</f>
        <v/>
      </c>
      <c r="K486" s="52" t="str">
        <f t="array" ref="K486">IF(COUNTA('Thiết Kế'!T90:AE90)=0,"",INDEX('Thiết Kế'!T90:AE90,1,SUMPRODUCT(MAX(('Thiết Kế'!T90:AE90&lt;&gt;"")*(COLUMN('Thiết Kế'!T90:AE90)-COLUMN('Thiết Kế'!T90)+1)))))</f>
        <v/>
      </c>
      <c r="L486" s="52" t="str">
        <f>IF(AND(G486&lt;&gt;"",G486='Tổng hợp'!$C$4),MAX(L$1:L485)+1,"")</f>
        <v/>
      </c>
    </row>
    <row r="487" ht="15.75" customHeight="1">
      <c r="A487" s="52" t="str">
        <f>IF('Thiết Kế'!C91="","","Thiết Kế")</f>
        <v/>
      </c>
      <c r="B487" s="52" t="str">
        <f>IF('Thiết Kế'!B91="","",'Thiết Kế'!B91)</f>
        <v/>
      </c>
      <c r="C487" s="52" t="str">
        <f>IF('Thiết Kế'!C91="","",'Thiết Kế'!C91)</f>
        <v/>
      </c>
      <c r="D487" s="52" t="str">
        <f>IF('Thiết Kế'!D91="","",'Thiết Kế'!D91)</f>
        <v/>
      </c>
      <c r="E487" s="52" t="str">
        <f>IF('Thiết Kế'!E91="","",'Thiết Kế'!E91)</f>
        <v/>
      </c>
      <c r="F487" s="52" t="str">
        <f>IF('Thiết Kế'!F91="","",'Thiết Kế'!F91)</f>
        <v/>
      </c>
      <c r="G487" s="52" t="str">
        <f>IF('Thiết Kế'!G91="","",'Thiết Kế'!G91)</f>
        <v/>
      </c>
      <c r="H487" s="52" t="str">
        <f>IF('Thiết Kế'!J91="","",'Thiết Kế'!J91)</f>
        <v/>
      </c>
      <c r="I487" s="52" t="str">
        <f>IF('Thiết Kế'!M91="","",'Thiết Kế'!M91)</f>
        <v/>
      </c>
      <c r="J487" s="52" t="str">
        <f>IF('Thiết Kế'!R91="","",'Thiết Kế'!R91)</f>
        <v/>
      </c>
      <c r="K487" s="52" t="str">
        <f t="array" ref="K487">IF(COUNTA('Thiết Kế'!T91:AE91)=0,"",INDEX('Thiết Kế'!T91:AE91,1,SUMPRODUCT(MAX(('Thiết Kế'!T91:AE91&lt;&gt;"")*(COLUMN('Thiết Kế'!T91:AE91)-COLUMN('Thiết Kế'!T91)+1)))))</f>
        <v/>
      </c>
      <c r="L487" s="52" t="str">
        <f>IF(AND(G487&lt;&gt;"",G487='Tổng hợp'!$C$4),MAX(L$1:L486)+1,"")</f>
        <v/>
      </c>
    </row>
    <row r="488" ht="15.75" customHeight="1">
      <c r="A488" s="52" t="str">
        <f>IF('Thiết Kế'!C92="","","Thiết Kế")</f>
        <v/>
      </c>
      <c r="B488" s="52" t="str">
        <f>IF('Thiết Kế'!B92="","",'Thiết Kế'!B92)</f>
        <v/>
      </c>
      <c r="C488" s="52" t="str">
        <f>IF('Thiết Kế'!C92="","",'Thiết Kế'!C92)</f>
        <v/>
      </c>
      <c r="D488" s="52" t="str">
        <f>IF('Thiết Kế'!D92="","",'Thiết Kế'!D92)</f>
        <v/>
      </c>
      <c r="E488" s="52" t="str">
        <f>IF('Thiết Kế'!E92="","",'Thiết Kế'!E92)</f>
        <v/>
      </c>
      <c r="F488" s="52" t="str">
        <f>IF('Thiết Kế'!F92="","",'Thiết Kế'!F92)</f>
        <v/>
      </c>
      <c r="G488" s="52" t="str">
        <f>IF('Thiết Kế'!G92="","",'Thiết Kế'!G92)</f>
        <v/>
      </c>
      <c r="H488" s="52" t="str">
        <f>IF('Thiết Kế'!J92="","",'Thiết Kế'!J92)</f>
        <v/>
      </c>
      <c r="I488" s="52" t="str">
        <f>IF('Thiết Kế'!M92="","",'Thiết Kế'!M92)</f>
        <v/>
      </c>
      <c r="J488" s="52" t="str">
        <f>IF('Thiết Kế'!R92="","",'Thiết Kế'!R92)</f>
        <v/>
      </c>
      <c r="K488" s="52" t="str">
        <f t="array" ref="K488">IF(COUNTA('Thiết Kế'!T92:AE92)=0,"",INDEX('Thiết Kế'!T92:AE92,1,SUMPRODUCT(MAX(('Thiết Kế'!T92:AE92&lt;&gt;"")*(COLUMN('Thiết Kế'!T92:AE92)-COLUMN('Thiết Kế'!T92)+1)))))</f>
        <v/>
      </c>
      <c r="L488" s="52" t="str">
        <f>IF(AND(G488&lt;&gt;"",G488='Tổng hợp'!$C$4),MAX(L$1:L487)+1,"")</f>
        <v/>
      </c>
    </row>
    <row r="489" ht="15.75" customHeight="1">
      <c r="A489" s="52" t="str">
        <f>IF('Thiết Kế'!C93="","","Thiết Kế")</f>
        <v/>
      </c>
      <c r="B489" s="52" t="str">
        <f>IF('Thiết Kế'!B93="","",'Thiết Kế'!B93)</f>
        <v/>
      </c>
      <c r="C489" s="52" t="str">
        <f>IF('Thiết Kế'!C93="","",'Thiết Kế'!C93)</f>
        <v/>
      </c>
      <c r="D489" s="52" t="str">
        <f>IF('Thiết Kế'!D93="","",'Thiết Kế'!D93)</f>
        <v/>
      </c>
      <c r="E489" s="52" t="str">
        <f>IF('Thiết Kế'!E93="","",'Thiết Kế'!E93)</f>
        <v/>
      </c>
      <c r="F489" s="52" t="str">
        <f>IF('Thiết Kế'!F93="","",'Thiết Kế'!F93)</f>
        <v/>
      </c>
      <c r="G489" s="52" t="str">
        <f>IF('Thiết Kế'!G93="","",'Thiết Kế'!G93)</f>
        <v/>
      </c>
      <c r="H489" s="52" t="str">
        <f>IF('Thiết Kế'!J93="","",'Thiết Kế'!J93)</f>
        <v/>
      </c>
      <c r="I489" s="52" t="str">
        <f>IF('Thiết Kế'!M93="","",'Thiết Kế'!M93)</f>
        <v/>
      </c>
      <c r="J489" s="52" t="str">
        <f>IF('Thiết Kế'!R93="","",'Thiết Kế'!R93)</f>
        <v/>
      </c>
      <c r="K489" s="52" t="str">
        <f t="array" ref="K489">IF(COUNTA('Thiết Kế'!T93:AE93)=0,"",INDEX('Thiết Kế'!T93:AE93,1,SUMPRODUCT(MAX(('Thiết Kế'!T93:AE93&lt;&gt;"")*(COLUMN('Thiết Kế'!T93:AE93)-COLUMN('Thiết Kế'!T93)+1)))))</f>
        <v/>
      </c>
      <c r="L489" s="52" t="str">
        <f>IF(AND(G489&lt;&gt;"",G489='Tổng hợp'!$C$4),MAX(L$1:L488)+1,"")</f>
        <v/>
      </c>
    </row>
    <row r="490" ht="15.75" customHeight="1">
      <c r="A490" s="52" t="str">
        <f>IF('Thiết Kế'!C94="","","Thiết Kế")</f>
        <v/>
      </c>
      <c r="B490" s="52" t="str">
        <f>IF('Thiết Kế'!B94="","",'Thiết Kế'!B94)</f>
        <v/>
      </c>
      <c r="C490" s="52" t="str">
        <f>IF('Thiết Kế'!C94="","",'Thiết Kế'!C94)</f>
        <v/>
      </c>
      <c r="D490" s="52" t="str">
        <f>IF('Thiết Kế'!D94="","",'Thiết Kế'!D94)</f>
        <v/>
      </c>
      <c r="E490" s="52" t="str">
        <f>IF('Thiết Kế'!E94="","",'Thiết Kế'!E94)</f>
        <v/>
      </c>
      <c r="F490" s="52" t="str">
        <f>IF('Thiết Kế'!F94="","",'Thiết Kế'!F94)</f>
        <v/>
      </c>
      <c r="G490" s="52" t="str">
        <f>IF('Thiết Kế'!G94="","",'Thiết Kế'!G94)</f>
        <v/>
      </c>
      <c r="H490" s="52" t="str">
        <f>IF('Thiết Kế'!J94="","",'Thiết Kế'!J94)</f>
        <v/>
      </c>
      <c r="I490" s="52" t="str">
        <f>IF('Thiết Kế'!M94="","",'Thiết Kế'!M94)</f>
        <v/>
      </c>
      <c r="J490" s="52" t="str">
        <f>IF('Thiết Kế'!R94="","",'Thiết Kế'!R94)</f>
        <v/>
      </c>
      <c r="K490" s="52" t="str">
        <f t="array" ref="K490">IF(COUNTA('Thiết Kế'!T94:AE94)=0,"",INDEX('Thiết Kế'!T94:AE94,1,SUMPRODUCT(MAX(('Thiết Kế'!T94:AE94&lt;&gt;"")*(COLUMN('Thiết Kế'!T94:AE94)-COLUMN('Thiết Kế'!T94)+1)))))</f>
        <v/>
      </c>
      <c r="L490" s="52" t="str">
        <f>IF(AND(G490&lt;&gt;"",G490='Tổng hợp'!$C$4),MAX(L$1:L489)+1,"")</f>
        <v/>
      </c>
    </row>
    <row r="491" ht="15.75" customHeight="1">
      <c r="A491" s="52" t="str">
        <f>IF('Thiết Kế'!C95="","","Thiết Kế")</f>
        <v/>
      </c>
      <c r="B491" s="52" t="str">
        <f>IF('Thiết Kế'!B95="","",'Thiết Kế'!B95)</f>
        <v/>
      </c>
      <c r="C491" s="52" t="str">
        <f>IF('Thiết Kế'!C95="","",'Thiết Kế'!C95)</f>
        <v/>
      </c>
      <c r="D491" s="52" t="str">
        <f>IF('Thiết Kế'!D95="","",'Thiết Kế'!D95)</f>
        <v/>
      </c>
      <c r="E491" s="52" t="str">
        <f>IF('Thiết Kế'!E95="","",'Thiết Kế'!E95)</f>
        <v/>
      </c>
      <c r="F491" s="52" t="str">
        <f>IF('Thiết Kế'!F95="","",'Thiết Kế'!F95)</f>
        <v/>
      </c>
      <c r="G491" s="52" t="str">
        <f>IF('Thiết Kế'!G95="","",'Thiết Kế'!G95)</f>
        <v/>
      </c>
      <c r="H491" s="52" t="str">
        <f>IF('Thiết Kế'!J95="","",'Thiết Kế'!J95)</f>
        <v/>
      </c>
      <c r="I491" s="52" t="str">
        <f>IF('Thiết Kế'!M95="","",'Thiết Kế'!M95)</f>
        <v/>
      </c>
      <c r="J491" s="52" t="str">
        <f>IF('Thiết Kế'!R95="","",'Thiết Kế'!R95)</f>
        <v/>
      </c>
      <c r="K491" s="52" t="str">
        <f t="array" ref="K491">IF(COUNTA('Thiết Kế'!T95:AE95)=0,"",INDEX('Thiết Kế'!T95:AE95,1,SUMPRODUCT(MAX(('Thiết Kế'!T95:AE95&lt;&gt;"")*(COLUMN('Thiết Kế'!T95:AE95)-COLUMN('Thiết Kế'!T95)+1)))))</f>
        <v/>
      </c>
      <c r="L491" s="52" t="str">
        <f>IF(AND(G491&lt;&gt;"",G491='Tổng hợp'!$C$4),MAX(L$1:L490)+1,"")</f>
        <v/>
      </c>
    </row>
    <row r="492" ht="15.75" customHeight="1">
      <c r="A492" s="52" t="str">
        <f>IF('Thiết Kế'!C96="","","Thiết Kế")</f>
        <v/>
      </c>
      <c r="B492" s="52" t="str">
        <f>IF('Thiết Kế'!B96="","",'Thiết Kế'!B96)</f>
        <v/>
      </c>
      <c r="C492" s="52" t="str">
        <f>IF('Thiết Kế'!C96="","",'Thiết Kế'!C96)</f>
        <v/>
      </c>
      <c r="D492" s="52" t="str">
        <f>IF('Thiết Kế'!D96="","",'Thiết Kế'!D96)</f>
        <v/>
      </c>
      <c r="E492" s="52" t="str">
        <f>IF('Thiết Kế'!E96="","",'Thiết Kế'!E96)</f>
        <v/>
      </c>
      <c r="F492" s="52" t="str">
        <f>IF('Thiết Kế'!F96="","",'Thiết Kế'!F96)</f>
        <v/>
      </c>
      <c r="G492" s="52" t="str">
        <f>IF('Thiết Kế'!G96="","",'Thiết Kế'!G96)</f>
        <v/>
      </c>
      <c r="H492" s="52" t="str">
        <f>IF('Thiết Kế'!J96="","",'Thiết Kế'!J96)</f>
        <v/>
      </c>
      <c r="I492" s="52" t="str">
        <f>IF('Thiết Kế'!M96="","",'Thiết Kế'!M96)</f>
        <v/>
      </c>
      <c r="J492" s="52" t="str">
        <f>IF('Thiết Kế'!R96="","",'Thiết Kế'!R96)</f>
        <v/>
      </c>
      <c r="K492" s="52" t="str">
        <f t="array" ref="K492">IF(COUNTA('Thiết Kế'!T96:AE96)=0,"",INDEX('Thiết Kế'!T96:AE96,1,SUMPRODUCT(MAX(('Thiết Kế'!T96:AE96&lt;&gt;"")*(COLUMN('Thiết Kế'!T96:AE96)-COLUMN('Thiết Kế'!T96)+1)))))</f>
        <v/>
      </c>
      <c r="L492" s="52" t="str">
        <f>IF(AND(G492&lt;&gt;"",G492='Tổng hợp'!$C$4),MAX(L$1:L491)+1,"")</f>
        <v/>
      </c>
    </row>
    <row r="493" ht="15.75" customHeight="1">
      <c r="A493" s="52" t="str">
        <f>IF('Thiết Kế'!C97="","","Thiết Kế")</f>
        <v/>
      </c>
      <c r="B493" s="52" t="str">
        <f>IF('Thiết Kế'!B97="","",'Thiết Kế'!B97)</f>
        <v/>
      </c>
      <c r="C493" s="52" t="str">
        <f>IF('Thiết Kế'!C97="","",'Thiết Kế'!C97)</f>
        <v/>
      </c>
      <c r="D493" s="52" t="str">
        <f>IF('Thiết Kế'!D97="","",'Thiết Kế'!D97)</f>
        <v/>
      </c>
      <c r="E493" s="52" t="str">
        <f>IF('Thiết Kế'!E97="","",'Thiết Kế'!E97)</f>
        <v/>
      </c>
      <c r="F493" s="52" t="str">
        <f>IF('Thiết Kế'!F97="","",'Thiết Kế'!F97)</f>
        <v/>
      </c>
      <c r="G493" s="52" t="str">
        <f>IF('Thiết Kế'!G97="","",'Thiết Kế'!G97)</f>
        <v/>
      </c>
      <c r="H493" s="52" t="str">
        <f>IF('Thiết Kế'!J97="","",'Thiết Kế'!J97)</f>
        <v/>
      </c>
      <c r="I493" s="52" t="str">
        <f>IF('Thiết Kế'!M97="","",'Thiết Kế'!M97)</f>
        <v/>
      </c>
      <c r="J493" s="52" t="str">
        <f>IF('Thiết Kế'!R97="","",'Thiết Kế'!R97)</f>
        <v/>
      </c>
      <c r="K493" s="52" t="str">
        <f t="array" ref="K493">IF(COUNTA('Thiết Kế'!T97:AE97)=0,"",INDEX('Thiết Kế'!T97:AE97,1,SUMPRODUCT(MAX(('Thiết Kế'!T97:AE97&lt;&gt;"")*(COLUMN('Thiết Kế'!T97:AE97)-COLUMN('Thiết Kế'!T97)+1)))))</f>
        <v/>
      </c>
      <c r="L493" s="52" t="str">
        <f>IF(AND(G493&lt;&gt;"",G493='Tổng hợp'!$C$4),MAX(L$1:L492)+1,"")</f>
        <v/>
      </c>
    </row>
    <row r="494" ht="15.75" customHeight="1">
      <c r="A494" s="52" t="str">
        <f>IF('Thiết Kế'!C98="","","Thiết Kế")</f>
        <v/>
      </c>
      <c r="B494" s="52" t="str">
        <f>IF('Thiết Kế'!B98="","",'Thiết Kế'!B98)</f>
        <v/>
      </c>
      <c r="C494" s="52" t="str">
        <f>IF('Thiết Kế'!C98="","",'Thiết Kế'!C98)</f>
        <v/>
      </c>
      <c r="D494" s="52" t="str">
        <f>IF('Thiết Kế'!D98="","",'Thiết Kế'!D98)</f>
        <v/>
      </c>
      <c r="E494" s="52" t="str">
        <f>IF('Thiết Kế'!E98="","",'Thiết Kế'!E98)</f>
        <v/>
      </c>
      <c r="F494" s="52" t="str">
        <f>IF('Thiết Kế'!F98="","",'Thiết Kế'!F98)</f>
        <v/>
      </c>
      <c r="G494" s="52" t="str">
        <f>IF('Thiết Kế'!G98="","",'Thiết Kế'!G98)</f>
        <v/>
      </c>
      <c r="H494" s="52" t="str">
        <f>IF('Thiết Kế'!J98="","",'Thiết Kế'!J98)</f>
        <v/>
      </c>
      <c r="I494" s="52" t="str">
        <f>IF('Thiết Kế'!M98="","",'Thiết Kế'!M98)</f>
        <v/>
      </c>
      <c r="J494" s="52" t="str">
        <f>IF('Thiết Kế'!R98="","",'Thiết Kế'!R98)</f>
        <v/>
      </c>
      <c r="K494" s="52" t="str">
        <f t="array" ref="K494">IF(COUNTA('Thiết Kế'!T98:AE98)=0,"",INDEX('Thiết Kế'!T98:AE98,1,SUMPRODUCT(MAX(('Thiết Kế'!T98:AE98&lt;&gt;"")*(COLUMN('Thiết Kế'!T98:AE98)-COLUMN('Thiết Kế'!T98)+1)))))</f>
        <v/>
      </c>
      <c r="L494" s="52" t="str">
        <f>IF(AND(G494&lt;&gt;"",G494='Tổng hợp'!$C$4),MAX(L$1:L493)+1,"")</f>
        <v/>
      </c>
    </row>
    <row r="495" ht="15.75" customHeight="1">
      <c r="A495" s="52" t="str">
        <f>IF('Thiết Kế'!C99="","","Thiết Kế")</f>
        <v/>
      </c>
      <c r="B495" s="52" t="str">
        <f>IF('Thiết Kế'!B99="","",'Thiết Kế'!B99)</f>
        <v/>
      </c>
      <c r="C495" s="52" t="str">
        <f>IF('Thiết Kế'!C99="","",'Thiết Kế'!C99)</f>
        <v/>
      </c>
      <c r="D495" s="52" t="str">
        <f>IF('Thiết Kế'!D99="","",'Thiết Kế'!D99)</f>
        <v/>
      </c>
      <c r="E495" s="52" t="str">
        <f>IF('Thiết Kế'!E99="","",'Thiết Kế'!E99)</f>
        <v/>
      </c>
      <c r="F495" s="52" t="str">
        <f>IF('Thiết Kế'!F99="","",'Thiết Kế'!F99)</f>
        <v/>
      </c>
      <c r="G495" s="52" t="str">
        <f>IF('Thiết Kế'!G99="","",'Thiết Kế'!G99)</f>
        <v/>
      </c>
      <c r="H495" s="52" t="str">
        <f>IF('Thiết Kế'!J99="","",'Thiết Kế'!J99)</f>
        <v/>
      </c>
      <c r="I495" s="52" t="str">
        <f>IF('Thiết Kế'!M99="","",'Thiết Kế'!M99)</f>
        <v/>
      </c>
      <c r="J495" s="52" t="str">
        <f>IF('Thiết Kế'!R99="","",'Thiết Kế'!R99)</f>
        <v/>
      </c>
      <c r="K495" s="52" t="str">
        <f t="array" ref="K495">IF(COUNTA('Thiết Kế'!T99:AE99)=0,"",INDEX('Thiết Kế'!T99:AE99,1,SUMPRODUCT(MAX(('Thiết Kế'!T99:AE99&lt;&gt;"")*(COLUMN('Thiết Kế'!T99:AE99)-COLUMN('Thiết Kế'!T99)+1)))))</f>
        <v/>
      </c>
      <c r="L495" s="52" t="str">
        <f>IF(AND(G495&lt;&gt;"",G495='Tổng hợp'!$C$4),MAX(L$1:L494)+1,"")</f>
        <v/>
      </c>
    </row>
    <row r="496" ht="15.75" customHeight="1">
      <c r="A496" s="52" t="str">
        <f>IF('Thiết Kế'!C100="","","Thiết Kế")</f>
        <v/>
      </c>
      <c r="B496" s="52" t="str">
        <f>IF('Thiết Kế'!B100="","",'Thiết Kế'!B100)</f>
        <v/>
      </c>
      <c r="C496" s="52" t="str">
        <f>IF('Thiết Kế'!C100="","",'Thiết Kế'!C100)</f>
        <v/>
      </c>
      <c r="D496" s="52" t="str">
        <f>IF('Thiết Kế'!D100="","",'Thiết Kế'!D100)</f>
        <v/>
      </c>
      <c r="E496" s="52" t="str">
        <f>IF('Thiết Kế'!E100="","",'Thiết Kế'!E100)</f>
        <v/>
      </c>
      <c r="F496" s="52" t="str">
        <f>IF('Thiết Kế'!F100="","",'Thiết Kế'!F100)</f>
        <v/>
      </c>
      <c r="G496" s="52" t="str">
        <f>IF('Thiết Kế'!G100="","",'Thiết Kế'!G100)</f>
        <v/>
      </c>
      <c r="H496" s="52" t="str">
        <f>IF('Thiết Kế'!J100="","",'Thiết Kế'!J100)</f>
        <v/>
      </c>
      <c r="I496" s="52" t="str">
        <f>IF('Thiết Kế'!M100="","",'Thiết Kế'!M100)</f>
        <v/>
      </c>
      <c r="J496" s="52" t="str">
        <f>IF('Thiết Kế'!R100="","",'Thiết Kế'!R100)</f>
        <v/>
      </c>
      <c r="K496" s="52" t="str">
        <f t="array" ref="K496">IF(COUNTA('Thiết Kế'!T100:AE100)=0,"",INDEX('Thiết Kế'!T100:AE100,1,SUMPRODUCT(MAX(('Thiết Kế'!T100:AE100&lt;&gt;"")*(COLUMN('Thiết Kế'!T100:AE100)-COLUMN('Thiết Kế'!T100)+1)))))</f>
        <v/>
      </c>
      <c r="L496" s="52" t="str">
        <f>IF(AND(G496&lt;&gt;"",G496='Tổng hợp'!$C$4),MAX(L$1:L495)+1,"")</f>
        <v/>
      </c>
    </row>
    <row r="497" ht="15.75" customHeight="1">
      <c r="A497" s="52" t="str">
        <f>IF('Thiết Kế'!C101="","","Thiết Kế")</f>
        <v/>
      </c>
      <c r="B497" s="52" t="str">
        <f>IF('Thiết Kế'!B101="","",'Thiết Kế'!B101)</f>
        <v/>
      </c>
      <c r="C497" s="52" t="str">
        <f>IF('Thiết Kế'!C101="","",'Thiết Kế'!C101)</f>
        <v/>
      </c>
      <c r="D497" s="52" t="str">
        <f>IF('Thiết Kế'!D101="","",'Thiết Kế'!D101)</f>
        <v/>
      </c>
      <c r="E497" s="52" t="str">
        <f>IF('Thiết Kế'!E101="","",'Thiết Kế'!E101)</f>
        <v/>
      </c>
      <c r="F497" s="52" t="str">
        <f>IF('Thiết Kế'!F101="","",'Thiết Kế'!F101)</f>
        <v/>
      </c>
      <c r="G497" s="52" t="str">
        <f>IF('Thiết Kế'!G101="","",'Thiết Kế'!G101)</f>
        <v/>
      </c>
      <c r="H497" s="52" t="str">
        <f>IF('Thiết Kế'!J101="","",'Thiết Kế'!J101)</f>
        <v/>
      </c>
      <c r="I497" s="52" t="str">
        <f>IF('Thiết Kế'!M101="","",'Thiết Kế'!M101)</f>
        <v/>
      </c>
      <c r="J497" s="52" t="str">
        <f>IF('Thiết Kế'!R101="","",'Thiết Kế'!R101)</f>
        <v/>
      </c>
      <c r="K497" s="52" t="str">
        <f t="array" ref="K497">IF(COUNTA('Thiết Kế'!T101:AE101)=0,"",INDEX('Thiết Kế'!T101:AE101,1,SUMPRODUCT(MAX(('Thiết Kế'!T101:AE101&lt;&gt;"")*(COLUMN('Thiết Kế'!T101:AE101)-COLUMN('Thiết Kế'!T101)+1)))))</f>
        <v/>
      </c>
      <c r="L497" s="52" t="str">
        <f>IF(AND(G497&lt;&gt;"",G497='Tổng hợp'!$C$4),MAX(L$1:L496)+1,"")</f>
        <v/>
      </c>
    </row>
    <row r="498" ht="15.75" customHeight="1">
      <c r="A498" s="52" t="str">
        <f>IF('Thiết Kế'!C102="","","Thiết Kế")</f>
        <v/>
      </c>
      <c r="B498" s="52" t="str">
        <f>IF('Thiết Kế'!B102="","",'Thiết Kế'!B102)</f>
        <v/>
      </c>
      <c r="C498" s="52" t="str">
        <f>IF('Thiết Kế'!C102="","",'Thiết Kế'!C102)</f>
        <v/>
      </c>
      <c r="D498" s="52" t="str">
        <f>IF('Thiết Kế'!D102="","",'Thiết Kế'!D102)</f>
        <v/>
      </c>
      <c r="E498" s="52" t="str">
        <f>IF('Thiết Kế'!E102="","",'Thiết Kế'!E102)</f>
        <v/>
      </c>
      <c r="F498" s="52" t="str">
        <f>IF('Thiết Kế'!F102="","",'Thiết Kế'!F102)</f>
        <v/>
      </c>
      <c r="G498" s="52" t="str">
        <f>IF('Thiết Kế'!G102="","",'Thiết Kế'!G102)</f>
        <v/>
      </c>
      <c r="H498" s="52" t="str">
        <f>IF('Thiết Kế'!J102="","",'Thiết Kế'!J102)</f>
        <v/>
      </c>
      <c r="I498" s="52" t="str">
        <f>IF('Thiết Kế'!M102="","",'Thiết Kế'!M102)</f>
        <v/>
      </c>
      <c r="J498" s="52" t="str">
        <f>IF('Thiết Kế'!R102="","",'Thiết Kế'!R102)</f>
        <v/>
      </c>
      <c r="K498" s="52" t="str">
        <f t="array" ref="K498">IF(COUNTA('Thiết Kế'!T102:AE102)=0,"",INDEX('Thiết Kế'!T102:AE102,1,SUMPRODUCT(MAX(('Thiết Kế'!T102:AE102&lt;&gt;"")*(COLUMN('Thiết Kế'!T102:AE102)-COLUMN('Thiết Kế'!T102)+1)))))</f>
        <v/>
      </c>
      <c r="L498" s="52" t="str">
        <f>IF(AND(G498&lt;&gt;"",G498='Tổng hợp'!$C$4),MAX(L$1:L497)+1,"")</f>
        <v/>
      </c>
    </row>
    <row r="499" ht="15.75" customHeight="1">
      <c r="A499" s="52" t="str">
        <f>IF('Thiết Kế'!C103="","","Thiết Kế")</f>
        <v/>
      </c>
      <c r="B499" s="52" t="str">
        <f>IF('Thiết Kế'!B103="","",'Thiết Kế'!B103)</f>
        <v/>
      </c>
      <c r="C499" s="52" t="str">
        <f>IF('Thiết Kế'!C103="","",'Thiết Kế'!C103)</f>
        <v/>
      </c>
      <c r="D499" s="52" t="str">
        <f>IF('Thiết Kế'!D103="","",'Thiết Kế'!D103)</f>
        <v/>
      </c>
      <c r="E499" s="52" t="str">
        <f>IF('Thiết Kế'!E103="","",'Thiết Kế'!E103)</f>
        <v/>
      </c>
      <c r="F499" s="52" t="str">
        <f>IF('Thiết Kế'!F103="","",'Thiết Kế'!F103)</f>
        <v/>
      </c>
      <c r="G499" s="52" t="str">
        <f>IF('Thiết Kế'!G103="","",'Thiết Kế'!G103)</f>
        <v/>
      </c>
      <c r="H499" s="52" t="str">
        <f>IF('Thiết Kế'!J103="","",'Thiết Kế'!J103)</f>
        <v/>
      </c>
      <c r="I499" s="52" t="str">
        <f>IF('Thiết Kế'!M103="","",'Thiết Kế'!M103)</f>
        <v/>
      </c>
      <c r="J499" s="52" t="str">
        <f>IF('Thiết Kế'!R103="","",'Thiết Kế'!R103)</f>
        <v/>
      </c>
      <c r="K499" s="52" t="str">
        <f t="array" ref="K499">IF(COUNTA('Thiết Kế'!T103:AE103)=0,"",INDEX('Thiết Kế'!T103:AE103,1,SUMPRODUCT(MAX(('Thiết Kế'!T103:AE103&lt;&gt;"")*(COLUMN('Thiết Kế'!T103:AE103)-COLUMN('Thiết Kế'!T103)+1)))))</f>
        <v/>
      </c>
      <c r="L499" s="52" t="str">
        <f>IF(AND(G499&lt;&gt;"",G499='Tổng hợp'!$C$4),MAX(L$1:L498)+1,"")</f>
        <v/>
      </c>
    </row>
    <row r="500" ht="15.75" customHeight="1">
      <c r="A500" s="52" t="str">
        <f>IF('Thiết Kế'!C104="","","Thiết Kế")</f>
        <v/>
      </c>
      <c r="B500" s="52" t="str">
        <f>IF('Thiết Kế'!B104="","",'Thiết Kế'!B104)</f>
        <v/>
      </c>
      <c r="C500" s="52" t="str">
        <f>IF('Thiết Kế'!C104="","",'Thiết Kế'!C104)</f>
        <v/>
      </c>
      <c r="D500" s="52" t="str">
        <f>IF('Thiết Kế'!D104="","",'Thiết Kế'!D104)</f>
        <v/>
      </c>
      <c r="E500" s="52" t="str">
        <f>IF('Thiết Kế'!E104="","",'Thiết Kế'!E104)</f>
        <v/>
      </c>
      <c r="F500" s="52" t="str">
        <f>IF('Thiết Kế'!F104="","",'Thiết Kế'!F104)</f>
        <v/>
      </c>
      <c r="G500" s="52" t="str">
        <f>IF('Thiết Kế'!G104="","",'Thiết Kế'!G104)</f>
        <v/>
      </c>
      <c r="H500" s="52" t="str">
        <f>IF('Thiết Kế'!J104="","",'Thiết Kế'!J104)</f>
        <v/>
      </c>
      <c r="I500" s="52" t="str">
        <f>IF('Thiết Kế'!M104="","",'Thiết Kế'!M104)</f>
        <v/>
      </c>
      <c r="J500" s="52" t="str">
        <f>IF('Thiết Kế'!R104="","",'Thiết Kế'!R104)</f>
        <v/>
      </c>
      <c r="K500" s="52" t="str">
        <f t="array" ref="K500">IF(COUNTA('Thiết Kế'!T104:AE104)=0,"",INDEX('Thiết Kế'!T104:AE104,1,SUMPRODUCT(MAX(('Thiết Kế'!T104:AE104&lt;&gt;"")*(COLUMN('Thiết Kế'!T104:AE104)-COLUMN('Thiết Kế'!T104)+1)))))</f>
        <v/>
      </c>
      <c r="L500" s="52" t="str">
        <f>IF(AND(G500&lt;&gt;"",G500='Tổng hợp'!$C$4),MAX(L$1:L499)+1,"")</f>
        <v/>
      </c>
    </row>
    <row r="501" ht="15.75" customHeight="1">
      <c r="A501" s="52" t="str">
        <f>IF('Thiết Kế'!C105="","","Thiết Kế")</f>
        <v/>
      </c>
      <c r="B501" s="52" t="str">
        <f>IF('Thiết Kế'!B105="","",'Thiết Kế'!B105)</f>
        <v/>
      </c>
      <c r="C501" s="52" t="str">
        <f>IF('Thiết Kế'!C105="","",'Thiết Kế'!C105)</f>
        <v/>
      </c>
      <c r="D501" s="52" t="str">
        <f>IF('Thiết Kế'!D105="","",'Thiết Kế'!D105)</f>
        <v/>
      </c>
      <c r="E501" s="52" t="str">
        <f>IF('Thiết Kế'!E105="","",'Thiết Kế'!E105)</f>
        <v/>
      </c>
      <c r="F501" s="52" t="str">
        <f>IF('Thiết Kế'!F105="","",'Thiết Kế'!F105)</f>
        <v/>
      </c>
      <c r="G501" s="52" t="str">
        <f>IF('Thiết Kế'!G105="","",'Thiết Kế'!G105)</f>
        <v/>
      </c>
      <c r="H501" s="52" t="str">
        <f>IF('Thiết Kế'!J105="","",'Thiết Kế'!J105)</f>
        <v/>
      </c>
      <c r="I501" s="52" t="str">
        <f>IF('Thiết Kế'!M105="","",'Thiết Kế'!M105)</f>
        <v/>
      </c>
      <c r="J501" s="52" t="str">
        <f>IF('Thiết Kế'!R105="","",'Thiết Kế'!R105)</f>
        <v/>
      </c>
      <c r="K501" s="52" t="str">
        <f t="array" ref="K501">IF(COUNTA('Thiết Kế'!T105:AE105)=0,"",INDEX('Thiết Kế'!T105:AE105,1,SUMPRODUCT(MAX(('Thiết Kế'!T105:AE105&lt;&gt;"")*(COLUMN('Thiết Kế'!T105:AE105)-COLUMN('Thiết Kế'!T105)+1)))))</f>
        <v/>
      </c>
      <c r="L501" s="52" t="str">
        <f>IF(AND(G501&lt;&gt;"",G501='Tổng hợp'!$C$4),MAX(L$1:L500)+1,"")</f>
        <v/>
      </c>
    </row>
    <row r="502" ht="15.75" customHeight="1">
      <c r="A502" s="52" t="str">
        <f>IF('Thiết Kế'!C106="","","Thiết Kế")</f>
        <v/>
      </c>
      <c r="B502" s="52" t="str">
        <f>IF('Thiết Kế'!B106="","",'Thiết Kế'!B106)</f>
        <v/>
      </c>
      <c r="C502" s="52" t="str">
        <f>IF('Thiết Kế'!C106="","",'Thiết Kế'!C106)</f>
        <v/>
      </c>
      <c r="D502" s="52" t="str">
        <f>IF('Thiết Kế'!D106="","",'Thiết Kế'!D106)</f>
        <v/>
      </c>
      <c r="E502" s="52" t="str">
        <f>IF('Thiết Kế'!E106="","",'Thiết Kế'!E106)</f>
        <v/>
      </c>
      <c r="F502" s="52" t="str">
        <f>IF('Thiết Kế'!F106="","",'Thiết Kế'!F106)</f>
        <v/>
      </c>
      <c r="G502" s="52" t="str">
        <f>IF('Thiết Kế'!G106="","",'Thiết Kế'!G106)</f>
        <v/>
      </c>
      <c r="H502" s="52" t="str">
        <f>IF('Thiết Kế'!J106="","",'Thiết Kế'!J106)</f>
        <v/>
      </c>
      <c r="I502" s="52" t="str">
        <f>IF('Thiết Kế'!M106="","",'Thiết Kế'!M106)</f>
        <v/>
      </c>
      <c r="J502" s="52" t="str">
        <f>IF('Thiết Kế'!R106="","",'Thiết Kế'!R106)</f>
        <v/>
      </c>
      <c r="K502" s="52" t="str">
        <f t="array" ref="K502">IF(COUNTA('Thiết Kế'!T106:AE106)=0,"",INDEX('Thiết Kế'!T106:AE106,1,SUMPRODUCT(MAX(('Thiết Kế'!T106:AE106&lt;&gt;"")*(COLUMN('Thiết Kế'!T106:AE106)-COLUMN('Thiết Kế'!T106)+1)))))</f>
        <v/>
      </c>
      <c r="L502" s="52" t="str">
        <f>IF(AND(G502&lt;&gt;"",G502='Tổng hợp'!$C$4),MAX(L$1:L501)+1,"")</f>
        <v/>
      </c>
    </row>
    <row r="503" ht="15.75" customHeight="1">
      <c r="A503" s="52" t="str">
        <f>IF('Thiết Kế'!C107="","","Thiết Kế")</f>
        <v/>
      </c>
      <c r="B503" s="52" t="str">
        <f>IF('Thiết Kế'!B107="","",'Thiết Kế'!B107)</f>
        <v/>
      </c>
      <c r="C503" s="52" t="str">
        <f>IF('Thiết Kế'!C107="","",'Thiết Kế'!C107)</f>
        <v/>
      </c>
      <c r="D503" s="52" t="str">
        <f>IF('Thiết Kế'!D107="","",'Thiết Kế'!D107)</f>
        <v/>
      </c>
      <c r="E503" s="52" t="str">
        <f>IF('Thiết Kế'!E107="","",'Thiết Kế'!E107)</f>
        <v/>
      </c>
      <c r="F503" s="52" t="str">
        <f>IF('Thiết Kế'!F107="","",'Thiết Kế'!F107)</f>
        <v/>
      </c>
      <c r="G503" s="52" t="str">
        <f>IF('Thiết Kế'!G107="","",'Thiết Kế'!G107)</f>
        <v/>
      </c>
      <c r="H503" s="52" t="str">
        <f>IF('Thiết Kế'!J107="","",'Thiết Kế'!J107)</f>
        <v/>
      </c>
      <c r="I503" s="52" t="str">
        <f>IF('Thiết Kế'!M107="","",'Thiết Kế'!M107)</f>
        <v/>
      </c>
      <c r="J503" s="52" t="str">
        <f>IF('Thiết Kế'!R107="","",'Thiết Kế'!R107)</f>
        <v/>
      </c>
      <c r="K503" s="52" t="str">
        <f t="array" ref="K503">IF(COUNTA('Thiết Kế'!T107:AE107)=0,"",INDEX('Thiết Kế'!T107:AE107,1,SUMPRODUCT(MAX(('Thiết Kế'!T107:AE107&lt;&gt;"")*(COLUMN('Thiết Kế'!T107:AE107)-COLUMN('Thiết Kế'!T107)+1)))))</f>
        <v/>
      </c>
      <c r="L503" s="52" t="str">
        <f>IF(AND(G503&lt;&gt;"",G503='Tổng hợp'!$C$4),MAX(L$1:L502)+1,"")</f>
        <v/>
      </c>
    </row>
    <row r="504" ht="15.75" customHeight="1">
      <c r="A504" s="52" t="str">
        <f>IF('Thiết Kế'!C108="","","Thiết Kế")</f>
        <v/>
      </c>
      <c r="B504" s="52" t="str">
        <f>IF('Thiết Kế'!B108="","",'Thiết Kế'!B108)</f>
        <v/>
      </c>
      <c r="C504" s="52" t="str">
        <f>IF('Thiết Kế'!C108="","",'Thiết Kế'!C108)</f>
        <v/>
      </c>
      <c r="D504" s="52" t="str">
        <f>IF('Thiết Kế'!D108="","",'Thiết Kế'!D108)</f>
        <v/>
      </c>
      <c r="E504" s="52" t="str">
        <f>IF('Thiết Kế'!E108="","",'Thiết Kế'!E108)</f>
        <v/>
      </c>
      <c r="F504" s="52" t="str">
        <f>IF('Thiết Kế'!F108="","",'Thiết Kế'!F108)</f>
        <v/>
      </c>
      <c r="G504" s="52" t="str">
        <f>IF('Thiết Kế'!G108="","",'Thiết Kế'!G108)</f>
        <v/>
      </c>
      <c r="H504" s="52" t="str">
        <f>IF('Thiết Kế'!J108="","",'Thiết Kế'!J108)</f>
        <v/>
      </c>
      <c r="I504" s="52" t="str">
        <f>IF('Thiết Kế'!M108="","",'Thiết Kế'!M108)</f>
        <v/>
      </c>
      <c r="J504" s="52" t="str">
        <f>IF('Thiết Kế'!R108="","",'Thiết Kế'!R108)</f>
        <v/>
      </c>
      <c r="K504" s="52" t="str">
        <f t="array" ref="K504">IF(COUNTA('Thiết Kế'!T108:AE108)=0,"",INDEX('Thiết Kế'!T108:AE108,1,SUMPRODUCT(MAX(('Thiết Kế'!T108:AE108&lt;&gt;"")*(COLUMN('Thiết Kế'!T108:AE108)-COLUMN('Thiết Kế'!T108)+1)))))</f>
        <v/>
      </c>
      <c r="L504" s="52" t="str">
        <f>IF(AND(G504&lt;&gt;"",G504='Tổng hợp'!$C$4),MAX(L$1:L503)+1,"")</f>
        <v/>
      </c>
    </row>
    <row r="505" ht="15.75" customHeight="1">
      <c r="A505" s="52" t="str">
        <f>IF('Thiết Kế'!C109="","","Thiết Kế")</f>
        <v/>
      </c>
      <c r="B505" s="52" t="str">
        <f>IF('Thiết Kế'!B109="","",'Thiết Kế'!B109)</f>
        <v/>
      </c>
      <c r="C505" s="52" t="str">
        <f>IF('Thiết Kế'!C109="","",'Thiết Kế'!C109)</f>
        <v/>
      </c>
      <c r="D505" s="52" t="str">
        <f>IF('Thiết Kế'!D109="","",'Thiết Kế'!D109)</f>
        <v/>
      </c>
      <c r="E505" s="52" t="str">
        <f>IF('Thiết Kế'!E109="","",'Thiết Kế'!E109)</f>
        <v/>
      </c>
      <c r="F505" s="52" t="str">
        <f>IF('Thiết Kế'!F109="","",'Thiết Kế'!F109)</f>
        <v/>
      </c>
      <c r="G505" s="52" t="str">
        <f>IF('Thiết Kế'!G109="","",'Thiết Kế'!G109)</f>
        <v/>
      </c>
      <c r="H505" s="52" t="str">
        <f>IF('Thiết Kế'!J109="","",'Thiết Kế'!J109)</f>
        <v/>
      </c>
      <c r="I505" s="52" t="str">
        <f>IF('Thiết Kế'!M109="","",'Thiết Kế'!M109)</f>
        <v/>
      </c>
      <c r="J505" s="52" t="str">
        <f>IF('Thiết Kế'!R109="","",'Thiết Kế'!R109)</f>
        <v/>
      </c>
      <c r="K505" s="52" t="str">
        <f t="array" ref="K505">IF(COUNTA('Thiết Kế'!T109:AE109)=0,"",INDEX('Thiết Kế'!T109:AE109,1,SUMPRODUCT(MAX(('Thiết Kế'!T109:AE109&lt;&gt;"")*(COLUMN('Thiết Kế'!T109:AE109)-COLUMN('Thiết Kế'!T109)+1)))))</f>
        <v/>
      </c>
      <c r="L505" s="52" t="str">
        <f>IF(AND(G505&lt;&gt;"",G505='Tổng hợp'!$C$4),MAX(L$1:L504)+1,"")</f>
        <v/>
      </c>
    </row>
    <row r="506" ht="15.75" customHeight="1">
      <c r="A506" s="52" t="str">
        <f>IF('Thiết Kế'!C110="","","Thiết Kế")</f>
        <v/>
      </c>
      <c r="B506" s="52" t="str">
        <f>IF('Thiết Kế'!B110="","",'Thiết Kế'!B110)</f>
        <v/>
      </c>
      <c r="C506" s="52" t="str">
        <f>IF('Thiết Kế'!C110="","",'Thiết Kế'!C110)</f>
        <v/>
      </c>
      <c r="D506" s="52" t="str">
        <f>IF('Thiết Kế'!D110="","",'Thiết Kế'!D110)</f>
        <v/>
      </c>
      <c r="E506" s="52" t="str">
        <f>IF('Thiết Kế'!E110="","",'Thiết Kế'!E110)</f>
        <v/>
      </c>
      <c r="F506" s="52" t="str">
        <f>IF('Thiết Kế'!F110="","",'Thiết Kế'!F110)</f>
        <v/>
      </c>
      <c r="G506" s="52" t="str">
        <f>IF('Thiết Kế'!G110="","",'Thiết Kế'!G110)</f>
        <v/>
      </c>
      <c r="H506" s="52" t="str">
        <f>IF('Thiết Kế'!J110="","",'Thiết Kế'!J110)</f>
        <v/>
      </c>
      <c r="I506" s="52" t="str">
        <f>IF('Thiết Kế'!M110="","",'Thiết Kế'!M110)</f>
        <v/>
      </c>
      <c r="J506" s="52" t="str">
        <f>IF('Thiết Kế'!R110="","",'Thiết Kế'!R110)</f>
        <v/>
      </c>
      <c r="K506" s="52" t="str">
        <f t="array" ref="K506">IF(COUNTA('Thiết Kế'!T110:AE110)=0,"",INDEX('Thiết Kế'!T110:AE110,1,SUMPRODUCT(MAX(('Thiết Kế'!T110:AE110&lt;&gt;"")*(COLUMN('Thiết Kế'!T110:AE110)-COLUMN('Thiết Kế'!T110)+1)))))</f>
        <v/>
      </c>
      <c r="L506" s="52" t="str">
        <f>IF(AND(G506&lt;&gt;"",G506='Tổng hợp'!$C$4),MAX(L$1:L505)+1,"")</f>
        <v/>
      </c>
    </row>
    <row r="507" ht="15.75" customHeight="1">
      <c r="A507" s="52" t="str">
        <f>IF('Thiết Kế'!C111="","","Thiết Kế")</f>
        <v/>
      </c>
      <c r="B507" s="52" t="str">
        <f>IF('Thiết Kế'!B111="","",'Thiết Kế'!B111)</f>
        <v/>
      </c>
      <c r="C507" s="52" t="str">
        <f>IF('Thiết Kế'!C111="","",'Thiết Kế'!C111)</f>
        <v/>
      </c>
      <c r="D507" s="52" t="str">
        <f>IF('Thiết Kế'!D111="","",'Thiết Kế'!D111)</f>
        <v/>
      </c>
      <c r="E507" s="52" t="str">
        <f>IF('Thiết Kế'!E111="","",'Thiết Kế'!E111)</f>
        <v/>
      </c>
      <c r="F507" s="52" t="str">
        <f>IF('Thiết Kế'!F111="","",'Thiết Kế'!F111)</f>
        <v/>
      </c>
      <c r="G507" s="52" t="str">
        <f>IF('Thiết Kế'!G111="","",'Thiết Kế'!G111)</f>
        <v/>
      </c>
      <c r="H507" s="52" t="str">
        <f>IF('Thiết Kế'!J111="","",'Thiết Kế'!J111)</f>
        <v/>
      </c>
      <c r="I507" s="52" t="str">
        <f>IF('Thiết Kế'!M111="","",'Thiết Kế'!M111)</f>
        <v/>
      </c>
      <c r="J507" s="52" t="str">
        <f>IF('Thiết Kế'!R111="","",'Thiết Kế'!R111)</f>
        <v/>
      </c>
      <c r="K507" s="52" t="str">
        <f t="array" ref="K507">IF(COUNTA('Thiết Kế'!T111:AE111)=0,"",INDEX('Thiết Kế'!T111:AE111,1,SUMPRODUCT(MAX(('Thiết Kế'!T111:AE111&lt;&gt;"")*(COLUMN('Thiết Kế'!T111:AE111)-COLUMN('Thiết Kế'!T111)+1)))))</f>
        <v/>
      </c>
      <c r="L507" s="52" t="str">
        <f>IF(AND(G507&lt;&gt;"",G507='Tổng hợp'!$C$4),MAX(L$1:L506)+1,"")</f>
        <v/>
      </c>
    </row>
    <row r="508" ht="15.75" customHeight="1">
      <c r="A508" s="52" t="str">
        <f>IF('Thiết Kế'!C112="","","Thiết Kế")</f>
        <v/>
      </c>
      <c r="B508" s="52" t="str">
        <f>IF('Thiết Kế'!B112="","",'Thiết Kế'!B112)</f>
        <v/>
      </c>
      <c r="C508" s="52" t="str">
        <f>IF('Thiết Kế'!C112="","",'Thiết Kế'!C112)</f>
        <v/>
      </c>
      <c r="D508" s="52" t="str">
        <f>IF('Thiết Kế'!D112="","",'Thiết Kế'!D112)</f>
        <v/>
      </c>
      <c r="E508" s="52" t="str">
        <f>IF('Thiết Kế'!E112="","",'Thiết Kế'!E112)</f>
        <v/>
      </c>
      <c r="F508" s="52" t="str">
        <f>IF('Thiết Kế'!F112="","",'Thiết Kế'!F112)</f>
        <v/>
      </c>
      <c r="G508" s="52" t="str">
        <f>IF('Thiết Kế'!G112="","",'Thiết Kế'!G112)</f>
        <v/>
      </c>
      <c r="H508" s="52" t="str">
        <f>IF('Thiết Kế'!J112="","",'Thiết Kế'!J112)</f>
        <v/>
      </c>
      <c r="I508" s="52" t="str">
        <f>IF('Thiết Kế'!M112="","",'Thiết Kế'!M112)</f>
        <v/>
      </c>
      <c r="J508" s="52" t="str">
        <f>IF('Thiết Kế'!R112="","",'Thiết Kế'!R112)</f>
        <v/>
      </c>
      <c r="K508" s="52" t="str">
        <f t="array" ref="K508">IF(COUNTA('Thiết Kế'!T112:AE112)=0,"",INDEX('Thiết Kế'!T112:AE112,1,SUMPRODUCT(MAX(('Thiết Kế'!T112:AE112&lt;&gt;"")*(COLUMN('Thiết Kế'!T112:AE112)-COLUMN('Thiết Kế'!T112)+1)))))</f>
        <v/>
      </c>
      <c r="L508" s="52" t="str">
        <f>IF(AND(G508&lt;&gt;"",G508='Tổng hợp'!$C$4),MAX(L$1:L507)+1,"")</f>
        <v/>
      </c>
    </row>
    <row r="509" ht="15.75" customHeight="1">
      <c r="A509" s="52" t="str">
        <f>IF('Thiết Kế'!C113="","","Thiết Kế")</f>
        <v/>
      </c>
      <c r="B509" s="52" t="str">
        <f>IF('Thiết Kế'!B113="","",'Thiết Kế'!B113)</f>
        <v/>
      </c>
      <c r="C509" s="52" t="str">
        <f>IF('Thiết Kế'!C113="","",'Thiết Kế'!C113)</f>
        <v/>
      </c>
      <c r="D509" s="52" t="str">
        <f>IF('Thiết Kế'!D113="","",'Thiết Kế'!D113)</f>
        <v/>
      </c>
      <c r="E509" s="52" t="str">
        <f>IF('Thiết Kế'!E113="","",'Thiết Kế'!E113)</f>
        <v/>
      </c>
      <c r="F509" s="52" t="str">
        <f>IF('Thiết Kế'!F113="","",'Thiết Kế'!F113)</f>
        <v/>
      </c>
      <c r="G509" s="52" t="str">
        <f>IF('Thiết Kế'!G113="","",'Thiết Kế'!G113)</f>
        <v/>
      </c>
      <c r="H509" s="52" t="str">
        <f>IF('Thiết Kế'!J113="","",'Thiết Kế'!J113)</f>
        <v/>
      </c>
      <c r="I509" s="52" t="str">
        <f>IF('Thiết Kế'!M113="","",'Thiết Kế'!M113)</f>
        <v/>
      </c>
      <c r="J509" s="52" t="str">
        <f>IF('Thiết Kế'!R113="","",'Thiết Kế'!R113)</f>
        <v/>
      </c>
      <c r="K509" s="52" t="str">
        <f t="array" ref="K509">IF(COUNTA('Thiết Kế'!T113:AE113)=0,"",INDEX('Thiết Kế'!T113:AE113,1,SUMPRODUCT(MAX(('Thiết Kế'!T113:AE113&lt;&gt;"")*(COLUMN('Thiết Kế'!T113:AE113)-COLUMN('Thiết Kế'!T113)+1)))))</f>
        <v/>
      </c>
      <c r="L509" s="52" t="str">
        <f>IF(AND(G509&lt;&gt;"",G509='Tổng hợp'!$C$4),MAX(L$1:L508)+1,"")</f>
        <v/>
      </c>
    </row>
    <row r="510" ht="15.75" customHeight="1">
      <c r="A510" s="52" t="str">
        <f>IF('Thiết Kế'!C114="","","Thiết Kế")</f>
        <v/>
      </c>
      <c r="B510" s="52" t="str">
        <f>IF('Thiết Kế'!B114="","",'Thiết Kế'!B114)</f>
        <v/>
      </c>
      <c r="C510" s="52" t="str">
        <f>IF('Thiết Kế'!C114="","",'Thiết Kế'!C114)</f>
        <v/>
      </c>
      <c r="D510" s="52" t="str">
        <f>IF('Thiết Kế'!D114="","",'Thiết Kế'!D114)</f>
        <v/>
      </c>
      <c r="E510" s="52" t="str">
        <f>IF('Thiết Kế'!E114="","",'Thiết Kế'!E114)</f>
        <v/>
      </c>
      <c r="F510" s="52" t="str">
        <f>IF('Thiết Kế'!F114="","",'Thiết Kế'!F114)</f>
        <v/>
      </c>
      <c r="G510" s="52" t="str">
        <f>IF('Thiết Kế'!G114="","",'Thiết Kế'!G114)</f>
        <v/>
      </c>
      <c r="H510" s="52" t="str">
        <f>IF('Thiết Kế'!J114="","",'Thiết Kế'!J114)</f>
        <v/>
      </c>
      <c r="I510" s="52" t="str">
        <f>IF('Thiết Kế'!M114="","",'Thiết Kế'!M114)</f>
        <v/>
      </c>
      <c r="J510" s="52" t="str">
        <f>IF('Thiết Kế'!R114="","",'Thiết Kế'!R114)</f>
        <v/>
      </c>
      <c r="K510" s="52" t="str">
        <f t="array" ref="K510">IF(COUNTA('Thiết Kế'!T114:AE114)=0,"",INDEX('Thiết Kế'!T114:AE114,1,SUMPRODUCT(MAX(('Thiết Kế'!T114:AE114&lt;&gt;"")*(COLUMN('Thiết Kế'!T114:AE114)-COLUMN('Thiết Kế'!T114)+1)))))</f>
        <v/>
      </c>
      <c r="L510" s="52" t="str">
        <f>IF(AND(G510&lt;&gt;"",G510='Tổng hợp'!$C$4),MAX(L$1:L509)+1,"")</f>
        <v/>
      </c>
    </row>
    <row r="511" ht="15.75" customHeight="1">
      <c r="A511" s="52" t="str">
        <f>IF('Thiết Kế'!C115="","","Thiết Kế")</f>
        <v/>
      </c>
      <c r="B511" s="52" t="str">
        <f>IF('Thiết Kế'!B115="","",'Thiết Kế'!B115)</f>
        <v/>
      </c>
      <c r="C511" s="52" t="str">
        <f>IF('Thiết Kế'!C115="","",'Thiết Kế'!C115)</f>
        <v/>
      </c>
      <c r="D511" s="52" t="str">
        <f>IF('Thiết Kế'!D115="","",'Thiết Kế'!D115)</f>
        <v/>
      </c>
      <c r="E511" s="52" t="str">
        <f>IF('Thiết Kế'!E115="","",'Thiết Kế'!E115)</f>
        <v/>
      </c>
      <c r="F511" s="52" t="str">
        <f>IF('Thiết Kế'!F115="","",'Thiết Kế'!F115)</f>
        <v/>
      </c>
      <c r="G511" s="52" t="str">
        <f>IF('Thiết Kế'!G115="","",'Thiết Kế'!G115)</f>
        <v/>
      </c>
      <c r="H511" s="52" t="str">
        <f>IF('Thiết Kế'!J115="","",'Thiết Kế'!J115)</f>
        <v/>
      </c>
      <c r="I511" s="52" t="str">
        <f>IF('Thiết Kế'!M115="","",'Thiết Kế'!M115)</f>
        <v/>
      </c>
      <c r="J511" s="52" t="str">
        <f>IF('Thiết Kế'!R115="","",'Thiết Kế'!R115)</f>
        <v/>
      </c>
      <c r="K511" s="52" t="str">
        <f t="array" ref="K511">IF(COUNTA('Thiết Kế'!T115:AE115)=0,"",INDEX('Thiết Kế'!T115:AE115,1,SUMPRODUCT(MAX(('Thiết Kế'!T115:AE115&lt;&gt;"")*(COLUMN('Thiết Kế'!T115:AE115)-COLUMN('Thiết Kế'!T115)+1)))))</f>
        <v/>
      </c>
      <c r="L511" s="52" t="str">
        <f>IF(AND(G511&lt;&gt;"",G511='Tổng hợp'!$C$4),MAX(L$1:L510)+1,"")</f>
        <v/>
      </c>
    </row>
    <row r="512" ht="15.75" customHeight="1">
      <c r="A512" s="52" t="str">
        <f>IF('Thiết Kế'!C116="","","Thiết Kế")</f>
        <v/>
      </c>
      <c r="B512" s="52" t="str">
        <f>IF('Thiết Kế'!B116="","",'Thiết Kế'!B116)</f>
        <v/>
      </c>
      <c r="C512" s="52" t="str">
        <f>IF('Thiết Kế'!C116="","",'Thiết Kế'!C116)</f>
        <v/>
      </c>
      <c r="D512" s="52" t="str">
        <f>IF('Thiết Kế'!D116="","",'Thiết Kế'!D116)</f>
        <v/>
      </c>
      <c r="E512" s="52" t="str">
        <f>IF('Thiết Kế'!E116="","",'Thiết Kế'!E116)</f>
        <v/>
      </c>
      <c r="F512" s="52" t="str">
        <f>IF('Thiết Kế'!F116="","",'Thiết Kế'!F116)</f>
        <v/>
      </c>
      <c r="G512" s="52" t="str">
        <f>IF('Thiết Kế'!G116="","",'Thiết Kế'!G116)</f>
        <v/>
      </c>
      <c r="H512" s="52" t="str">
        <f>IF('Thiết Kế'!J116="","",'Thiết Kế'!J116)</f>
        <v/>
      </c>
      <c r="I512" s="52" t="str">
        <f>IF('Thiết Kế'!M116="","",'Thiết Kế'!M116)</f>
        <v/>
      </c>
      <c r="J512" s="52" t="str">
        <f>IF('Thiết Kế'!R116="","",'Thiết Kế'!R116)</f>
        <v/>
      </c>
      <c r="K512" s="52" t="str">
        <f t="array" ref="K512">IF(COUNTA('Thiết Kế'!T116:AE116)=0,"",INDEX('Thiết Kế'!T116:AE116,1,SUMPRODUCT(MAX(('Thiết Kế'!T116:AE116&lt;&gt;"")*(COLUMN('Thiết Kế'!T116:AE116)-COLUMN('Thiết Kế'!T116)+1)))))</f>
        <v/>
      </c>
      <c r="L512" s="52" t="str">
        <f>IF(AND(G512&lt;&gt;"",G512='Tổng hợp'!$C$4),MAX(L$1:L511)+1,"")</f>
        <v/>
      </c>
    </row>
    <row r="513" ht="15.75" customHeight="1">
      <c r="A513" s="52" t="str">
        <f>IF('Thiết Kế'!C117="","","Thiết Kế")</f>
        <v/>
      </c>
      <c r="B513" s="52" t="str">
        <f>IF('Thiết Kế'!B117="","",'Thiết Kế'!B117)</f>
        <v/>
      </c>
      <c r="C513" s="52" t="str">
        <f>IF('Thiết Kế'!C117="","",'Thiết Kế'!C117)</f>
        <v/>
      </c>
      <c r="D513" s="52" t="str">
        <f>IF('Thiết Kế'!D117="","",'Thiết Kế'!D117)</f>
        <v/>
      </c>
      <c r="E513" s="52" t="str">
        <f>IF('Thiết Kế'!E117="","",'Thiết Kế'!E117)</f>
        <v/>
      </c>
      <c r="F513" s="52" t="str">
        <f>IF('Thiết Kế'!F117="","",'Thiết Kế'!F117)</f>
        <v/>
      </c>
      <c r="G513" s="52" t="str">
        <f>IF('Thiết Kế'!G117="","",'Thiết Kế'!G117)</f>
        <v/>
      </c>
      <c r="H513" s="52" t="str">
        <f>IF('Thiết Kế'!J117="","",'Thiết Kế'!J117)</f>
        <v/>
      </c>
      <c r="I513" s="52" t="str">
        <f>IF('Thiết Kế'!M117="","",'Thiết Kế'!M117)</f>
        <v/>
      </c>
      <c r="J513" s="52" t="str">
        <f>IF('Thiết Kế'!R117="","",'Thiết Kế'!R117)</f>
        <v/>
      </c>
      <c r="K513" s="52" t="str">
        <f t="array" ref="K513">IF(COUNTA('Thiết Kế'!T117:AE117)=0,"",INDEX('Thiết Kế'!T117:AE117,1,SUMPRODUCT(MAX(('Thiết Kế'!T117:AE117&lt;&gt;"")*(COLUMN('Thiết Kế'!T117:AE117)-COLUMN('Thiết Kế'!T117)+1)))))</f>
        <v/>
      </c>
      <c r="L513" s="52" t="str">
        <f>IF(AND(G513&lt;&gt;"",G513='Tổng hợp'!$C$4),MAX(L$1:L512)+1,"")</f>
        <v/>
      </c>
    </row>
    <row r="514" ht="15.75" customHeight="1">
      <c r="A514" s="52" t="str">
        <f>IF('Thiết Kế'!C118="","","Thiết Kế")</f>
        <v/>
      </c>
      <c r="B514" s="52" t="str">
        <f>IF('Thiết Kế'!B118="","",'Thiết Kế'!B118)</f>
        <v/>
      </c>
      <c r="C514" s="52" t="str">
        <f>IF('Thiết Kế'!C118="","",'Thiết Kế'!C118)</f>
        <v/>
      </c>
      <c r="D514" s="52" t="str">
        <f>IF('Thiết Kế'!D118="","",'Thiết Kế'!D118)</f>
        <v/>
      </c>
      <c r="E514" s="52" t="str">
        <f>IF('Thiết Kế'!E118="","",'Thiết Kế'!E118)</f>
        <v/>
      </c>
      <c r="F514" s="52" t="str">
        <f>IF('Thiết Kế'!F118="","",'Thiết Kế'!F118)</f>
        <v/>
      </c>
      <c r="G514" s="52" t="str">
        <f>IF('Thiết Kế'!G118="","",'Thiết Kế'!G118)</f>
        <v/>
      </c>
      <c r="H514" s="52" t="str">
        <f>IF('Thiết Kế'!J118="","",'Thiết Kế'!J118)</f>
        <v/>
      </c>
      <c r="I514" s="52" t="str">
        <f>IF('Thiết Kế'!M118="","",'Thiết Kế'!M118)</f>
        <v/>
      </c>
      <c r="J514" s="52" t="str">
        <f>IF('Thiết Kế'!R118="","",'Thiết Kế'!R118)</f>
        <v/>
      </c>
      <c r="K514" s="52" t="str">
        <f t="array" ref="K514">IF(COUNTA('Thiết Kế'!T118:AE118)=0,"",INDEX('Thiết Kế'!T118:AE118,1,SUMPRODUCT(MAX(('Thiết Kế'!T118:AE118&lt;&gt;"")*(COLUMN('Thiết Kế'!T118:AE118)-COLUMN('Thiết Kế'!T118)+1)))))</f>
        <v/>
      </c>
      <c r="L514" s="52" t="str">
        <f>IF(AND(G514&lt;&gt;"",G514='Tổng hợp'!$C$4),MAX(L$1:L513)+1,"")</f>
        <v/>
      </c>
    </row>
    <row r="515" ht="15.75" customHeight="1">
      <c r="A515" s="52" t="str">
        <f>IF('Thiết Kế'!C119="","","Thiết Kế")</f>
        <v/>
      </c>
      <c r="B515" s="52" t="str">
        <f>IF('Thiết Kế'!B119="","",'Thiết Kế'!B119)</f>
        <v/>
      </c>
      <c r="C515" s="52" t="str">
        <f>IF('Thiết Kế'!C119="","",'Thiết Kế'!C119)</f>
        <v/>
      </c>
      <c r="D515" s="52" t="str">
        <f>IF('Thiết Kế'!D119="","",'Thiết Kế'!D119)</f>
        <v/>
      </c>
      <c r="E515" s="52" t="str">
        <f>IF('Thiết Kế'!E119="","",'Thiết Kế'!E119)</f>
        <v/>
      </c>
      <c r="F515" s="52" t="str">
        <f>IF('Thiết Kế'!F119="","",'Thiết Kế'!F119)</f>
        <v/>
      </c>
      <c r="G515" s="52" t="str">
        <f>IF('Thiết Kế'!G119="","",'Thiết Kế'!G119)</f>
        <v/>
      </c>
      <c r="H515" s="52" t="str">
        <f>IF('Thiết Kế'!J119="","",'Thiết Kế'!J119)</f>
        <v/>
      </c>
      <c r="I515" s="52" t="str">
        <f>IF('Thiết Kế'!M119="","",'Thiết Kế'!M119)</f>
        <v/>
      </c>
      <c r="J515" s="52" t="str">
        <f>IF('Thiết Kế'!R119="","",'Thiết Kế'!R119)</f>
        <v/>
      </c>
      <c r="K515" s="52" t="str">
        <f t="array" ref="K515">IF(COUNTA('Thiết Kế'!T119:AE119)=0,"",INDEX('Thiết Kế'!T119:AE119,1,SUMPRODUCT(MAX(('Thiết Kế'!T119:AE119&lt;&gt;"")*(COLUMN('Thiết Kế'!T119:AE119)-COLUMN('Thiết Kế'!T119)+1)))))</f>
        <v/>
      </c>
      <c r="L515" s="52" t="str">
        <f>IF(AND(G515&lt;&gt;"",G515='Tổng hợp'!$C$4),MAX(L$1:L514)+1,"")</f>
        <v/>
      </c>
    </row>
    <row r="516" ht="15.75" customHeight="1">
      <c r="A516" s="52" t="str">
        <f>IF('Thiết Kế'!C120="","","Thiết Kế")</f>
        <v/>
      </c>
      <c r="B516" s="52" t="str">
        <f>IF('Thiết Kế'!B120="","",'Thiết Kế'!B120)</f>
        <v/>
      </c>
      <c r="C516" s="52" t="str">
        <f>IF('Thiết Kế'!C120="","",'Thiết Kế'!C120)</f>
        <v/>
      </c>
      <c r="D516" s="52" t="str">
        <f>IF('Thiết Kế'!D120="","",'Thiết Kế'!D120)</f>
        <v/>
      </c>
      <c r="E516" s="52" t="str">
        <f>IF('Thiết Kế'!E120="","",'Thiết Kế'!E120)</f>
        <v/>
      </c>
      <c r="F516" s="52" t="str">
        <f>IF('Thiết Kế'!F120="","",'Thiết Kế'!F120)</f>
        <v/>
      </c>
      <c r="G516" s="52" t="str">
        <f>IF('Thiết Kế'!G120="","",'Thiết Kế'!G120)</f>
        <v/>
      </c>
      <c r="H516" s="52" t="str">
        <f>IF('Thiết Kế'!J120="","",'Thiết Kế'!J120)</f>
        <v/>
      </c>
      <c r="I516" s="52" t="str">
        <f>IF('Thiết Kế'!M120="","",'Thiết Kế'!M120)</f>
        <v/>
      </c>
      <c r="J516" s="52" t="str">
        <f>IF('Thiết Kế'!R120="","",'Thiết Kế'!R120)</f>
        <v/>
      </c>
      <c r="K516" s="52" t="str">
        <f t="array" ref="K516">IF(COUNTA('Thiết Kế'!T120:AE120)=0,"",INDEX('Thiết Kế'!T120:AE120,1,SUMPRODUCT(MAX(('Thiết Kế'!T120:AE120&lt;&gt;"")*(COLUMN('Thiết Kế'!T120:AE120)-COLUMN('Thiết Kế'!T120)+1)))))</f>
        <v/>
      </c>
      <c r="L516" s="52" t="str">
        <f>IF(AND(G516&lt;&gt;"",G516='Tổng hợp'!$C$4),MAX(L$1:L515)+1,"")</f>
        <v/>
      </c>
    </row>
    <row r="517" ht="15.75" customHeight="1">
      <c r="A517" s="52" t="str">
        <f>IF('Thiết Kế'!C121="","","Thiết Kế")</f>
        <v/>
      </c>
      <c r="B517" s="52" t="str">
        <f>IF('Thiết Kế'!B121="","",'Thiết Kế'!B121)</f>
        <v/>
      </c>
      <c r="C517" s="52" t="str">
        <f>IF('Thiết Kế'!C121="","",'Thiết Kế'!C121)</f>
        <v/>
      </c>
      <c r="D517" s="52" t="str">
        <f>IF('Thiết Kế'!D121="","",'Thiết Kế'!D121)</f>
        <v/>
      </c>
      <c r="E517" s="52" t="str">
        <f>IF('Thiết Kế'!E121="","",'Thiết Kế'!E121)</f>
        <v/>
      </c>
      <c r="F517" s="52" t="str">
        <f>IF('Thiết Kế'!F121="","",'Thiết Kế'!F121)</f>
        <v/>
      </c>
      <c r="G517" s="52" t="str">
        <f>IF('Thiết Kế'!G121="","",'Thiết Kế'!G121)</f>
        <v/>
      </c>
      <c r="H517" s="52" t="str">
        <f>IF('Thiết Kế'!J121="","",'Thiết Kế'!J121)</f>
        <v/>
      </c>
      <c r="I517" s="52" t="str">
        <f>IF('Thiết Kế'!M121="","",'Thiết Kế'!M121)</f>
        <v/>
      </c>
      <c r="J517" s="52" t="str">
        <f>IF('Thiết Kế'!R121="","",'Thiết Kế'!R121)</f>
        <v/>
      </c>
      <c r="K517" s="52" t="str">
        <f t="array" ref="K517">IF(COUNTA('Thiết Kế'!T121:AE121)=0,"",INDEX('Thiết Kế'!T121:AE121,1,SUMPRODUCT(MAX(('Thiết Kế'!T121:AE121&lt;&gt;"")*(COLUMN('Thiết Kế'!T121:AE121)-COLUMN('Thiết Kế'!T121)+1)))))</f>
        <v/>
      </c>
      <c r="L517" s="52" t="str">
        <f>IF(AND(G517&lt;&gt;"",G517='Tổng hợp'!$C$4),MAX(L$1:L516)+1,"")</f>
        <v/>
      </c>
    </row>
    <row r="518" ht="15.75" customHeight="1">
      <c r="A518" s="52" t="str">
        <f>IF('Thiết Kế'!C122="","","Thiết Kế")</f>
        <v/>
      </c>
      <c r="B518" s="52" t="str">
        <f>IF('Thiết Kế'!B122="","",'Thiết Kế'!B122)</f>
        <v/>
      </c>
      <c r="C518" s="52" t="str">
        <f>IF('Thiết Kế'!C122="","",'Thiết Kế'!C122)</f>
        <v/>
      </c>
      <c r="D518" s="52" t="str">
        <f>IF('Thiết Kế'!D122="","",'Thiết Kế'!D122)</f>
        <v/>
      </c>
      <c r="E518" s="52" t="str">
        <f>IF('Thiết Kế'!E122="","",'Thiết Kế'!E122)</f>
        <v/>
      </c>
      <c r="F518" s="52" t="str">
        <f>IF('Thiết Kế'!F122="","",'Thiết Kế'!F122)</f>
        <v/>
      </c>
      <c r="G518" s="52" t="str">
        <f>IF('Thiết Kế'!G122="","",'Thiết Kế'!G122)</f>
        <v/>
      </c>
      <c r="H518" s="52" t="str">
        <f>IF('Thiết Kế'!J122="","",'Thiết Kế'!J122)</f>
        <v/>
      </c>
      <c r="I518" s="52" t="str">
        <f>IF('Thiết Kế'!M122="","",'Thiết Kế'!M122)</f>
        <v/>
      </c>
      <c r="J518" s="52" t="str">
        <f>IF('Thiết Kế'!R122="","",'Thiết Kế'!R122)</f>
        <v/>
      </c>
      <c r="K518" s="52" t="str">
        <f t="array" ref="K518">IF(COUNTA('Thiết Kế'!T122:AE122)=0,"",INDEX('Thiết Kế'!T122:AE122,1,SUMPRODUCT(MAX(('Thiết Kế'!T122:AE122&lt;&gt;"")*(COLUMN('Thiết Kế'!T122:AE122)-COLUMN('Thiết Kế'!T122)+1)))))</f>
        <v/>
      </c>
      <c r="L518" s="52" t="str">
        <f>IF(AND(G518&lt;&gt;"",G518='Tổng hợp'!$C$4),MAX(L$1:L517)+1,"")</f>
        <v/>
      </c>
    </row>
    <row r="519" ht="15.75" customHeight="1">
      <c r="A519" s="52" t="str">
        <f>IF('Thiết Kế'!C123="","","Thiết Kế")</f>
        <v/>
      </c>
      <c r="B519" s="52" t="str">
        <f>IF('Thiết Kế'!B123="","",'Thiết Kế'!B123)</f>
        <v/>
      </c>
      <c r="C519" s="52" t="str">
        <f>IF('Thiết Kế'!C123="","",'Thiết Kế'!C123)</f>
        <v/>
      </c>
      <c r="D519" s="52" t="str">
        <f>IF('Thiết Kế'!D123="","",'Thiết Kế'!D123)</f>
        <v/>
      </c>
      <c r="E519" s="52" t="str">
        <f>IF('Thiết Kế'!E123="","",'Thiết Kế'!E123)</f>
        <v/>
      </c>
      <c r="F519" s="52" t="str">
        <f>IF('Thiết Kế'!F123="","",'Thiết Kế'!F123)</f>
        <v/>
      </c>
      <c r="G519" s="52" t="str">
        <f>IF('Thiết Kế'!G123="","",'Thiết Kế'!G123)</f>
        <v/>
      </c>
      <c r="H519" s="52" t="str">
        <f>IF('Thiết Kế'!J123="","",'Thiết Kế'!J123)</f>
        <v/>
      </c>
      <c r="I519" s="52" t="str">
        <f>IF('Thiết Kế'!M123="","",'Thiết Kế'!M123)</f>
        <v/>
      </c>
      <c r="J519" s="52" t="str">
        <f>IF('Thiết Kế'!R123="","",'Thiết Kế'!R123)</f>
        <v/>
      </c>
      <c r="K519" s="52" t="str">
        <f t="array" ref="K519">IF(COUNTA('Thiết Kế'!T123:AE123)=0,"",INDEX('Thiết Kế'!T123:AE123,1,SUMPRODUCT(MAX(('Thiết Kế'!T123:AE123&lt;&gt;"")*(COLUMN('Thiết Kế'!T123:AE123)-COLUMN('Thiết Kế'!T123)+1)))))</f>
        <v/>
      </c>
      <c r="L519" s="52" t="str">
        <f>IF(AND(G519&lt;&gt;"",G519='Tổng hợp'!$C$4),MAX(L$1:L518)+1,"")</f>
        <v/>
      </c>
    </row>
    <row r="520" ht="15.75" customHeight="1">
      <c r="A520" s="52" t="str">
        <f>IF('Thiết Kế'!C124="","","Thiết Kế")</f>
        <v/>
      </c>
      <c r="B520" s="52" t="str">
        <f>IF('Thiết Kế'!B124="","",'Thiết Kế'!B124)</f>
        <v/>
      </c>
      <c r="C520" s="52" t="str">
        <f>IF('Thiết Kế'!C124="","",'Thiết Kế'!C124)</f>
        <v/>
      </c>
      <c r="D520" s="52" t="str">
        <f>IF('Thiết Kế'!D124="","",'Thiết Kế'!D124)</f>
        <v/>
      </c>
      <c r="E520" s="52" t="str">
        <f>IF('Thiết Kế'!E124="","",'Thiết Kế'!E124)</f>
        <v/>
      </c>
      <c r="F520" s="52" t="str">
        <f>IF('Thiết Kế'!F124="","",'Thiết Kế'!F124)</f>
        <v/>
      </c>
      <c r="G520" s="52" t="str">
        <f>IF('Thiết Kế'!G124="","",'Thiết Kế'!G124)</f>
        <v/>
      </c>
      <c r="H520" s="52" t="str">
        <f>IF('Thiết Kế'!J124="","",'Thiết Kế'!J124)</f>
        <v/>
      </c>
      <c r="I520" s="52" t="str">
        <f>IF('Thiết Kế'!M124="","",'Thiết Kế'!M124)</f>
        <v/>
      </c>
      <c r="J520" s="52" t="str">
        <f>IF('Thiết Kế'!R124="","",'Thiết Kế'!R124)</f>
        <v/>
      </c>
      <c r="K520" s="52" t="str">
        <f t="array" ref="K520">IF(COUNTA('Thiết Kế'!T124:AE124)=0,"",INDEX('Thiết Kế'!T124:AE124,1,SUMPRODUCT(MAX(('Thiết Kế'!T124:AE124&lt;&gt;"")*(COLUMN('Thiết Kế'!T124:AE124)-COLUMN('Thiết Kế'!T124)+1)))))</f>
        <v/>
      </c>
      <c r="L520" s="52" t="str">
        <f>IF(AND(G520&lt;&gt;"",G520='Tổng hợp'!$C$4),MAX(L$1:L519)+1,"")</f>
        <v/>
      </c>
    </row>
    <row r="521" ht="15.75" customHeight="1">
      <c r="A521" s="52" t="str">
        <f>IF('Thiết Kế'!C125="","","Thiết Kế")</f>
        <v/>
      </c>
      <c r="B521" s="52" t="str">
        <f>IF('Thiết Kế'!B125="","",'Thiết Kế'!B125)</f>
        <v/>
      </c>
      <c r="C521" s="52" t="str">
        <f>IF('Thiết Kế'!C125="","",'Thiết Kế'!C125)</f>
        <v/>
      </c>
      <c r="D521" s="52" t="str">
        <f>IF('Thiết Kế'!D125="","",'Thiết Kế'!D125)</f>
        <v/>
      </c>
      <c r="E521" s="52" t="str">
        <f>IF('Thiết Kế'!E125="","",'Thiết Kế'!E125)</f>
        <v/>
      </c>
      <c r="F521" s="52" t="str">
        <f>IF('Thiết Kế'!F125="","",'Thiết Kế'!F125)</f>
        <v/>
      </c>
      <c r="G521" s="52" t="str">
        <f>IF('Thiết Kế'!G125="","",'Thiết Kế'!G125)</f>
        <v/>
      </c>
      <c r="H521" s="52" t="str">
        <f>IF('Thiết Kế'!J125="","",'Thiết Kế'!J125)</f>
        <v/>
      </c>
      <c r="I521" s="52" t="str">
        <f>IF('Thiết Kế'!M125="","",'Thiết Kế'!M125)</f>
        <v/>
      </c>
      <c r="J521" s="52" t="str">
        <f>IF('Thiết Kế'!R125="","",'Thiết Kế'!R125)</f>
        <v/>
      </c>
      <c r="K521" s="52" t="str">
        <f t="array" ref="K521">IF(COUNTA('Thiết Kế'!T125:AE125)=0,"",INDEX('Thiết Kế'!T125:AE125,1,SUMPRODUCT(MAX(('Thiết Kế'!T125:AE125&lt;&gt;"")*(COLUMN('Thiết Kế'!T125:AE125)-COLUMN('Thiết Kế'!T125)+1)))))</f>
        <v/>
      </c>
      <c r="L521" s="52" t="str">
        <f>IF(AND(G521&lt;&gt;"",G521='Tổng hợp'!$C$4),MAX(L$1:L520)+1,"")</f>
        <v/>
      </c>
    </row>
    <row r="522" ht="15.75" customHeight="1">
      <c r="A522" s="52" t="str">
        <f>IF('Thiết Kế'!C126="","","Thiết Kế")</f>
        <v/>
      </c>
      <c r="B522" s="52" t="str">
        <f>IF('Thiết Kế'!B126="","",'Thiết Kế'!B126)</f>
        <v/>
      </c>
      <c r="C522" s="52" t="str">
        <f>IF('Thiết Kế'!C126="","",'Thiết Kế'!C126)</f>
        <v/>
      </c>
      <c r="D522" s="52" t="str">
        <f>IF('Thiết Kế'!D126="","",'Thiết Kế'!D126)</f>
        <v/>
      </c>
      <c r="E522" s="52" t="str">
        <f>IF('Thiết Kế'!E126="","",'Thiết Kế'!E126)</f>
        <v/>
      </c>
      <c r="F522" s="52" t="str">
        <f>IF('Thiết Kế'!F126="","",'Thiết Kế'!F126)</f>
        <v/>
      </c>
      <c r="G522" s="52" t="str">
        <f>IF('Thiết Kế'!G126="","",'Thiết Kế'!G126)</f>
        <v/>
      </c>
      <c r="H522" s="52" t="str">
        <f>IF('Thiết Kế'!J126="","",'Thiết Kế'!J126)</f>
        <v/>
      </c>
      <c r="I522" s="52" t="str">
        <f>IF('Thiết Kế'!M126="","",'Thiết Kế'!M126)</f>
        <v/>
      </c>
      <c r="J522" s="52" t="str">
        <f>IF('Thiết Kế'!R126="","",'Thiết Kế'!R126)</f>
        <v/>
      </c>
      <c r="K522" s="52" t="str">
        <f t="array" ref="K522">IF(COUNTA('Thiết Kế'!T126:AE126)=0,"",INDEX('Thiết Kế'!T126:AE126,1,SUMPRODUCT(MAX(('Thiết Kế'!T126:AE126&lt;&gt;"")*(COLUMN('Thiết Kế'!T126:AE126)-COLUMN('Thiết Kế'!T126)+1)))))</f>
        <v/>
      </c>
      <c r="L522" s="52" t="str">
        <f>IF(AND(G522&lt;&gt;"",G522='Tổng hợp'!$C$4),MAX(L$1:L521)+1,"")</f>
        <v/>
      </c>
    </row>
    <row r="523" ht="15.75" customHeight="1">
      <c r="A523" s="52" t="str">
        <f>IF('Thiết Kế'!C127="","","Thiết Kế")</f>
        <v/>
      </c>
      <c r="B523" s="52" t="str">
        <f>IF('Thiết Kế'!B127="","",'Thiết Kế'!B127)</f>
        <v/>
      </c>
      <c r="C523" s="52" t="str">
        <f>IF('Thiết Kế'!C127="","",'Thiết Kế'!C127)</f>
        <v/>
      </c>
      <c r="D523" s="52" t="str">
        <f>IF('Thiết Kế'!D127="","",'Thiết Kế'!D127)</f>
        <v/>
      </c>
      <c r="E523" s="52" t="str">
        <f>IF('Thiết Kế'!E127="","",'Thiết Kế'!E127)</f>
        <v/>
      </c>
      <c r="F523" s="52" t="str">
        <f>IF('Thiết Kế'!F127="","",'Thiết Kế'!F127)</f>
        <v/>
      </c>
      <c r="G523" s="52" t="str">
        <f>IF('Thiết Kế'!G127="","",'Thiết Kế'!G127)</f>
        <v/>
      </c>
      <c r="H523" s="52" t="str">
        <f>IF('Thiết Kế'!J127="","",'Thiết Kế'!J127)</f>
        <v/>
      </c>
      <c r="I523" s="52" t="str">
        <f>IF('Thiết Kế'!M127="","",'Thiết Kế'!M127)</f>
        <v/>
      </c>
      <c r="J523" s="52" t="str">
        <f>IF('Thiết Kế'!R127="","",'Thiết Kế'!R127)</f>
        <v/>
      </c>
      <c r="K523" s="52" t="str">
        <f t="array" ref="K523">IF(COUNTA('Thiết Kế'!T127:AE127)=0,"",INDEX('Thiết Kế'!T127:AE127,1,SUMPRODUCT(MAX(('Thiết Kế'!T127:AE127&lt;&gt;"")*(COLUMN('Thiết Kế'!T127:AE127)-COLUMN('Thiết Kế'!T127)+1)))))</f>
        <v/>
      </c>
      <c r="L523" s="52" t="str">
        <f>IF(AND(G523&lt;&gt;"",G523='Tổng hợp'!$C$4),MAX(L$1:L522)+1,"")</f>
        <v/>
      </c>
    </row>
    <row r="524" ht="15.75" customHeight="1">
      <c r="A524" s="52" t="str">
        <f>IF('Thiết Kế'!C128="","","Thiết Kế")</f>
        <v/>
      </c>
      <c r="B524" s="52" t="str">
        <f>IF('Thiết Kế'!B128="","",'Thiết Kế'!B128)</f>
        <v/>
      </c>
      <c r="C524" s="52" t="str">
        <f>IF('Thiết Kế'!C128="","",'Thiết Kế'!C128)</f>
        <v/>
      </c>
      <c r="D524" s="52" t="str">
        <f>IF('Thiết Kế'!D128="","",'Thiết Kế'!D128)</f>
        <v/>
      </c>
      <c r="E524" s="52" t="str">
        <f>IF('Thiết Kế'!E128="","",'Thiết Kế'!E128)</f>
        <v/>
      </c>
      <c r="F524" s="52" t="str">
        <f>IF('Thiết Kế'!F128="","",'Thiết Kế'!F128)</f>
        <v/>
      </c>
      <c r="G524" s="52" t="str">
        <f>IF('Thiết Kế'!G128="","",'Thiết Kế'!G128)</f>
        <v/>
      </c>
      <c r="H524" s="52" t="str">
        <f>IF('Thiết Kế'!J128="","",'Thiết Kế'!J128)</f>
        <v/>
      </c>
      <c r="I524" s="52" t="str">
        <f>IF('Thiết Kế'!M128="","",'Thiết Kế'!M128)</f>
        <v/>
      </c>
      <c r="J524" s="52" t="str">
        <f>IF('Thiết Kế'!R128="","",'Thiết Kế'!R128)</f>
        <v/>
      </c>
      <c r="K524" s="52" t="str">
        <f t="array" ref="K524">IF(COUNTA('Thiết Kế'!T128:AE128)=0,"",INDEX('Thiết Kế'!T128:AE128,1,SUMPRODUCT(MAX(('Thiết Kế'!T128:AE128&lt;&gt;"")*(COLUMN('Thiết Kế'!T128:AE128)-COLUMN('Thiết Kế'!T128)+1)))))</f>
        <v/>
      </c>
      <c r="L524" s="52" t="str">
        <f>IF(AND(G524&lt;&gt;"",G524='Tổng hợp'!$C$4),MAX(L$1:L523)+1,"")</f>
        <v/>
      </c>
    </row>
    <row r="525" ht="15.75" customHeight="1">
      <c r="A525" s="52" t="str">
        <f>IF('Thiết Kế'!C129="","","Thiết Kế")</f>
        <v/>
      </c>
      <c r="B525" s="52" t="str">
        <f>IF('Thiết Kế'!B129="","",'Thiết Kế'!B129)</f>
        <v/>
      </c>
      <c r="C525" s="52" t="str">
        <f>IF('Thiết Kế'!C129="","",'Thiết Kế'!C129)</f>
        <v/>
      </c>
      <c r="D525" s="52" t="str">
        <f>IF('Thiết Kế'!D129="","",'Thiết Kế'!D129)</f>
        <v/>
      </c>
      <c r="E525" s="52" t="str">
        <f>IF('Thiết Kế'!E129="","",'Thiết Kế'!E129)</f>
        <v/>
      </c>
      <c r="F525" s="52" t="str">
        <f>IF('Thiết Kế'!F129="","",'Thiết Kế'!F129)</f>
        <v/>
      </c>
      <c r="G525" s="52" t="str">
        <f>IF('Thiết Kế'!G129="","",'Thiết Kế'!G129)</f>
        <v/>
      </c>
      <c r="H525" s="52" t="str">
        <f>IF('Thiết Kế'!J129="","",'Thiết Kế'!J129)</f>
        <v/>
      </c>
      <c r="I525" s="52" t="str">
        <f>IF('Thiết Kế'!M129="","",'Thiết Kế'!M129)</f>
        <v/>
      </c>
      <c r="J525" s="52" t="str">
        <f>IF('Thiết Kế'!R129="","",'Thiết Kế'!R129)</f>
        <v/>
      </c>
      <c r="K525" s="52" t="str">
        <f t="array" ref="K525">IF(COUNTA('Thiết Kế'!T129:AE129)=0,"",INDEX('Thiết Kế'!T129:AE129,1,SUMPRODUCT(MAX(('Thiết Kế'!T129:AE129&lt;&gt;"")*(COLUMN('Thiết Kế'!T129:AE129)-COLUMN('Thiết Kế'!T129)+1)))))</f>
        <v/>
      </c>
      <c r="L525" s="52" t="str">
        <f>IF(AND(G525&lt;&gt;"",G525='Tổng hợp'!$C$4),MAX(L$1:L524)+1,"")</f>
        <v/>
      </c>
    </row>
    <row r="526" ht="15.75" customHeight="1">
      <c r="A526" s="52" t="str">
        <f>IF('Thiết Kế'!C130="","","Thiết Kế")</f>
        <v/>
      </c>
      <c r="B526" s="52" t="str">
        <f>IF('Thiết Kế'!B130="","",'Thiết Kế'!B130)</f>
        <v/>
      </c>
      <c r="C526" s="52" t="str">
        <f>IF('Thiết Kế'!C130="","",'Thiết Kế'!C130)</f>
        <v/>
      </c>
      <c r="D526" s="52" t="str">
        <f>IF('Thiết Kế'!D130="","",'Thiết Kế'!D130)</f>
        <v/>
      </c>
      <c r="E526" s="52" t="str">
        <f>IF('Thiết Kế'!E130="","",'Thiết Kế'!E130)</f>
        <v/>
      </c>
      <c r="F526" s="52" t="str">
        <f>IF('Thiết Kế'!F130="","",'Thiết Kế'!F130)</f>
        <v/>
      </c>
      <c r="G526" s="52" t="str">
        <f>IF('Thiết Kế'!G130="","",'Thiết Kế'!G130)</f>
        <v/>
      </c>
      <c r="H526" s="52" t="str">
        <f>IF('Thiết Kế'!J130="","",'Thiết Kế'!J130)</f>
        <v/>
      </c>
      <c r="I526" s="52" t="str">
        <f>IF('Thiết Kế'!M130="","",'Thiết Kế'!M130)</f>
        <v/>
      </c>
      <c r="J526" s="52" t="str">
        <f>IF('Thiết Kế'!R130="","",'Thiết Kế'!R130)</f>
        <v/>
      </c>
      <c r="K526" s="52" t="str">
        <f t="array" ref="K526">IF(COUNTA('Thiết Kế'!T130:AE130)=0,"",INDEX('Thiết Kế'!T130:AE130,1,SUMPRODUCT(MAX(('Thiết Kế'!T130:AE130&lt;&gt;"")*(COLUMN('Thiết Kế'!T130:AE130)-COLUMN('Thiết Kế'!T130)+1)))))</f>
        <v/>
      </c>
      <c r="L526" s="52" t="str">
        <f>IF(AND(G526&lt;&gt;"",G526='Tổng hợp'!$C$4),MAX(L$1:L525)+1,"")</f>
        <v/>
      </c>
    </row>
    <row r="527" ht="15.75" customHeight="1">
      <c r="A527" s="52" t="str">
        <f>IF('Thiết Kế'!C131="","","Thiết Kế")</f>
        <v/>
      </c>
      <c r="B527" s="52" t="str">
        <f>IF('Thiết Kế'!B131="","",'Thiết Kế'!B131)</f>
        <v/>
      </c>
      <c r="C527" s="52" t="str">
        <f>IF('Thiết Kế'!C131="","",'Thiết Kế'!C131)</f>
        <v/>
      </c>
      <c r="D527" s="52" t="str">
        <f>IF('Thiết Kế'!D131="","",'Thiết Kế'!D131)</f>
        <v/>
      </c>
      <c r="E527" s="52" t="str">
        <f>IF('Thiết Kế'!E131="","",'Thiết Kế'!E131)</f>
        <v/>
      </c>
      <c r="F527" s="52" t="str">
        <f>IF('Thiết Kế'!F131="","",'Thiết Kế'!F131)</f>
        <v/>
      </c>
      <c r="G527" s="52" t="str">
        <f>IF('Thiết Kế'!G131="","",'Thiết Kế'!G131)</f>
        <v/>
      </c>
      <c r="H527" s="52" t="str">
        <f>IF('Thiết Kế'!J131="","",'Thiết Kế'!J131)</f>
        <v/>
      </c>
      <c r="I527" s="52" t="str">
        <f>IF('Thiết Kế'!M131="","",'Thiết Kế'!M131)</f>
        <v/>
      </c>
      <c r="J527" s="52" t="str">
        <f>IF('Thiết Kế'!R131="","",'Thiết Kế'!R131)</f>
        <v/>
      </c>
      <c r="K527" s="52" t="str">
        <f t="array" ref="K527">IF(COUNTA('Thiết Kế'!T131:AE131)=0,"",INDEX('Thiết Kế'!T131:AE131,1,SUMPRODUCT(MAX(('Thiết Kế'!T131:AE131&lt;&gt;"")*(COLUMN('Thiết Kế'!T131:AE131)-COLUMN('Thiết Kế'!T131)+1)))))</f>
        <v/>
      </c>
      <c r="L527" s="52" t="str">
        <f>IF(AND(G527&lt;&gt;"",G527='Tổng hợp'!$C$4),MAX(L$1:L526)+1,"")</f>
        <v/>
      </c>
    </row>
    <row r="528" ht="15.75" customHeight="1">
      <c r="A528" s="52" t="str">
        <f>IF('Thiết Kế'!C132="","","Thiết Kế")</f>
        <v/>
      </c>
      <c r="B528" s="52" t="str">
        <f>IF('Thiết Kế'!B132="","",'Thiết Kế'!B132)</f>
        <v/>
      </c>
      <c r="C528" s="52" t="str">
        <f>IF('Thiết Kế'!C132="","",'Thiết Kế'!C132)</f>
        <v/>
      </c>
      <c r="D528" s="52" t="str">
        <f>IF('Thiết Kế'!D132="","",'Thiết Kế'!D132)</f>
        <v/>
      </c>
      <c r="E528" s="52" t="str">
        <f>IF('Thiết Kế'!E132="","",'Thiết Kế'!E132)</f>
        <v/>
      </c>
      <c r="F528" s="52" t="str">
        <f>IF('Thiết Kế'!F132="","",'Thiết Kế'!F132)</f>
        <v/>
      </c>
      <c r="G528" s="52" t="str">
        <f>IF('Thiết Kế'!G132="","",'Thiết Kế'!G132)</f>
        <v/>
      </c>
      <c r="H528" s="52" t="str">
        <f>IF('Thiết Kế'!J132="","",'Thiết Kế'!J132)</f>
        <v/>
      </c>
      <c r="I528" s="52" t="str">
        <f>IF('Thiết Kế'!M132="","",'Thiết Kế'!M132)</f>
        <v/>
      </c>
      <c r="J528" s="52" t="str">
        <f>IF('Thiết Kế'!R132="","",'Thiết Kế'!R132)</f>
        <v/>
      </c>
      <c r="K528" s="52" t="str">
        <f t="array" ref="K528">IF(COUNTA('Thiết Kế'!T132:AE132)=0,"",INDEX('Thiết Kế'!T132:AE132,1,SUMPRODUCT(MAX(('Thiết Kế'!T132:AE132&lt;&gt;"")*(COLUMN('Thiết Kế'!T132:AE132)-COLUMN('Thiết Kế'!T132)+1)))))</f>
        <v/>
      </c>
      <c r="L528" s="52" t="str">
        <f>IF(AND(G528&lt;&gt;"",G528='Tổng hợp'!$C$4),MAX(L$1:L527)+1,"")</f>
        <v/>
      </c>
    </row>
    <row r="529" ht="15.75" customHeight="1">
      <c r="A529" s="52" t="str">
        <f>IF('Thiết Kế'!C133="","","Thiết Kế")</f>
        <v/>
      </c>
      <c r="B529" s="52" t="str">
        <f>IF('Thiết Kế'!B133="","",'Thiết Kế'!B133)</f>
        <v/>
      </c>
      <c r="C529" s="52" t="str">
        <f>IF('Thiết Kế'!C133="","",'Thiết Kế'!C133)</f>
        <v/>
      </c>
      <c r="D529" s="52" t="str">
        <f>IF('Thiết Kế'!D133="","",'Thiết Kế'!D133)</f>
        <v/>
      </c>
      <c r="E529" s="52" t="str">
        <f>IF('Thiết Kế'!E133="","",'Thiết Kế'!E133)</f>
        <v/>
      </c>
      <c r="F529" s="52" t="str">
        <f>IF('Thiết Kế'!F133="","",'Thiết Kế'!F133)</f>
        <v/>
      </c>
      <c r="G529" s="52" t="str">
        <f>IF('Thiết Kế'!G133="","",'Thiết Kế'!G133)</f>
        <v/>
      </c>
      <c r="H529" s="52" t="str">
        <f>IF('Thiết Kế'!J133="","",'Thiết Kế'!J133)</f>
        <v/>
      </c>
      <c r="I529" s="52" t="str">
        <f>IF('Thiết Kế'!M133="","",'Thiết Kế'!M133)</f>
        <v/>
      </c>
      <c r="J529" s="52" t="str">
        <f>IF('Thiết Kế'!R133="","",'Thiết Kế'!R133)</f>
        <v/>
      </c>
      <c r="K529" s="52" t="str">
        <f t="array" ref="K529">IF(COUNTA('Thiết Kế'!T133:AE133)=0,"",INDEX('Thiết Kế'!T133:AE133,1,SUMPRODUCT(MAX(('Thiết Kế'!T133:AE133&lt;&gt;"")*(COLUMN('Thiết Kế'!T133:AE133)-COLUMN('Thiết Kế'!T133)+1)))))</f>
        <v/>
      </c>
      <c r="L529" s="52" t="str">
        <f>IF(AND(G529&lt;&gt;"",G529='Tổng hợp'!$C$4),MAX(L$1:L528)+1,"")</f>
        <v/>
      </c>
    </row>
    <row r="530" ht="15.75" customHeight="1">
      <c r="A530" s="52" t="str">
        <f>IF('Thiết Kế'!C134="","","Thiết Kế")</f>
        <v/>
      </c>
      <c r="B530" s="52" t="str">
        <f>IF('Thiết Kế'!B134="","",'Thiết Kế'!B134)</f>
        <v/>
      </c>
      <c r="C530" s="52" t="str">
        <f>IF('Thiết Kế'!C134="","",'Thiết Kế'!C134)</f>
        <v/>
      </c>
      <c r="D530" s="52" t="str">
        <f>IF('Thiết Kế'!D134="","",'Thiết Kế'!D134)</f>
        <v/>
      </c>
      <c r="E530" s="52" t="str">
        <f>IF('Thiết Kế'!E134="","",'Thiết Kế'!E134)</f>
        <v/>
      </c>
      <c r="F530" s="52" t="str">
        <f>IF('Thiết Kế'!F134="","",'Thiết Kế'!F134)</f>
        <v/>
      </c>
      <c r="G530" s="52" t="str">
        <f>IF('Thiết Kế'!G134="","",'Thiết Kế'!G134)</f>
        <v/>
      </c>
      <c r="H530" s="52" t="str">
        <f>IF('Thiết Kế'!J134="","",'Thiết Kế'!J134)</f>
        <v/>
      </c>
      <c r="I530" s="52" t="str">
        <f>IF('Thiết Kế'!M134="","",'Thiết Kế'!M134)</f>
        <v/>
      </c>
      <c r="J530" s="52" t="str">
        <f>IF('Thiết Kế'!R134="","",'Thiết Kế'!R134)</f>
        <v/>
      </c>
      <c r="K530" s="52" t="str">
        <f t="array" ref="K530">IF(COUNTA('Thiết Kế'!T134:AE134)=0,"",INDEX('Thiết Kế'!T134:AE134,1,SUMPRODUCT(MAX(('Thiết Kế'!T134:AE134&lt;&gt;"")*(COLUMN('Thiết Kế'!T134:AE134)-COLUMN('Thiết Kế'!T134)+1)))))</f>
        <v/>
      </c>
      <c r="L530" s="52" t="str">
        <f>IF(AND(G530&lt;&gt;"",G530='Tổng hợp'!$C$4),MAX(L$1:L529)+1,"")</f>
        <v/>
      </c>
    </row>
    <row r="531" ht="15.75" customHeight="1">
      <c r="A531" s="52" t="str">
        <f>IF('Thiết Kế'!C135="","","Thiết Kế")</f>
        <v/>
      </c>
      <c r="B531" s="52" t="str">
        <f>IF('Thiết Kế'!B135="","",'Thiết Kế'!B135)</f>
        <v/>
      </c>
      <c r="C531" s="52" t="str">
        <f>IF('Thiết Kế'!C135="","",'Thiết Kế'!C135)</f>
        <v/>
      </c>
      <c r="D531" s="52" t="str">
        <f>IF('Thiết Kế'!D135="","",'Thiết Kế'!D135)</f>
        <v/>
      </c>
      <c r="E531" s="52" t="str">
        <f>IF('Thiết Kế'!E135="","",'Thiết Kế'!E135)</f>
        <v/>
      </c>
      <c r="F531" s="52" t="str">
        <f>IF('Thiết Kế'!F135="","",'Thiết Kế'!F135)</f>
        <v/>
      </c>
      <c r="G531" s="52" t="str">
        <f>IF('Thiết Kế'!G135="","",'Thiết Kế'!G135)</f>
        <v/>
      </c>
      <c r="H531" s="52" t="str">
        <f>IF('Thiết Kế'!J135="","",'Thiết Kế'!J135)</f>
        <v/>
      </c>
      <c r="I531" s="52" t="str">
        <f>IF('Thiết Kế'!M135="","",'Thiết Kế'!M135)</f>
        <v/>
      </c>
      <c r="J531" s="52" t="str">
        <f>IF('Thiết Kế'!R135="","",'Thiết Kế'!R135)</f>
        <v/>
      </c>
      <c r="K531" s="52" t="str">
        <f t="array" ref="K531">IF(COUNTA('Thiết Kế'!T135:AE135)=0,"",INDEX('Thiết Kế'!T135:AE135,1,SUMPRODUCT(MAX(('Thiết Kế'!T135:AE135&lt;&gt;"")*(COLUMN('Thiết Kế'!T135:AE135)-COLUMN('Thiết Kế'!T135)+1)))))</f>
        <v/>
      </c>
      <c r="L531" s="52" t="str">
        <f>IF(AND(G531&lt;&gt;"",G531='Tổng hợp'!$C$4),MAX(L$1:L530)+1,"")</f>
        <v/>
      </c>
    </row>
    <row r="532" ht="15.75" customHeight="1">
      <c r="A532" s="52" t="str">
        <f>IF('Thiết Kế'!C136="","","Thiết Kế")</f>
        <v/>
      </c>
      <c r="B532" s="52" t="str">
        <f>IF('Thiết Kế'!B136="","",'Thiết Kế'!B136)</f>
        <v/>
      </c>
      <c r="C532" s="52" t="str">
        <f>IF('Thiết Kế'!C136="","",'Thiết Kế'!C136)</f>
        <v/>
      </c>
      <c r="D532" s="52" t="str">
        <f>IF('Thiết Kế'!D136="","",'Thiết Kế'!D136)</f>
        <v/>
      </c>
      <c r="E532" s="52" t="str">
        <f>IF('Thiết Kế'!E136="","",'Thiết Kế'!E136)</f>
        <v/>
      </c>
      <c r="F532" s="52" t="str">
        <f>IF('Thiết Kế'!F136="","",'Thiết Kế'!F136)</f>
        <v/>
      </c>
      <c r="G532" s="52" t="str">
        <f>IF('Thiết Kế'!G136="","",'Thiết Kế'!G136)</f>
        <v/>
      </c>
      <c r="H532" s="52" t="str">
        <f>IF('Thiết Kế'!J136="","",'Thiết Kế'!J136)</f>
        <v/>
      </c>
      <c r="I532" s="52" t="str">
        <f>IF('Thiết Kế'!M136="","",'Thiết Kế'!M136)</f>
        <v/>
      </c>
      <c r="J532" s="52" t="str">
        <f>IF('Thiết Kế'!R136="","",'Thiết Kế'!R136)</f>
        <v/>
      </c>
      <c r="K532" s="52" t="str">
        <f t="array" ref="K532">IF(COUNTA('Thiết Kế'!T136:AE136)=0,"",INDEX('Thiết Kế'!T136:AE136,1,SUMPRODUCT(MAX(('Thiết Kế'!T136:AE136&lt;&gt;"")*(COLUMN('Thiết Kế'!T136:AE136)-COLUMN('Thiết Kế'!T136)+1)))))</f>
        <v/>
      </c>
      <c r="L532" s="52" t="str">
        <f>IF(AND(G532&lt;&gt;"",G532='Tổng hợp'!$C$4),MAX(L$1:L531)+1,"")</f>
        <v/>
      </c>
    </row>
    <row r="533" ht="15.75" customHeight="1">
      <c r="A533" s="52" t="str">
        <f>IF('Thiết Kế'!C137="","","Thiết Kế")</f>
        <v/>
      </c>
      <c r="B533" s="52" t="str">
        <f>IF('Thiết Kế'!B137="","",'Thiết Kế'!B137)</f>
        <v/>
      </c>
      <c r="C533" s="52" t="str">
        <f>IF('Thiết Kế'!C137="","",'Thiết Kế'!C137)</f>
        <v/>
      </c>
      <c r="D533" s="52" t="str">
        <f>IF('Thiết Kế'!D137="","",'Thiết Kế'!D137)</f>
        <v/>
      </c>
      <c r="E533" s="52" t="str">
        <f>IF('Thiết Kế'!E137="","",'Thiết Kế'!E137)</f>
        <v/>
      </c>
      <c r="F533" s="52" t="str">
        <f>IF('Thiết Kế'!F137="","",'Thiết Kế'!F137)</f>
        <v/>
      </c>
      <c r="G533" s="52" t="str">
        <f>IF('Thiết Kế'!G137="","",'Thiết Kế'!G137)</f>
        <v/>
      </c>
      <c r="H533" s="52" t="str">
        <f>IF('Thiết Kế'!J137="","",'Thiết Kế'!J137)</f>
        <v/>
      </c>
      <c r="I533" s="52" t="str">
        <f>IF('Thiết Kế'!M137="","",'Thiết Kế'!M137)</f>
        <v/>
      </c>
      <c r="J533" s="52" t="str">
        <f>IF('Thiết Kế'!R137="","",'Thiết Kế'!R137)</f>
        <v/>
      </c>
      <c r="K533" s="52" t="str">
        <f t="array" ref="K533">IF(COUNTA('Thiết Kế'!T137:AE137)=0,"",INDEX('Thiết Kế'!T137:AE137,1,SUMPRODUCT(MAX(('Thiết Kế'!T137:AE137&lt;&gt;"")*(COLUMN('Thiết Kế'!T137:AE137)-COLUMN('Thiết Kế'!T137)+1)))))</f>
        <v/>
      </c>
      <c r="L533" s="52" t="str">
        <f>IF(AND(G533&lt;&gt;"",G533='Tổng hợp'!$C$4),MAX(L$1:L532)+1,"")</f>
        <v/>
      </c>
    </row>
    <row r="534" ht="15.75" customHeight="1">
      <c r="A534" s="52" t="str">
        <f>IF('Thiết Kế'!C138="","","Thiết Kế")</f>
        <v/>
      </c>
      <c r="B534" s="52" t="str">
        <f>IF('Thiết Kế'!B138="","",'Thiết Kế'!B138)</f>
        <v/>
      </c>
      <c r="C534" s="52" t="str">
        <f>IF('Thiết Kế'!C138="","",'Thiết Kế'!C138)</f>
        <v/>
      </c>
      <c r="D534" s="52" t="str">
        <f>IF('Thiết Kế'!D138="","",'Thiết Kế'!D138)</f>
        <v/>
      </c>
      <c r="E534" s="52" t="str">
        <f>IF('Thiết Kế'!E138="","",'Thiết Kế'!E138)</f>
        <v/>
      </c>
      <c r="F534" s="52" t="str">
        <f>IF('Thiết Kế'!F138="","",'Thiết Kế'!F138)</f>
        <v/>
      </c>
      <c r="G534" s="52" t="str">
        <f>IF('Thiết Kế'!G138="","",'Thiết Kế'!G138)</f>
        <v/>
      </c>
      <c r="H534" s="52" t="str">
        <f>IF('Thiết Kế'!J138="","",'Thiết Kế'!J138)</f>
        <v/>
      </c>
      <c r="I534" s="52" t="str">
        <f>IF('Thiết Kế'!M138="","",'Thiết Kế'!M138)</f>
        <v/>
      </c>
      <c r="J534" s="52" t="str">
        <f>IF('Thiết Kế'!R138="","",'Thiết Kế'!R138)</f>
        <v/>
      </c>
      <c r="K534" s="52" t="str">
        <f t="array" ref="K534">IF(COUNTA('Thiết Kế'!T138:AE138)=0,"",INDEX('Thiết Kế'!T138:AE138,1,SUMPRODUCT(MAX(('Thiết Kế'!T138:AE138&lt;&gt;"")*(COLUMN('Thiết Kế'!T138:AE138)-COLUMN('Thiết Kế'!T138)+1)))))</f>
        <v/>
      </c>
      <c r="L534" s="52" t="str">
        <f>IF(AND(G534&lt;&gt;"",G534='Tổng hợp'!$C$4),MAX(L$1:L533)+1,"")</f>
        <v/>
      </c>
    </row>
    <row r="535" ht="15.75" customHeight="1">
      <c r="A535" s="52" t="str">
        <f>IF('Thiết Kế'!C139="","","Thiết Kế")</f>
        <v/>
      </c>
      <c r="B535" s="52" t="str">
        <f>IF('Thiết Kế'!B139="","",'Thiết Kế'!B139)</f>
        <v/>
      </c>
      <c r="C535" s="52" t="str">
        <f>IF('Thiết Kế'!C139="","",'Thiết Kế'!C139)</f>
        <v/>
      </c>
      <c r="D535" s="52" t="str">
        <f>IF('Thiết Kế'!D139="","",'Thiết Kế'!D139)</f>
        <v/>
      </c>
      <c r="E535" s="52" t="str">
        <f>IF('Thiết Kế'!E139="","",'Thiết Kế'!E139)</f>
        <v/>
      </c>
      <c r="F535" s="52" t="str">
        <f>IF('Thiết Kế'!F139="","",'Thiết Kế'!F139)</f>
        <v/>
      </c>
      <c r="G535" s="52" t="str">
        <f>IF('Thiết Kế'!G139="","",'Thiết Kế'!G139)</f>
        <v/>
      </c>
      <c r="H535" s="52" t="str">
        <f>IF('Thiết Kế'!J139="","",'Thiết Kế'!J139)</f>
        <v/>
      </c>
      <c r="I535" s="52" t="str">
        <f>IF('Thiết Kế'!M139="","",'Thiết Kế'!M139)</f>
        <v/>
      </c>
      <c r="J535" s="52" t="str">
        <f>IF('Thiết Kế'!R139="","",'Thiết Kế'!R139)</f>
        <v/>
      </c>
      <c r="K535" s="52" t="str">
        <f t="array" ref="K535">IF(COUNTA('Thiết Kế'!T139:AE139)=0,"",INDEX('Thiết Kế'!T139:AE139,1,SUMPRODUCT(MAX(('Thiết Kế'!T139:AE139&lt;&gt;"")*(COLUMN('Thiết Kế'!T139:AE139)-COLUMN('Thiết Kế'!T139)+1)))))</f>
        <v/>
      </c>
      <c r="L535" s="52" t="str">
        <f>IF(AND(G535&lt;&gt;"",G535='Tổng hợp'!$C$4),MAX(L$1:L534)+1,"")</f>
        <v/>
      </c>
    </row>
    <row r="536" ht="15.75" customHeight="1">
      <c r="A536" s="52" t="str">
        <f>IF('Thiết Kế'!C140="","","Thiết Kế")</f>
        <v/>
      </c>
      <c r="B536" s="52" t="str">
        <f>IF('Thiết Kế'!B140="","",'Thiết Kế'!B140)</f>
        <v/>
      </c>
      <c r="C536" s="52" t="str">
        <f>IF('Thiết Kế'!C140="","",'Thiết Kế'!C140)</f>
        <v/>
      </c>
      <c r="D536" s="52" t="str">
        <f>IF('Thiết Kế'!D140="","",'Thiết Kế'!D140)</f>
        <v/>
      </c>
      <c r="E536" s="52" t="str">
        <f>IF('Thiết Kế'!E140="","",'Thiết Kế'!E140)</f>
        <v/>
      </c>
      <c r="F536" s="52" t="str">
        <f>IF('Thiết Kế'!F140="","",'Thiết Kế'!F140)</f>
        <v/>
      </c>
      <c r="G536" s="52" t="str">
        <f>IF('Thiết Kế'!G140="","",'Thiết Kế'!G140)</f>
        <v/>
      </c>
      <c r="H536" s="52" t="str">
        <f>IF('Thiết Kế'!J140="","",'Thiết Kế'!J140)</f>
        <v/>
      </c>
      <c r="I536" s="52" t="str">
        <f>IF('Thiết Kế'!M140="","",'Thiết Kế'!M140)</f>
        <v/>
      </c>
      <c r="J536" s="52" t="str">
        <f>IF('Thiết Kế'!R140="","",'Thiết Kế'!R140)</f>
        <v/>
      </c>
      <c r="K536" s="52" t="str">
        <f t="array" ref="K536">IF(COUNTA('Thiết Kế'!T140:AE140)=0,"",INDEX('Thiết Kế'!T140:AE140,1,SUMPRODUCT(MAX(('Thiết Kế'!T140:AE140&lt;&gt;"")*(COLUMN('Thiết Kế'!T140:AE140)-COLUMN('Thiết Kế'!T140)+1)))))</f>
        <v/>
      </c>
      <c r="L536" s="52" t="str">
        <f>IF(AND(G536&lt;&gt;"",G536='Tổng hợp'!$C$4),MAX(L$1:L535)+1,"")</f>
        <v/>
      </c>
    </row>
    <row r="537" ht="15.75" customHeight="1">
      <c r="A537" s="52" t="str">
        <f>IF('Thiết Kế'!C141="","","Thiết Kế")</f>
        <v/>
      </c>
      <c r="B537" s="52" t="str">
        <f>IF('Thiết Kế'!B141="","",'Thiết Kế'!B141)</f>
        <v/>
      </c>
      <c r="C537" s="52" t="str">
        <f>IF('Thiết Kế'!C141="","",'Thiết Kế'!C141)</f>
        <v/>
      </c>
      <c r="D537" s="52" t="str">
        <f>IF('Thiết Kế'!D141="","",'Thiết Kế'!D141)</f>
        <v/>
      </c>
      <c r="E537" s="52" t="str">
        <f>IF('Thiết Kế'!E141="","",'Thiết Kế'!E141)</f>
        <v/>
      </c>
      <c r="F537" s="52" t="str">
        <f>IF('Thiết Kế'!F141="","",'Thiết Kế'!F141)</f>
        <v/>
      </c>
      <c r="G537" s="52" t="str">
        <f>IF('Thiết Kế'!G141="","",'Thiết Kế'!G141)</f>
        <v/>
      </c>
      <c r="H537" s="52" t="str">
        <f>IF('Thiết Kế'!J141="","",'Thiết Kế'!J141)</f>
        <v/>
      </c>
      <c r="I537" s="52" t="str">
        <f>IF('Thiết Kế'!M141="","",'Thiết Kế'!M141)</f>
        <v/>
      </c>
      <c r="J537" s="52" t="str">
        <f>IF('Thiết Kế'!R141="","",'Thiết Kế'!R141)</f>
        <v/>
      </c>
      <c r="K537" s="52" t="str">
        <f t="array" ref="K537">IF(COUNTA('Thiết Kế'!T141:AE141)=0,"",INDEX('Thiết Kế'!T141:AE141,1,SUMPRODUCT(MAX(('Thiết Kế'!T141:AE141&lt;&gt;"")*(COLUMN('Thiết Kế'!T141:AE141)-COLUMN('Thiết Kế'!T141)+1)))))</f>
        <v/>
      </c>
      <c r="L537" s="52" t="str">
        <f>IF(AND(G537&lt;&gt;"",G537='Tổng hợp'!$C$4),MAX(L$1:L536)+1,"")</f>
        <v/>
      </c>
    </row>
    <row r="538" ht="15.75" customHeight="1">
      <c r="A538" s="52" t="str">
        <f>IF('Thiết Kế'!C142="","","Thiết Kế")</f>
        <v/>
      </c>
      <c r="B538" s="52" t="str">
        <f>IF('Thiết Kế'!B142="","",'Thiết Kế'!B142)</f>
        <v/>
      </c>
      <c r="C538" s="52" t="str">
        <f>IF('Thiết Kế'!C142="","",'Thiết Kế'!C142)</f>
        <v/>
      </c>
      <c r="D538" s="52" t="str">
        <f>IF('Thiết Kế'!D142="","",'Thiết Kế'!D142)</f>
        <v/>
      </c>
      <c r="E538" s="52" t="str">
        <f>IF('Thiết Kế'!E142="","",'Thiết Kế'!E142)</f>
        <v/>
      </c>
      <c r="F538" s="52" t="str">
        <f>IF('Thiết Kế'!F142="","",'Thiết Kế'!F142)</f>
        <v/>
      </c>
      <c r="G538" s="52" t="str">
        <f>IF('Thiết Kế'!G142="","",'Thiết Kế'!G142)</f>
        <v/>
      </c>
      <c r="H538" s="52" t="str">
        <f>IF('Thiết Kế'!J142="","",'Thiết Kế'!J142)</f>
        <v/>
      </c>
      <c r="I538" s="52" t="str">
        <f>IF('Thiết Kế'!M142="","",'Thiết Kế'!M142)</f>
        <v/>
      </c>
      <c r="J538" s="52" t="str">
        <f>IF('Thiết Kế'!R142="","",'Thiết Kế'!R142)</f>
        <v/>
      </c>
      <c r="K538" s="52" t="str">
        <f t="array" ref="K538">IF(COUNTA('Thiết Kế'!T142:AE142)=0,"",INDEX('Thiết Kế'!T142:AE142,1,SUMPRODUCT(MAX(('Thiết Kế'!T142:AE142&lt;&gt;"")*(COLUMN('Thiết Kế'!T142:AE142)-COLUMN('Thiết Kế'!T142)+1)))))</f>
        <v/>
      </c>
      <c r="L538" s="52" t="str">
        <f>IF(AND(G538&lt;&gt;"",G538='Tổng hợp'!$C$4),MAX(L$1:L537)+1,"")</f>
        <v/>
      </c>
    </row>
    <row r="539" ht="15.75" customHeight="1">
      <c r="A539" s="52" t="str">
        <f>IF('Thiết Kế'!C143="","","Thiết Kế")</f>
        <v/>
      </c>
      <c r="B539" s="52" t="str">
        <f>IF('Thiết Kế'!B143="","",'Thiết Kế'!B143)</f>
        <v/>
      </c>
      <c r="C539" s="52" t="str">
        <f>IF('Thiết Kế'!C143="","",'Thiết Kế'!C143)</f>
        <v/>
      </c>
      <c r="D539" s="52" t="str">
        <f>IF('Thiết Kế'!D143="","",'Thiết Kế'!D143)</f>
        <v/>
      </c>
      <c r="E539" s="52" t="str">
        <f>IF('Thiết Kế'!E143="","",'Thiết Kế'!E143)</f>
        <v/>
      </c>
      <c r="F539" s="52" t="str">
        <f>IF('Thiết Kế'!F143="","",'Thiết Kế'!F143)</f>
        <v/>
      </c>
      <c r="G539" s="52" t="str">
        <f>IF('Thiết Kế'!G143="","",'Thiết Kế'!G143)</f>
        <v/>
      </c>
      <c r="H539" s="52" t="str">
        <f>IF('Thiết Kế'!J143="","",'Thiết Kế'!J143)</f>
        <v/>
      </c>
      <c r="I539" s="52" t="str">
        <f>IF('Thiết Kế'!M143="","",'Thiết Kế'!M143)</f>
        <v/>
      </c>
      <c r="J539" s="52" t="str">
        <f>IF('Thiết Kế'!R143="","",'Thiết Kế'!R143)</f>
        <v/>
      </c>
      <c r="K539" s="52" t="str">
        <f t="array" ref="K539">IF(COUNTA('Thiết Kế'!T143:AE143)=0,"",INDEX('Thiết Kế'!T143:AE143,1,SUMPRODUCT(MAX(('Thiết Kế'!T143:AE143&lt;&gt;"")*(COLUMN('Thiết Kế'!T143:AE143)-COLUMN('Thiết Kế'!T143)+1)))))</f>
        <v/>
      </c>
      <c r="L539" s="52" t="str">
        <f>IF(AND(G539&lt;&gt;"",G539='Tổng hợp'!$C$4),MAX(L$1:L538)+1,"")</f>
        <v/>
      </c>
    </row>
    <row r="540" ht="15.75" customHeight="1">
      <c r="A540" s="52" t="str">
        <f>IF('Thiết Kế'!C144="","","Thiết Kế")</f>
        <v/>
      </c>
      <c r="B540" s="52" t="str">
        <f>IF('Thiết Kế'!B144="","",'Thiết Kế'!B144)</f>
        <v/>
      </c>
      <c r="C540" s="52" t="str">
        <f>IF('Thiết Kế'!C144="","",'Thiết Kế'!C144)</f>
        <v/>
      </c>
      <c r="D540" s="52" t="str">
        <f>IF('Thiết Kế'!D144="","",'Thiết Kế'!D144)</f>
        <v/>
      </c>
      <c r="E540" s="52" t="str">
        <f>IF('Thiết Kế'!E144="","",'Thiết Kế'!E144)</f>
        <v/>
      </c>
      <c r="F540" s="52" t="str">
        <f>IF('Thiết Kế'!F144="","",'Thiết Kế'!F144)</f>
        <v/>
      </c>
      <c r="G540" s="52" t="str">
        <f>IF('Thiết Kế'!G144="","",'Thiết Kế'!G144)</f>
        <v/>
      </c>
      <c r="H540" s="52" t="str">
        <f>IF('Thiết Kế'!J144="","",'Thiết Kế'!J144)</f>
        <v/>
      </c>
      <c r="I540" s="52" t="str">
        <f>IF('Thiết Kế'!M144="","",'Thiết Kế'!M144)</f>
        <v/>
      </c>
      <c r="J540" s="52" t="str">
        <f>IF('Thiết Kế'!R144="","",'Thiết Kế'!R144)</f>
        <v/>
      </c>
      <c r="K540" s="52" t="str">
        <f t="array" ref="K540">IF(COUNTA('Thiết Kế'!T144:AE144)=0,"",INDEX('Thiết Kế'!T144:AE144,1,SUMPRODUCT(MAX(('Thiết Kế'!T144:AE144&lt;&gt;"")*(COLUMN('Thiết Kế'!T144:AE144)-COLUMN('Thiết Kế'!T144)+1)))))</f>
        <v/>
      </c>
      <c r="L540" s="52" t="str">
        <f>IF(AND(G540&lt;&gt;"",G540='Tổng hợp'!$C$4),MAX(L$1:L539)+1,"")</f>
        <v/>
      </c>
    </row>
    <row r="541" ht="15.75" customHeight="1">
      <c r="A541" s="52" t="str">
        <f>IF('Thiết Kế'!C145="","","Thiết Kế")</f>
        <v/>
      </c>
      <c r="B541" s="52" t="str">
        <f>IF('Thiết Kế'!B145="","",'Thiết Kế'!B145)</f>
        <v/>
      </c>
      <c r="C541" s="52" t="str">
        <f>IF('Thiết Kế'!C145="","",'Thiết Kế'!C145)</f>
        <v/>
      </c>
      <c r="D541" s="52" t="str">
        <f>IF('Thiết Kế'!D145="","",'Thiết Kế'!D145)</f>
        <v/>
      </c>
      <c r="E541" s="52" t="str">
        <f>IF('Thiết Kế'!E145="","",'Thiết Kế'!E145)</f>
        <v/>
      </c>
      <c r="F541" s="52" t="str">
        <f>IF('Thiết Kế'!F145="","",'Thiết Kế'!F145)</f>
        <v/>
      </c>
      <c r="G541" s="52" t="str">
        <f>IF('Thiết Kế'!G145="","",'Thiết Kế'!G145)</f>
        <v/>
      </c>
      <c r="H541" s="52" t="str">
        <f>IF('Thiết Kế'!J145="","",'Thiết Kế'!J145)</f>
        <v/>
      </c>
      <c r="I541" s="52" t="str">
        <f>IF('Thiết Kế'!M145="","",'Thiết Kế'!M145)</f>
        <v/>
      </c>
      <c r="J541" s="52" t="str">
        <f>IF('Thiết Kế'!R145="","",'Thiết Kế'!R145)</f>
        <v/>
      </c>
      <c r="K541" s="52" t="str">
        <f t="array" ref="K541">IF(COUNTA('Thiết Kế'!T145:AE145)=0,"",INDEX('Thiết Kế'!T145:AE145,1,SUMPRODUCT(MAX(('Thiết Kế'!T145:AE145&lt;&gt;"")*(COLUMN('Thiết Kế'!T145:AE145)-COLUMN('Thiết Kế'!T145)+1)))))</f>
        <v/>
      </c>
      <c r="L541" s="52" t="str">
        <f>IF(AND(G541&lt;&gt;"",G541='Tổng hợp'!$C$4),MAX(L$1:L540)+1,"")</f>
        <v/>
      </c>
    </row>
    <row r="542" ht="15.75" customHeight="1">
      <c r="A542" s="52" t="str">
        <f>IF('Thiết Kế'!C146="","","Thiết Kế")</f>
        <v/>
      </c>
      <c r="B542" s="52" t="str">
        <f>IF('Thiết Kế'!B146="","",'Thiết Kế'!B146)</f>
        <v/>
      </c>
      <c r="C542" s="52" t="str">
        <f>IF('Thiết Kế'!C146="","",'Thiết Kế'!C146)</f>
        <v/>
      </c>
      <c r="D542" s="52" t="str">
        <f>IF('Thiết Kế'!D146="","",'Thiết Kế'!D146)</f>
        <v/>
      </c>
      <c r="E542" s="52" t="str">
        <f>IF('Thiết Kế'!E146="","",'Thiết Kế'!E146)</f>
        <v/>
      </c>
      <c r="F542" s="52" t="str">
        <f>IF('Thiết Kế'!F146="","",'Thiết Kế'!F146)</f>
        <v/>
      </c>
      <c r="G542" s="52" t="str">
        <f>IF('Thiết Kế'!G146="","",'Thiết Kế'!G146)</f>
        <v/>
      </c>
      <c r="H542" s="52" t="str">
        <f>IF('Thiết Kế'!J146="","",'Thiết Kế'!J146)</f>
        <v/>
      </c>
      <c r="I542" s="52" t="str">
        <f>IF('Thiết Kế'!M146="","",'Thiết Kế'!M146)</f>
        <v/>
      </c>
      <c r="J542" s="52" t="str">
        <f>IF('Thiết Kế'!R146="","",'Thiết Kế'!R146)</f>
        <v/>
      </c>
      <c r="K542" s="52" t="str">
        <f t="array" ref="K542">IF(COUNTA('Thiết Kế'!T146:AE146)=0,"",INDEX('Thiết Kế'!T146:AE146,1,SUMPRODUCT(MAX(('Thiết Kế'!T146:AE146&lt;&gt;"")*(COLUMN('Thiết Kế'!T146:AE146)-COLUMN('Thiết Kế'!T146)+1)))))</f>
        <v/>
      </c>
      <c r="L542" s="52" t="str">
        <f>IF(AND(G542&lt;&gt;"",G542='Tổng hợp'!$C$4),MAX(L$1:L541)+1,"")</f>
        <v/>
      </c>
    </row>
    <row r="543" ht="15.75" customHeight="1">
      <c r="A543" s="52" t="str">
        <f>IF('Thiết Kế'!C147="","","Thiết Kế")</f>
        <v/>
      </c>
      <c r="B543" s="52" t="str">
        <f>IF('Thiết Kế'!B147="","",'Thiết Kế'!B147)</f>
        <v/>
      </c>
      <c r="C543" s="52" t="str">
        <f>IF('Thiết Kế'!C147="","",'Thiết Kế'!C147)</f>
        <v/>
      </c>
      <c r="D543" s="52" t="str">
        <f>IF('Thiết Kế'!D147="","",'Thiết Kế'!D147)</f>
        <v/>
      </c>
      <c r="E543" s="52" t="str">
        <f>IF('Thiết Kế'!E147="","",'Thiết Kế'!E147)</f>
        <v/>
      </c>
      <c r="F543" s="52" t="str">
        <f>IF('Thiết Kế'!F147="","",'Thiết Kế'!F147)</f>
        <v/>
      </c>
      <c r="G543" s="52" t="str">
        <f>IF('Thiết Kế'!G147="","",'Thiết Kế'!G147)</f>
        <v/>
      </c>
      <c r="H543" s="52" t="str">
        <f>IF('Thiết Kế'!J147="","",'Thiết Kế'!J147)</f>
        <v/>
      </c>
      <c r="I543" s="52" t="str">
        <f>IF('Thiết Kế'!M147="","",'Thiết Kế'!M147)</f>
        <v/>
      </c>
      <c r="J543" s="52" t="str">
        <f>IF('Thiết Kế'!R147="","",'Thiết Kế'!R147)</f>
        <v/>
      </c>
      <c r="K543" s="52" t="str">
        <f t="array" ref="K543">IF(COUNTA('Thiết Kế'!T147:AE147)=0,"",INDEX('Thiết Kế'!T147:AE147,1,SUMPRODUCT(MAX(('Thiết Kế'!T147:AE147&lt;&gt;"")*(COLUMN('Thiết Kế'!T147:AE147)-COLUMN('Thiết Kế'!T147)+1)))))</f>
        <v/>
      </c>
      <c r="L543" s="52" t="str">
        <f>IF(AND(G543&lt;&gt;"",G543='Tổng hợp'!$C$4),MAX(L$1:L542)+1,"")</f>
        <v/>
      </c>
    </row>
    <row r="544" ht="15.75" customHeight="1">
      <c r="A544" s="52" t="str">
        <f>IF('Thiết Kế'!C148="","","Thiết Kế")</f>
        <v/>
      </c>
      <c r="B544" s="52" t="str">
        <f>IF('Thiết Kế'!B148="","",'Thiết Kế'!B148)</f>
        <v/>
      </c>
      <c r="C544" s="52" t="str">
        <f>IF('Thiết Kế'!C148="","",'Thiết Kế'!C148)</f>
        <v/>
      </c>
      <c r="D544" s="52" t="str">
        <f>IF('Thiết Kế'!D148="","",'Thiết Kế'!D148)</f>
        <v/>
      </c>
      <c r="E544" s="52" t="str">
        <f>IF('Thiết Kế'!E148="","",'Thiết Kế'!E148)</f>
        <v/>
      </c>
      <c r="F544" s="52" t="str">
        <f>IF('Thiết Kế'!F148="","",'Thiết Kế'!F148)</f>
        <v/>
      </c>
      <c r="G544" s="52" t="str">
        <f>IF('Thiết Kế'!G148="","",'Thiết Kế'!G148)</f>
        <v/>
      </c>
      <c r="H544" s="52" t="str">
        <f>IF('Thiết Kế'!J148="","",'Thiết Kế'!J148)</f>
        <v/>
      </c>
      <c r="I544" s="52" t="str">
        <f>IF('Thiết Kế'!M148="","",'Thiết Kế'!M148)</f>
        <v/>
      </c>
      <c r="J544" s="52" t="str">
        <f>IF('Thiết Kế'!R148="","",'Thiết Kế'!R148)</f>
        <v/>
      </c>
      <c r="K544" s="52" t="str">
        <f t="array" ref="K544">IF(COUNTA('Thiết Kế'!T148:AE148)=0,"",INDEX('Thiết Kế'!T148:AE148,1,SUMPRODUCT(MAX(('Thiết Kế'!T148:AE148&lt;&gt;"")*(COLUMN('Thiết Kế'!T148:AE148)-COLUMN('Thiết Kế'!T148)+1)))))</f>
        <v/>
      </c>
      <c r="L544" s="52" t="str">
        <f>IF(AND(G544&lt;&gt;"",G544='Tổng hợp'!$C$4),MAX(L$1:L543)+1,"")</f>
        <v/>
      </c>
    </row>
    <row r="545" ht="15.75" customHeight="1">
      <c r="A545" s="52" t="str">
        <f>IF('Thiết Kế'!C149="","","Thiết Kế")</f>
        <v/>
      </c>
      <c r="B545" s="52" t="str">
        <f>IF('Thiết Kế'!B149="","",'Thiết Kế'!B149)</f>
        <v/>
      </c>
      <c r="C545" s="52" t="str">
        <f>IF('Thiết Kế'!C149="","",'Thiết Kế'!C149)</f>
        <v/>
      </c>
      <c r="D545" s="52" t="str">
        <f>IF('Thiết Kế'!D149="","",'Thiết Kế'!D149)</f>
        <v/>
      </c>
      <c r="E545" s="52" t="str">
        <f>IF('Thiết Kế'!E149="","",'Thiết Kế'!E149)</f>
        <v/>
      </c>
      <c r="F545" s="52" t="str">
        <f>IF('Thiết Kế'!F149="","",'Thiết Kế'!F149)</f>
        <v/>
      </c>
      <c r="G545" s="52" t="str">
        <f>IF('Thiết Kế'!G149="","",'Thiết Kế'!G149)</f>
        <v/>
      </c>
      <c r="H545" s="52" t="str">
        <f>IF('Thiết Kế'!J149="","",'Thiết Kế'!J149)</f>
        <v/>
      </c>
      <c r="I545" s="52" t="str">
        <f>IF('Thiết Kế'!M149="","",'Thiết Kế'!M149)</f>
        <v/>
      </c>
      <c r="J545" s="52" t="str">
        <f>IF('Thiết Kế'!R149="","",'Thiết Kế'!R149)</f>
        <v/>
      </c>
      <c r="K545" s="52" t="str">
        <f t="array" ref="K545">IF(COUNTA('Thiết Kế'!T149:AE149)=0,"",INDEX('Thiết Kế'!T149:AE149,1,SUMPRODUCT(MAX(('Thiết Kế'!T149:AE149&lt;&gt;"")*(COLUMN('Thiết Kế'!T149:AE149)-COLUMN('Thiết Kế'!T149)+1)))))</f>
        <v/>
      </c>
      <c r="L545" s="52" t="str">
        <f>IF(AND(G545&lt;&gt;"",G545='Tổng hợp'!$C$4),MAX(L$1:L544)+1,"")</f>
        <v/>
      </c>
    </row>
    <row r="546" ht="15.75" customHeight="1">
      <c r="A546" s="52" t="str">
        <f>IF('Thiết Kế'!C150="","","Thiết Kế")</f>
        <v/>
      </c>
      <c r="B546" s="52" t="str">
        <f>IF('Thiết Kế'!B150="","",'Thiết Kế'!B150)</f>
        <v/>
      </c>
      <c r="C546" s="52" t="str">
        <f>IF('Thiết Kế'!C150="","",'Thiết Kế'!C150)</f>
        <v/>
      </c>
      <c r="D546" s="52" t="str">
        <f>IF('Thiết Kế'!D150="","",'Thiết Kế'!D150)</f>
        <v/>
      </c>
      <c r="E546" s="52" t="str">
        <f>IF('Thiết Kế'!E150="","",'Thiết Kế'!E150)</f>
        <v/>
      </c>
      <c r="F546" s="52" t="str">
        <f>IF('Thiết Kế'!F150="","",'Thiết Kế'!F150)</f>
        <v/>
      </c>
      <c r="G546" s="52" t="str">
        <f>IF('Thiết Kế'!G150="","",'Thiết Kế'!G150)</f>
        <v/>
      </c>
      <c r="H546" s="52" t="str">
        <f>IF('Thiết Kế'!J150="","",'Thiết Kế'!J150)</f>
        <v/>
      </c>
      <c r="I546" s="52" t="str">
        <f>IF('Thiết Kế'!M150="","",'Thiết Kế'!M150)</f>
        <v/>
      </c>
      <c r="J546" s="52" t="str">
        <f>IF('Thiết Kế'!R150="","",'Thiết Kế'!R150)</f>
        <v/>
      </c>
      <c r="K546" s="52" t="str">
        <f t="array" ref="K546">IF(COUNTA('Thiết Kế'!T150:AE150)=0,"",INDEX('Thiết Kế'!T150:AE150,1,SUMPRODUCT(MAX(('Thiết Kế'!T150:AE150&lt;&gt;"")*(COLUMN('Thiết Kế'!T150:AE150)-COLUMN('Thiết Kế'!T150)+1)))))</f>
        <v/>
      </c>
      <c r="L546" s="52" t="str">
        <f>IF(AND(G546&lt;&gt;"",G546='Tổng hợp'!$C$4),MAX(L$1:L545)+1,"")</f>
        <v/>
      </c>
    </row>
    <row r="547" ht="15.75" customHeight="1">
      <c r="A547" s="52" t="str">
        <f>IF('Thiết Kế'!C151="","","Thiết Kế")</f>
        <v/>
      </c>
      <c r="B547" s="52" t="str">
        <f>IF('Thiết Kế'!B151="","",'Thiết Kế'!B151)</f>
        <v/>
      </c>
      <c r="C547" s="52" t="str">
        <f>IF('Thiết Kế'!C151="","",'Thiết Kế'!C151)</f>
        <v/>
      </c>
      <c r="D547" s="52" t="str">
        <f>IF('Thiết Kế'!D151="","",'Thiết Kế'!D151)</f>
        <v/>
      </c>
      <c r="E547" s="52" t="str">
        <f>IF('Thiết Kế'!E151="","",'Thiết Kế'!E151)</f>
        <v/>
      </c>
      <c r="F547" s="52" t="str">
        <f>IF('Thiết Kế'!F151="","",'Thiết Kế'!F151)</f>
        <v/>
      </c>
      <c r="G547" s="52" t="str">
        <f>IF('Thiết Kế'!G151="","",'Thiết Kế'!G151)</f>
        <v/>
      </c>
      <c r="H547" s="52" t="str">
        <f>IF('Thiết Kế'!J151="","",'Thiết Kế'!J151)</f>
        <v/>
      </c>
      <c r="I547" s="52" t="str">
        <f>IF('Thiết Kế'!M151="","",'Thiết Kế'!M151)</f>
        <v/>
      </c>
      <c r="J547" s="52" t="str">
        <f>IF('Thiết Kế'!R151="","",'Thiết Kế'!R151)</f>
        <v/>
      </c>
      <c r="K547" s="52" t="str">
        <f t="array" ref="K547">IF(COUNTA('Thiết Kế'!T151:AE151)=0,"",INDEX('Thiết Kế'!T151:AE151,1,SUMPRODUCT(MAX(('Thiết Kế'!T151:AE151&lt;&gt;"")*(COLUMN('Thiết Kế'!T151:AE151)-COLUMN('Thiết Kế'!T151)+1)))))</f>
        <v/>
      </c>
      <c r="L547" s="52" t="str">
        <f>IF(AND(G547&lt;&gt;"",G547='Tổng hợp'!$C$4),MAX(L$1:L546)+1,"")</f>
        <v/>
      </c>
    </row>
    <row r="548" ht="15.75" customHeight="1">
      <c r="A548" s="52" t="str">
        <f>IF('Thiết Kế'!C152="","","Thiết Kế")</f>
        <v/>
      </c>
      <c r="B548" s="52" t="str">
        <f>IF('Thiết Kế'!B152="","",'Thiết Kế'!B152)</f>
        <v/>
      </c>
      <c r="C548" s="52" t="str">
        <f>IF('Thiết Kế'!C152="","",'Thiết Kế'!C152)</f>
        <v/>
      </c>
      <c r="D548" s="52" t="str">
        <f>IF('Thiết Kế'!D152="","",'Thiết Kế'!D152)</f>
        <v/>
      </c>
      <c r="E548" s="52" t="str">
        <f>IF('Thiết Kế'!E152="","",'Thiết Kế'!E152)</f>
        <v/>
      </c>
      <c r="F548" s="52" t="str">
        <f>IF('Thiết Kế'!F152="","",'Thiết Kế'!F152)</f>
        <v/>
      </c>
      <c r="G548" s="52" t="str">
        <f>IF('Thiết Kế'!G152="","",'Thiết Kế'!G152)</f>
        <v/>
      </c>
      <c r="H548" s="52" t="str">
        <f>IF('Thiết Kế'!J152="","",'Thiết Kế'!J152)</f>
        <v/>
      </c>
      <c r="I548" s="52" t="str">
        <f>IF('Thiết Kế'!M152="","",'Thiết Kế'!M152)</f>
        <v/>
      </c>
      <c r="J548" s="52" t="str">
        <f>IF('Thiết Kế'!R152="","",'Thiết Kế'!R152)</f>
        <v/>
      </c>
      <c r="K548" s="52" t="str">
        <f t="array" ref="K548">IF(COUNTA('Thiết Kế'!T152:AE152)=0,"",INDEX('Thiết Kế'!T152:AE152,1,SUMPRODUCT(MAX(('Thiết Kế'!T152:AE152&lt;&gt;"")*(COLUMN('Thiết Kế'!T152:AE152)-COLUMN('Thiết Kế'!T152)+1)))))</f>
        <v/>
      </c>
      <c r="L548" s="52" t="str">
        <f>IF(AND(G548&lt;&gt;"",G548='Tổng hợp'!$C$4),MAX(L$1:L547)+1,"")</f>
        <v/>
      </c>
    </row>
    <row r="549" ht="15.75" customHeight="1">
      <c r="A549" s="52" t="str">
        <f>IF('Thiết Kế'!C153="","","Thiết Kế")</f>
        <v/>
      </c>
      <c r="B549" s="52" t="str">
        <f>IF('Thiết Kế'!B153="","",'Thiết Kế'!B153)</f>
        <v/>
      </c>
      <c r="C549" s="52" t="str">
        <f>IF('Thiết Kế'!C153="","",'Thiết Kế'!C153)</f>
        <v/>
      </c>
      <c r="D549" s="52" t="str">
        <f>IF('Thiết Kế'!D153="","",'Thiết Kế'!D153)</f>
        <v/>
      </c>
      <c r="E549" s="52" t="str">
        <f>IF('Thiết Kế'!E153="","",'Thiết Kế'!E153)</f>
        <v/>
      </c>
      <c r="F549" s="52" t="str">
        <f>IF('Thiết Kế'!F153="","",'Thiết Kế'!F153)</f>
        <v/>
      </c>
      <c r="G549" s="52" t="str">
        <f>IF('Thiết Kế'!G153="","",'Thiết Kế'!G153)</f>
        <v/>
      </c>
      <c r="H549" s="52" t="str">
        <f>IF('Thiết Kế'!J153="","",'Thiết Kế'!J153)</f>
        <v/>
      </c>
      <c r="I549" s="52" t="str">
        <f>IF('Thiết Kế'!M153="","",'Thiết Kế'!M153)</f>
        <v/>
      </c>
      <c r="J549" s="52" t="str">
        <f>IF('Thiết Kế'!R153="","",'Thiết Kế'!R153)</f>
        <v/>
      </c>
      <c r="K549" s="52" t="str">
        <f t="array" ref="K549">IF(COUNTA('Thiết Kế'!T153:AE153)=0,"",INDEX('Thiết Kế'!T153:AE153,1,SUMPRODUCT(MAX(('Thiết Kế'!T153:AE153&lt;&gt;"")*(COLUMN('Thiết Kế'!T153:AE153)-COLUMN('Thiết Kế'!T153)+1)))))</f>
        <v/>
      </c>
      <c r="L549" s="52" t="str">
        <f>IF(AND(G549&lt;&gt;"",G549='Tổng hợp'!$C$4),MAX(L$1:L548)+1,"")</f>
        <v/>
      </c>
    </row>
    <row r="550" ht="15.75" customHeight="1">
      <c r="A550" s="52" t="str">
        <f>IF('Thiết Kế'!C154="","","Thiết Kế")</f>
        <v/>
      </c>
      <c r="B550" s="52" t="str">
        <f>IF('Thiết Kế'!B154="","",'Thiết Kế'!B154)</f>
        <v/>
      </c>
      <c r="C550" s="52" t="str">
        <f>IF('Thiết Kế'!C154="","",'Thiết Kế'!C154)</f>
        <v/>
      </c>
      <c r="D550" s="52" t="str">
        <f>IF('Thiết Kế'!D154="","",'Thiết Kế'!D154)</f>
        <v/>
      </c>
      <c r="E550" s="52" t="str">
        <f>IF('Thiết Kế'!E154="","",'Thiết Kế'!E154)</f>
        <v/>
      </c>
      <c r="F550" s="52" t="str">
        <f>IF('Thiết Kế'!F154="","",'Thiết Kế'!F154)</f>
        <v/>
      </c>
      <c r="G550" s="52" t="str">
        <f>IF('Thiết Kế'!G154="","",'Thiết Kế'!G154)</f>
        <v/>
      </c>
      <c r="H550" s="52" t="str">
        <f>IF('Thiết Kế'!J154="","",'Thiết Kế'!J154)</f>
        <v/>
      </c>
      <c r="I550" s="52" t="str">
        <f>IF('Thiết Kế'!M154="","",'Thiết Kế'!M154)</f>
        <v/>
      </c>
      <c r="J550" s="52" t="str">
        <f>IF('Thiết Kế'!R154="","",'Thiết Kế'!R154)</f>
        <v/>
      </c>
      <c r="K550" s="52" t="str">
        <f t="array" ref="K550">IF(COUNTA('Thiết Kế'!T154:AE154)=0,"",INDEX('Thiết Kế'!T154:AE154,1,SUMPRODUCT(MAX(('Thiết Kế'!T154:AE154&lt;&gt;"")*(COLUMN('Thiết Kế'!T154:AE154)-COLUMN('Thiết Kế'!T154)+1)))))</f>
        <v/>
      </c>
      <c r="L550" s="52" t="str">
        <f>IF(AND(G550&lt;&gt;"",G550='Tổng hợp'!$C$4),MAX(L$1:L549)+1,"")</f>
        <v/>
      </c>
    </row>
    <row r="551" ht="15.75" customHeight="1">
      <c r="A551" s="52" t="str">
        <f>IF('Thiết Kế'!C155="","","Thiết Kế")</f>
        <v/>
      </c>
      <c r="B551" s="52" t="str">
        <f>IF('Thiết Kế'!B155="","",'Thiết Kế'!B155)</f>
        <v/>
      </c>
      <c r="C551" s="52" t="str">
        <f>IF('Thiết Kế'!C155="","",'Thiết Kế'!C155)</f>
        <v/>
      </c>
      <c r="D551" s="52" t="str">
        <f>IF('Thiết Kế'!D155="","",'Thiết Kế'!D155)</f>
        <v/>
      </c>
      <c r="E551" s="52" t="str">
        <f>IF('Thiết Kế'!E155="","",'Thiết Kế'!E155)</f>
        <v/>
      </c>
      <c r="F551" s="52" t="str">
        <f>IF('Thiết Kế'!F155="","",'Thiết Kế'!F155)</f>
        <v/>
      </c>
      <c r="G551" s="52" t="str">
        <f>IF('Thiết Kế'!G155="","",'Thiết Kế'!G155)</f>
        <v/>
      </c>
      <c r="H551" s="52" t="str">
        <f>IF('Thiết Kế'!J155="","",'Thiết Kế'!J155)</f>
        <v/>
      </c>
      <c r="I551" s="52" t="str">
        <f>IF('Thiết Kế'!M155="","",'Thiết Kế'!M155)</f>
        <v/>
      </c>
      <c r="J551" s="52" t="str">
        <f>IF('Thiết Kế'!R155="","",'Thiết Kế'!R155)</f>
        <v/>
      </c>
      <c r="K551" s="52" t="str">
        <f t="array" ref="K551">IF(COUNTA('Thiết Kế'!T155:AE155)=0,"",INDEX('Thiết Kế'!T155:AE155,1,SUMPRODUCT(MAX(('Thiết Kế'!T155:AE155&lt;&gt;"")*(COLUMN('Thiết Kế'!T155:AE155)-COLUMN('Thiết Kế'!T155)+1)))))</f>
        <v/>
      </c>
      <c r="L551" s="52" t="str">
        <f>IF(AND(G551&lt;&gt;"",G551='Tổng hợp'!$C$4),MAX(L$1:L550)+1,"")</f>
        <v/>
      </c>
    </row>
    <row r="552" ht="15.75" customHeight="1">
      <c r="A552" s="52" t="str">
        <f>IF('Thiết Kế'!C156="","","Thiết Kế")</f>
        <v/>
      </c>
      <c r="B552" s="52" t="str">
        <f>IF('Thiết Kế'!B156="","",'Thiết Kế'!B156)</f>
        <v/>
      </c>
      <c r="C552" s="52" t="str">
        <f>IF('Thiết Kế'!C156="","",'Thiết Kế'!C156)</f>
        <v/>
      </c>
      <c r="D552" s="52" t="str">
        <f>IF('Thiết Kế'!D156="","",'Thiết Kế'!D156)</f>
        <v/>
      </c>
      <c r="E552" s="52" t="str">
        <f>IF('Thiết Kế'!E156="","",'Thiết Kế'!E156)</f>
        <v/>
      </c>
      <c r="F552" s="52" t="str">
        <f>IF('Thiết Kế'!F156="","",'Thiết Kế'!F156)</f>
        <v/>
      </c>
      <c r="G552" s="52" t="str">
        <f>IF('Thiết Kế'!G156="","",'Thiết Kế'!G156)</f>
        <v/>
      </c>
      <c r="H552" s="52" t="str">
        <f>IF('Thiết Kế'!J156="","",'Thiết Kế'!J156)</f>
        <v/>
      </c>
      <c r="I552" s="52" t="str">
        <f>IF('Thiết Kế'!M156="","",'Thiết Kế'!M156)</f>
        <v/>
      </c>
      <c r="J552" s="52" t="str">
        <f>IF('Thiết Kế'!R156="","",'Thiết Kế'!R156)</f>
        <v/>
      </c>
      <c r="K552" s="52" t="str">
        <f t="array" ref="K552">IF(COUNTA('Thiết Kế'!T156:AE156)=0,"",INDEX('Thiết Kế'!T156:AE156,1,SUMPRODUCT(MAX(('Thiết Kế'!T156:AE156&lt;&gt;"")*(COLUMN('Thiết Kế'!T156:AE156)-COLUMN('Thiết Kế'!T156)+1)))))</f>
        <v/>
      </c>
      <c r="L552" s="52" t="str">
        <f>IF(AND(G552&lt;&gt;"",G552='Tổng hợp'!$C$4),MAX(L$1:L551)+1,"")</f>
        <v/>
      </c>
    </row>
    <row r="553" ht="15.75" customHeight="1">
      <c r="A553" s="52" t="str">
        <f>IF('Thiết Kế'!C157="","","Thiết Kế")</f>
        <v/>
      </c>
      <c r="B553" s="52" t="str">
        <f>IF('Thiết Kế'!B157="","",'Thiết Kế'!B157)</f>
        <v/>
      </c>
      <c r="C553" s="52" t="str">
        <f>IF('Thiết Kế'!C157="","",'Thiết Kế'!C157)</f>
        <v/>
      </c>
      <c r="D553" s="52" t="str">
        <f>IF('Thiết Kế'!D157="","",'Thiết Kế'!D157)</f>
        <v/>
      </c>
      <c r="E553" s="52" t="str">
        <f>IF('Thiết Kế'!E157="","",'Thiết Kế'!E157)</f>
        <v/>
      </c>
      <c r="F553" s="52" t="str">
        <f>IF('Thiết Kế'!F157="","",'Thiết Kế'!F157)</f>
        <v/>
      </c>
      <c r="G553" s="52" t="str">
        <f>IF('Thiết Kế'!G157="","",'Thiết Kế'!G157)</f>
        <v/>
      </c>
      <c r="H553" s="52" t="str">
        <f>IF('Thiết Kế'!J157="","",'Thiết Kế'!J157)</f>
        <v/>
      </c>
      <c r="I553" s="52" t="str">
        <f>IF('Thiết Kế'!M157="","",'Thiết Kế'!M157)</f>
        <v/>
      </c>
      <c r="J553" s="52" t="str">
        <f>IF('Thiết Kế'!R157="","",'Thiết Kế'!R157)</f>
        <v/>
      </c>
      <c r="K553" s="52" t="str">
        <f t="array" ref="K553">IF(COUNTA('Thiết Kế'!T157:AE157)=0,"",INDEX('Thiết Kế'!T157:AE157,1,SUMPRODUCT(MAX(('Thiết Kế'!T157:AE157&lt;&gt;"")*(COLUMN('Thiết Kế'!T157:AE157)-COLUMN('Thiết Kế'!T157)+1)))))</f>
        <v/>
      </c>
      <c r="L553" s="52" t="str">
        <f>IF(AND(G553&lt;&gt;"",G553='Tổng hợp'!$C$4),MAX(L$1:L552)+1,"")</f>
        <v/>
      </c>
    </row>
    <row r="554" ht="15.75" customHeight="1">
      <c r="A554" s="52" t="str">
        <f>IF('Thiết Kế'!C158="","","Thiết Kế")</f>
        <v/>
      </c>
      <c r="B554" s="52" t="str">
        <f>IF('Thiết Kế'!B158="","",'Thiết Kế'!B158)</f>
        <v/>
      </c>
      <c r="C554" s="52" t="str">
        <f>IF('Thiết Kế'!C158="","",'Thiết Kế'!C158)</f>
        <v/>
      </c>
      <c r="D554" s="52" t="str">
        <f>IF('Thiết Kế'!D158="","",'Thiết Kế'!D158)</f>
        <v/>
      </c>
      <c r="E554" s="52" t="str">
        <f>IF('Thiết Kế'!E158="","",'Thiết Kế'!E158)</f>
        <v/>
      </c>
      <c r="F554" s="52" t="str">
        <f>IF('Thiết Kế'!F158="","",'Thiết Kế'!F158)</f>
        <v/>
      </c>
      <c r="G554" s="52" t="str">
        <f>IF('Thiết Kế'!G158="","",'Thiết Kế'!G158)</f>
        <v/>
      </c>
      <c r="H554" s="52" t="str">
        <f>IF('Thiết Kế'!J158="","",'Thiết Kế'!J158)</f>
        <v/>
      </c>
      <c r="I554" s="52" t="str">
        <f>IF('Thiết Kế'!M158="","",'Thiết Kế'!M158)</f>
        <v/>
      </c>
      <c r="J554" s="52" t="str">
        <f>IF('Thiết Kế'!R158="","",'Thiết Kế'!R158)</f>
        <v/>
      </c>
      <c r="K554" s="52" t="str">
        <f t="array" ref="K554">IF(COUNTA('Thiết Kế'!T158:AE158)=0,"",INDEX('Thiết Kế'!T158:AE158,1,SUMPRODUCT(MAX(('Thiết Kế'!T158:AE158&lt;&gt;"")*(COLUMN('Thiết Kế'!T158:AE158)-COLUMN('Thiết Kế'!T158)+1)))))</f>
        <v/>
      </c>
      <c r="L554" s="52" t="str">
        <f>IF(AND(G554&lt;&gt;"",G554='Tổng hợp'!$C$4),MAX(L$1:L553)+1,"")</f>
        <v/>
      </c>
    </row>
    <row r="555" ht="15.75" customHeight="1">
      <c r="A555" s="52" t="str">
        <f>IF('Thiết Kế'!C159="","","Thiết Kế")</f>
        <v/>
      </c>
      <c r="B555" s="52" t="str">
        <f>IF('Thiết Kế'!B159="","",'Thiết Kế'!B159)</f>
        <v/>
      </c>
      <c r="C555" s="52" t="str">
        <f>IF('Thiết Kế'!C159="","",'Thiết Kế'!C159)</f>
        <v/>
      </c>
      <c r="D555" s="52" t="str">
        <f>IF('Thiết Kế'!D159="","",'Thiết Kế'!D159)</f>
        <v/>
      </c>
      <c r="E555" s="52" t="str">
        <f>IF('Thiết Kế'!E159="","",'Thiết Kế'!E159)</f>
        <v/>
      </c>
      <c r="F555" s="52" t="str">
        <f>IF('Thiết Kế'!F159="","",'Thiết Kế'!F159)</f>
        <v/>
      </c>
      <c r="G555" s="52" t="str">
        <f>IF('Thiết Kế'!G159="","",'Thiết Kế'!G159)</f>
        <v/>
      </c>
      <c r="H555" s="52" t="str">
        <f>IF('Thiết Kế'!J159="","",'Thiết Kế'!J159)</f>
        <v/>
      </c>
      <c r="I555" s="52" t="str">
        <f>IF('Thiết Kế'!M159="","",'Thiết Kế'!M159)</f>
        <v/>
      </c>
      <c r="J555" s="52" t="str">
        <f>IF('Thiết Kế'!R159="","",'Thiết Kế'!R159)</f>
        <v/>
      </c>
      <c r="K555" s="52" t="str">
        <f t="array" ref="K555">IF(COUNTA('Thiết Kế'!T159:AE159)=0,"",INDEX('Thiết Kế'!T159:AE159,1,SUMPRODUCT(MAX(('Thiết Kế'!T159:AE159&lt;&gt;"")*(COLUMN('Thiết Kế'!T159:AE159)-COLUMN('Thiết Kế'!T159)+1)))))</f>
        <v/>
      </c>
      <c r="L555" s="52" t="str">
        <f>IF(AND(G555&lt;&gt;"",G555='Tổng hợp'!$C$4),MAX(L$1:L554)+1,"")</f>
        <v/>
      </c>
    </row>
    <row r="556" ht="15.75" customHeight="1">
      <c r="A556" s="52" t="str">
        <f>IF('Thiết Kế'!C160="","","Thiết Kế")</f>
        <v/>
      </c>
      <c r="B556" s="52" t="str">
        <f>IF('Thiết Kế'!B160="","",'Thiết Kế'!B160)</f>
        <v/>
      </c>
      <c r="C556" s="52" t="str">
        <f>IF('Thiết Kế'!C160="","",'Thiết Kế'!C160)</f>
        <v/>
      </c>
      <c r="D556" s="52" t="str">
        <f>IF('Thiết Kế'!D160="","",'Thiết Kế'!D160)</f>
        <v/>
      </c>
      <c r="E556" s="52" t="str">
        <f>IF('Thiết Kế'!E160="","",'Thiết Kế'!E160)</f>
        <v/>
      </c>
      <c r="F556" s="52" t="str">
        <f>IF('Thiết Kế'!F160="","",'Thiết Kế'!F160)</f>
        <v/>
      </c>
      <c r="G556" s="52" t="str">
        <f>IF('Thiết Kế'!G160="","",'Thiết Kế'!G160)</f>
        <v/>
      </c>
      <c r="H556" s="52" t="str">
        <f>IF('Thiết Kế'!J160="","",'Thiết Kế'!J160)</f>
        <v/>
      </c>
      <c r="I556" s="52" t="str">
        <f>IF('Thiết Kế'!M160="","",'Thiết Kế'!M160)</f>
        <v/>
      </c>
      <c r="J556" s="52" t="str">
        <f>IF('Thiết Kế'!R160="","",'Thiết Kế'!R160)</f>
        <v/>
      </c>
      <c r="K556" s="52" t="str">
        <f t="array" ref="K556">IF(COUNTA('Thiết Kế'!T160:AE160)=0,"",INDEX('Thiết Kế'!T160:AE160,1,SUMPRODUCT(MAX(('Thiết Kế'!T160:AE160&lt;&gt;"")*(COLUMN('Thiết Kế'!T160:AE160)-COLUMN('Thiết Kế'!T160)+1)))))</f>
        <v/>
      </c>
      <c r="L556" s="52" t="str">
        <f>IF(AND(G556&lt;&gt;"",G556='Tổng hợp'!$C$4),MAX(L$1:L555)+1,"")</f>
        <v/>
      </c>
    </row>
    <row r="557" ht="15.75" customHeight="1">
      <c r="A557" s="52" t="str">
        <f>IF('Thiết Kế'!C161="","","Thiết Kế")</f>
        <v/>
      </c>
      <c r="B557" s="52" t="str">
        <f>IF('Thiết Kế'!B161="","",'Thiết Kế'!B161)</f>
        <v/>
      </c>
      <c r="C557" s="52" t="str">
        <f>IF('Thiết Kế'!C161="","",'Thiết Kế'!C161)</f>
        <v/>
      </c>
      <c r="D557" s="52" t="str">
        <f>IF('Thiết Kế'!D161="","",'Thiết Kế'!D161)</f>
        <v/>
      </c>
      <c r="E557" s="52" t="str">
        <f>IF('Thiết Kế'!E161="","",'Thiết Kế'!E161)</f>
        <v/>
      </c>
      <c r="F557" s="52" t="str">
        <f>IF('Thiết Kế'!F161="","",'Thiết Kế'!F161)</f>
        <v/>
      </c>
      <c r="G557" s="52" t="str">
        <f>IF('Thiết Kế'!G161="","",'Thiết Kế'!G161)</f>
        <v/>
      </c>
      <c r="H557" s="52" t="str">
        <f>IF('Thiết Kế'!J161="","",'Thiết Kế'!J161)</f>
        <v/>
      </c>
      <c r="I557" s="52" t="str">
        <f>IF('Thiết Kế'!M161="","",'Thiết Kế'!M161)</f>
        <v/>
      </c>
      <c r="J557" s="52" t="str">
        <f>IF('Thiết Kế'!R161="","",'Thiết Kế'!R161)</f>
        <v/>
      </c>
      <c r="K557" s="52" t="str">
        <f t="array" ref="K557">IF(COUNTA('Thiết Kế'!T161:AE161)=0,"",INDEX('Thiết Kế'!T161:AE161,1,SUMPRODUCT(MAX(('Thiết Kế'!T161:AE161&lt;&gt;"")*(COLUMN('Thiết Kế'!T161:AE161)-COLUMN('Thiết Kế'!T161)+1)))))</f>
        <v/>
      </c>
      <c r="L557" s="52" t="str">
        <f>IF(AND(G557&lt;&gt;"",G557='Tổng hợp'!$C$4),MAX(L$1:L556)+1,"")</f>
        <v/>
      </c>
    </row>
    <row r="558" ht="15.75" customHeight="1">
      <c r="A558" s="52" t="str">
        <f>IF('Thiết Kế'!C162="","","Thiết Kế")</f>
        <v/>
      </c>
      <c r="B558" s="52" t="str">
        <f>IF('Thiết Kế'!B162="","",'Thiết Kế'!B162)</f>
        <v/>
      </c>
      <c r="C558" s="52" t="str">
        <f>IF('Thiết Kế'!C162="","",'Thiết Kế'!C162)</f>
        <v/>
      </c>
      <c r="D558" s="52" t="str">
        <f>IF('Thiết Kế'!D162="","",'Thiết Kế'!D162)</f>
        <v/>
      </c>
      <c r="E558" s="52" t="str">
        <f>IF('Thiết Kế'!E162="","",'Thiết Kế'!E162)</f>
        <v/>
      </c>
      <c r="F558" s="52" t="str">
        <f>IF('Thiết Kế'!F162="","",'Thiết Kế'!F162)</f>
        <v/>
      </c>
      <c r="G558" s="52" t="str">
        <f>IF('Thiết Kế'!G162="","",'Thiết Kế'!G162)</f>
        <v/>
      </c>
      <c r="H558" s="52" t="str">
        <f>IF('Thiết Kế'!J162="","",'Thiết Kế'!J162)</f>
        <v/>
      </c>
      <c r="I558" s="52" t="str">
        <f>IF('Thiết Kế'!M162="","",'Thiết Kế'!M162)</f>
        <v/>
      </c>
      <c r="J558" s="52" t="str">
        <f>IF('Thiết Kế'!R162="","",'Thiết Kế'!R162)</f>
        <v/>
      </c>
      <c r="K558" s="52" t="str">
        <f t="array" ref="K558">IF(COUNTA('Thiết Kế'!T162:AE162)=0,"",INDEX('Thiết Kế'!T162:AE162,1,SUMPRODUCT(MAX(('Thiết Kế'!T162:AE162&lt;&gt;"")*(COLUMN('Thiết Kế'!T162:AE162)-COLUMN('Thiết Kế'!T162)+1)))))</f>
        <v/>
      </c>
      <c r="L558" s="52" t="str">
        <f>IF(AND(G558&lt;&gt;"",G558='Tổng hợp'!$C$4),MAX(L$1:L557)+1,"")</f>
        <v/>
      </c>
    </row>
    <row r="559" ht="15.75" customHeight="1">
      <c r="A559" s="52" t="str">
        <f>IF('Thiết Kế'!C163="","","Thiết Kế")</f>
        <v/>
      </c>
      <c r="B559" s="52" t="str">
        <f>IF('Thiết Kế'!B163="","",'Thiết Kế'!B163)</f>
        <v/>
      </c>
      <c r="C559" s="52" t="str">
        <f>IF('Thiết Kế'!C163="","",'Thiết Kế'!C163)</f>
        <v/>
      </c>
      <c r="D559" s="52" t="str">
        <f>IF('Thiết Kế'!D163="","",'Thiết Kế'!D163)</f>
        <v/>
      </c>
      <c r="E559" s="52" t="str">
        <f>IF('Thiết Kế'!E163="","",'Thiết Kế'!E163)</f>
        <v/>
      </c>
      <c r="F559" s="52" t="str">
        <f>IF('Thiết Kế'!F163="","",'Thiết Kế'!F163)</f>
        <v/>
      </c>
      <c r="G559" s="52" t="str">
        <f>IF('Thiết Kế'!G163="","",'Thiết Kế'!G163)</f>
        <v/>
      </c>
      <c r="H559" s="52" t="str">
        <f>IF('Thiết Kế'!J163="","",'Thiết Kế'!J163)</f>
        <v/>
      </c>
      <c r="I559" s="52" t="str">
        <f>IF('Thiết Kế'!M163="","",'Thiết Kế'!M163)</f>
        <v/>
      </c>
      <c r="J559" s="52" t="str">
        <f>IF('Thiết Kế'!R163="","",'Thiết Kế'!R163)</f>
        <v/>
      </c>
      <c r="K559" s="52" t="str">
        <f t="array" ref="K559">IF(COUNTA('Thiết Kế'!T163:AE163)=0,"",INDEX('Thiết Kế'!T163:AE163,1,SUMPRODUCT(MAX(('Thiết Kế'!T163:AE163&lt;&gt;"")*(COLUMN('Thiết Kế'!T163:AE163)-COLUMN('Thiết Kế'!T163)+1)))))</f>
        <v/>
      </c>
      <c r="L559" s="52" t="str">
        <f>IF(AND(G559&lt;&gt;"",G559='Tổng hợp'!$C$4),MAX(L$1:L558)+1,"")</f>
        <v/>
      </c>
    </row>
    <row r="560" ht="15.75" customHeight="1">
      <c r="A560" s="52" t="str">
        <f>IF('Thiết Kế'!C164="","","Thiết Kế")</f>
        <v/>
      </c>
      <c r="B560" s="52" t="str">
        <f>IF('Thiết Kế'!B164="","",'Thiết Kế'!B164)</f>
        <v/>
      </c>
      <c r="C560" s="52" t="str">
        <f>IF('Thiết Kế'!C164="","",'Thiết Kế'!C164)</f>
        <v/>
      </c>
      <c r="D560" s="52" t="str">
        <f>IF('Thiết Kế'!D164="","",'Thiết Kế'!D164)</f>
        <v/>
      </c>
      <c r="E560" s="52" t="str">
        <f>IF('Thiết Kế'!E164="","",'Thiết Kế'!E164)</f>
        <v/>
      </c>
      <c r="F560" s="52" t="str">
        <f>IF('Thiết Kế'!F164="","",'Thiết Kế'!F164)</f>
        <v/>
      </c>
      <c r="G560" s="52" t="str">
        <f>IF('Thiết Kế'!G164="","",'Thiết Kế'!G164)</f>
        <v/>
      </c>
      <c r="H560" s="52" t="str">
        <f>IF('Thiết Kế'!J164="","",'Thiết Kế'!J164)</f>
        <v/>
      </c>
      <c r="I560" s="52" t="str">
        <f>IF('Thiết Kế'!M164="","",'Thiết Kế'!M164)</f>
        <v/>
      </c>
      <c r="J560" s="52" t="str">
        <f>IF('Thiết Kế'!R164="","",'Thiết Kế'!R164)</f>
        <v/>
      </c>
      <c r="K560" s="52" t="str">
        <f t="array" ref="K560">IF(COUNTA('Thiết Kế'!T164:AE164)=0,"",INDEX('Thiết Kế'!T164:AE164,1,SUMPRODUCT(MAX(('Thiết Kế'!T164:AE164&lt;&gt;"")*(COLUMN('Thiết Kế'!T164:AE164)-COLUMN('Thiết Kế'!T164)+1)))))</f>
        <v/>
      </c>
      <c r="L560" s="52" t="str">
        <f>IF(AND(G560&lt;&gt;"",G560='Tổng hợp'!$C$4),MAX(L$1:L559)+1,"")</f>
        <v/>
      </c>
    </row>
    <row r="561" ht="15.75" customHeight="1">
      <c r="A561" s="52" t="str">
        <f>IF('Thiết Kế'!C165="","","Thiết Kế")</f>
        <v/>
      </c>
      <c r="B561" s="52" t="str">
        <f>IF('Thiết Kế'!B165="","",'Thiết Kế'!B165)</f>
        <v/>
      </c>
      <c r="C561" s="52" t="str">
        <f>IF('Thiết Kế'!C165="","",'Thiết Kế'!C165)</f>
        <v/>
      </c>
      <c r="D561" s="52" t="str">
        <f>IF('Thiết Kế'!D165="","",'Thiết Kế'!D165)</f>
        <v/>
      </c>
      <c r="E561" s="52" t="str">
        <f>IF('Thiết Kế'!E165="","",'Thiết Kế'!E165)</f>
        <v/>
      </c>
      <c r="F561" s="52" t="str">
        <f>IF('Thiết Kế'!F165="","",'Thiết Kế'!F165)</f>
        <v/>
      </c>
      <c r="G561" s="52" t="str">
        <f>IF('Thiết Kế'!G165="","",'Thiết Kế'!G165)</f>
        <v/>
      </c>
      <c r="H561" s="52" t="str">
        <f>IF('Thiết Kế'!J165="","",'Thiết Kế'!J165)</f>
        <v/>
      </c>
      <c r="I561" s="52" t="str">
        <f>IF('Thiết Kế'!M165="","",'Thiết Kế'!M165)</f>
        <v/>
      </c>
      <c r="J561" s="52" t="str">
        <f>IF('Thiết Kế'!R165="","",'Thiết Kế'!R165)</f>
        <v/>
      </c>
      <c r="K561" s="52" t="str">
        <f t="array" ref="K561">IF(COUNTA('Thiết Kế'!T165:AE165)=0,"",INDEX('Thiết Kế'!T165:AE165,1,SUMPRODUCT(MAX(('Thiết Kế'!T165:AE165&lt;&gt;"")*(COLUMN('Thiết Kế'!T165:AE165)-COLUMN('Thiết Kế'!T165)+1)))))</f>
        <v/>
      </c>
      <c r="L561" s="52" t="str">
        <f>IF(AND(G561&lt;&gt;"",G561='Tổng hợp'!$C$4),MAX(L$1:L560)+1,"")</f>
        <v/>
      </c>
    </row>
    <row r="562" ht="15.75" customHeight="1">
      <c r="A562" s="52" t="str">
        <f>IF('Thiết Kế'!C166="","","Thiết Kế")</f>
        <v/>
      </c>
      <c r="B562" s="52" t="str">
        <f>IF('Thiết Kế'!B166="","",'Thiết Kế'!B166)</f>
        <v/>
      </c>
      <c r="C562" s="52" t="str">
        <f>IF('Thiết Kế'!C166="","",'Thiết Kế'!C166)</f>
        <v/>
      </c>
      <c r="D562" s="52" t="str">
        <f>IF('Thiết Kế'!D166="","",'Thiết Kế'!D166)</f>
        <v/>
      </c>
      <c r="E562" s="52" t="str">
        <f>IF('Thiết Kế'!E166="","",'Thiết Kế'!E166)</f>
        <v/>
      </c>
      <c r="F562" s="52" t="str">
        <f>IF('Thiết Kế'!F166="","",'Thiết Kế'!F166)</f>
        <v/>
      </c>
      <c r="G562" s="52" t="str">
        <f>IF('Thiết Kế'!G166="","",'Thiết Kế'!G166)</f>
        <v/>
      </c>
      <c r="H562" s="52" t="str">
        <f>IF('Thiết Kế'!J166="","",'Thiết Kế'!J166)</f>
        <v/>
      </c>
      <c r="I562" s="52" t="str">
        <f>IF('Thiết Kế'!M166="","",'Thiết Kế'!M166)</f>
        <v/>
      </c>
      <c r="J562" s="52" t="str">
        <f>IF('Thiết Kế'!R166="","",'Thiết Kế'!R166)</f>
        <v/>
      </c>
      <c r="K562" s="52" t="str">
        <f t="array" ref="K562">IF(COUNTA('Thiết Kế'!T166:AE166)=0,"",INDEX('Thiết Kế'!T166:AE166,1,SUMPRODUCT(MAX(('Thiết Kế'!T166:AE166&lt;&gt;"")*(COLUMN('Thiết Kế'!T166:AE166)-COLUMN('Thiết Kế'!T166)+1)))))</f>
        <v/>
      </c>
      <c r="L562" s="52" t="str">
        <f>IF(AND(G562&lt;&gt;"",G562='Tổng hợp'!$C$4),MAX(L$1:L561)+1,"")</f>
        <v/>
      </c>
    </row>
    <row r="563" ht="15.75" customHeight="1">
      <c r="A563" s="52" t="str">
        <f>IF('Thiết Kế'!C167="","","Thiết Kế")</f>
        <v/>
      </c>
      <c r="B563" s="52" t="str">
        <f>IF('Thiết Kế'!B167="","",'Thiết Kế'!B167)</f>
        <v/>
      </c>
      <c r="C563" s="52" t="str">
        <f>IF('Thiết Kế'!C167="","",'Thiết Kế'!C167)</f>
        <v/>
      </c>
      <c r="D563" s="52" t="str">
        <f>IF('Thiết Kế'!D167="","",'Thiết Kế'!D167)</f>
        <v/>
      </c>
      <c r="E563" s="52" t="str">
        <f>IF('Thiết Kế'!E167="","",'Thiết Kế'!E167)</f>
        <v/>
      </c>
      <c r="F563" s="52" t="str">
        <f>IF('Thiết Kế'!F167="","",'Thiết Kế'!F167)</f>
        <v/>
      </c>
      <c r="G563" s="52" t="str">
        <f>IF('Thiết Kế'!G167="","",'Thiết Kế'!G167)</f>
        <v/>
      </c>
      <c r="H563" s="52" t="str">
        <f>IF('Thiết Kế'!J167="","",'Thiết Kế'!J167)</f>
        <v/>
      </c>
      <c r="I563" s="52" t="str">
        <f>IF('Thiết Kế'!M167="","",'Thiết Kế'!M167)</f>
        <v/>
      </c>
      <c r="J563" s="52" t="str">
        <f>IF('Thiết Kế'!R167="","",'Thiết Kế'!R167)</f>
        <v/>
      </c>
      <c r="K563" s="52" t="str">
        <f t="array" ref="K563">IF(COUNTA('Thiết Kế'!T167:AE167)=0,"",INDEX('Thiết Kế'!T167:AE167,1,SUMPRODUCT(MAX(('Thiết Kế'!T167:AE167&lt;&gt;"")*(COLUMN('Thiết Kế'!T167:AE167)-COLUMN('Thiết Kế'!T167)+1)))))</f>
        <v/>
      </c>
      <c r="L563" s="52" t="str">
        <f>IF(AND(G563&lt;&gt;"",G563='Tổng hợp'!$C$4),MAX(L$1:L562)+1,"")</f>
        <v/>
      </c>
    </row>
    <row r="564" ht="15.75" customHeight="1">
      <c r="A564" s="52" t="str">
        <f>IF('Thiết Kế'!C168="","","Thiết Kế")</f>
        <v/>
      </c>
      <c r="B564" s="52" t="str">
        <f>IF('Thiết Kế'!B168="","",'Thiết Kế'!B168)</f>
        <v/>
      </c>
      <c r="C564" s="52" t="str">
        <f>IF('Thiết Kế'!C168="","",'Thiết Kế'!C168)</f>
        <v/>
      </c>
      <c r="D564" s="52" t="str">
        <f>IF('Thiết Kế'!D168="","",'Thiết Kế'!D168)</f>
        <v/>
      </c>
      <c r="E564" s="52" t="str">
        <f>IF('Thiết Kế'!E168="","",'Thiết Kế'!E168)</f>
        <v/>
      </c>
      <c r="F564" s="52" t="str">
        <f>IF('Thiết Kế'!F168="","",'Thiết Kế'!F168)</f>
        <v/>
      </c>
      <c r="G564" s="52" t="str">
        <f>IF('Thiết Kế'!G168="","",'Thiết Kế'!G168)</f>
        <v/>
      </c>
      <c r="H564" s="52" t="str">
        <f>IF('Thiết Kế'!J168="","",'Thiết Kế'!J168)</f>
        <v/>
      </c>
      <c r="I564" s="52" t="str">
        <f>IF('Thiết Kế'!M168="","",'Thiết Kế'!M168)</f>
        <v/>
      </c>
      <c r="J564" s="52" t="str">
        <f>IF('Thiết Kế'!R168="","",'Thiết Kế'!R168)</f>
        <v/>
      </c>
      <c r="K564" s="52" t="str">
        <f t="array" ref="K564">IF(COUNTA('Thiết Kế'!T168:AE168)=0,"",INDEX('Thiết Kế'!T168:AE168,1,SUMPRODUCT(MAX(('Thiết Kế'!T168:AE168&lt;&gt;"")*(COLUMN('Thiết Kế'!T168:AE168)-COLUMN('Thiết Kế'!T168)+1)))))</f>
        <v/>
      </c>
      <c r="L564" s="52" t="str">
        <f>IF(AND(G564&lt;&gt;"",G564='Tổng hợp'!$C$4),MAX(L$1:L563)+1,"")</f>
        <v/>
      </c>
    </row>
    <row r="565" ht="15.75" customHeight="1">
      <c r="A565" s="52" t="str">
        <f>IF('Thiết Kế'!C169="","","Thiết Kế")</f>
        <v/>
      </c>
      <c r="B565" s="52" t="str">
        <f>IF('Thiết Kế'!B169="","",'Thiết Kế'!B169)</f>
        <v/>
      </c>
      <c r="C565" s="52" t="str">
        <f>IF('Thiết Kế'!C169="","",'Thiết Kế'!C169)</f>
        <v/>
      </c>
      <c r="D565" s="52" t="str">
        <f>IF('Thiết Kế'!D169="","",'Thiết Kế'!D169)</f>
        <v/>
      </c>
      <c r="E565" s="52" t="str">
        <f>IF('Thiết Kế'!E169="","",'Thiết Kế'!E169)</f>
        <v/>
      </c>
      <c r="F565" s="52" t="str">
        <f>IF('Thiết Kế'!F169="","",'Thiết Kế'!F169)</f>
        <v/>
      </c>
      <c r="G565" s="52" t="str">
        <f>IF('Thiết Kế'!G169="","",'Thiết Kế'!G169)</f>
        <v/>
      </c>
      <c r="H565" s="52" t="str">
        <f>IF('Thiết Kế'!J169="","",'Thiết Kế'!J169)</f>
        <v/>
      </c>
      <c r="I565" s="52" t="str">
        <f>IF('Thiết Kế'!M169="","",'Thiết Kế'!M169)</f>
        <v/>
      </c>
      <c r="J565" s="52" t="str">
        <f>IF('Thiết Kế'!R169="","",'Thiết Kế'!R169)</f>
        <v/>
      </c>
      <c r="K565" s="52" t="str">
        <f t="array" ref="K565">IF(COUNTA('Thiết Kế'!T169:AE169)=0,"",INDEX('Thiết Kế'!T169:AE169,1,SUMPRODUCT(MAX(('Thiết Kế'!T169:AE169&lt;&gt;"")*(COLUMN('Thiết Kế'!T169:AE169)-COLUMN('Thiết Kế'!T169)+1)))))</f>
        <v/>
      </c>
      <c r="L565" s="52" t="str">
        <f>IF(AND(G565&lt;&gt;"",G565='Tổng hợp'!$C$4),MAX(L$1:L564)+1,"")</f>
        <v/>
      </c>
    </row>
    <row r="566" ht="15.75" customHeight="1">
      <c r="A566" s="52" t="str">
        <f>IF('Thiết Kế'!C170="","","Thiết Kế")</f>
        <v/>
      </c>
      <c r="B566" s="52" t="str">
        <f>IF('Thiết Kế'!B170="","",'Thiết Kế'!B170)</f>
        <v/>
      </c>
      <c r="C566" s="52" t="str">
        <f>IF('Thiết Kế'!C170="","",'Thiết Kế'!C170)</f>
        <v/>
      </c>
      <c r="D566" s="52" t="str">
        <f>IF('Thiết Kế'!D170="","",'Thiết Kế'!D170)</f>
        <v/>
      </c>
      <c r="E566" s="52" t="str">
        <f>IF('Thiết Kế'!E170="","",'Thiết Kế'!E170)</f>
        <v/>
      </c>
      <c r="F566" s="52" t="str">
        <f>IF('Thiết Kế'!F170="","",'Thiết Kế'!F170)</f>
        <v/>
      </c>
      <c r="G566" s="52" t="str">
        <f>IF('Thiết Kế'!G170="","",'Thiết Kế'!G170)</f>
        <v/>
      </c>
      <c r="H566" s="52" t="str">
        <f>IF('Thiết Kế'!J170="","",'Thiết Kế'!J170)</f>
        <v/>
      </c>
      <c r="I566" s="52" t="str">
        <f>IF('Thiết Kế'!M170="","",'Thiết Kế'!M170)</f>
        <v/>
      </c>
      <c r="J566" s="52" t="str">
        <f>IF('Thiết Kế'!R170="","",'Thiết Kế'!R170)</f>
        <v/>
      </c>
      <c r="K566" s="52" t="str">
        <f t="array" ref="K566">IF(COUNTA('Thiết Kế'!T170:AE170)=0,"",INDEX('Thiết Kế'!T170:AE170,1,SUMPRODUCT(MAX(('Thiết Kế'!T170:AE170&lt;&gt;"")*(COLUMN('Thiết Kế'!T170:AE170)-COLUMN('Thiết Kế'!T170)+1)))))</f>
        <v/>
      </c>
      <c r="L566" s="52" t="str">
        <f>IF(AND(G566&lt;&gt;"",G566='Tổng hợp'!$C$4),MAX(L$1:L565)+1,"")</f>
        <v/>
      </c>
    </row>
    <row r="567" ht="15.75" customHeight="1">
      <c r="A567" s="52" t="str">
        <f>IF('Thiết Kế'!C171="","","Thiết Kế")</f>
        <v/>
      </c>
      <c r="B567" s="52" t="str">
        <f>IF('Thiết Kế'!B171="","",'Thiết Kế'!B171)</f>
        <v/>
      </c>
      <c r="C567" s="52" t="str">
        <f>IF('Thiết Kế'!C171="","",'Thiết Kế'!C171)</f>
        <v/>
      </c>
      <c r="D567" s="52" t="str">
        <f>IF('Thiết Kế'!D171="","",'Thiết Kế'!D171)</f>
        <v/>
      </c>
      <c r="E567" s="52" t="str">
        <f>IF('Thiết Kế'!E171="","",'Thiết Kế'!E171)</f>
        <v/>
      </c>
      <c r="F567" s="52" t="str">
        <f>IF('Thiết Kế'!F171="","",'Thiết Kế'!F171)</f>
        <v/>
      </c>
      <c r="G567" s="52" t="str">
        <f>IF('Thiết Kế'!G171="","",'Thiết Kế'!G171)</f>
        <v/>
      </c>
      <c r="H567" s="52" t="str">
        <f>IF('Thiết Kế'!J171="","",'Thiết Kế'!J171)</f>
        <v/>
      </c>
      <c r="I567" s="52" t="str">
        <f>IF('Thiết Kế'!M171="","",'Thiết Kế'!M171)</f>
        <v/>
      </c>
      <c r="J567" s="52" t="str">
        <f>IF('Thiết Kế'!R171="","",'Thiết Kế'!R171)</f>
        <v/>
      </c>
      <c r="K567" s="52" t="str">
        <f t="array" ref="K567">IF(COUNTA('Thiết Kế'!T171:AE171)=0,"",INDEX('Thiết Kế'!T171:AE171,1,SUMPRODUCT(MAX(('Thiết Kế'!T171:AE171&lt;&gt;"")*(COLUMN('Thiết Kế'!T171:AE171)-COLUMN('Thiết Kế'!T171)+1)))))</f>
        <v/>
      </c>
      <c r="L567" s="52" t="str">
        <f>IF(AND(G567&lt;&gt;"",G567='Tổng hợp'!$C$4),MAX(L$1:L566)+1,"")</f>
        <v/>
      </c>
    </row>
    <row r="568" ht="15.75" customHeight="1">
      <c r="A568" s="52" t="str">
        <f>IF('Thiết Kế'!C172="","","Thiết Kế")</f>
        <v/>
      </c>
      <c r="B568" s="52" t="str">
        <f>IF('Thiết Kế'!B172="","",'Thiết Kế'!B172)</f>
        <v/>
      </c>
      <c r="C568" s="52" t="str">
        <f>IF('Thiết Kế'!C172="","",'Thiết Kế'!C172)</f>
        <v/>
      </c>
      <c r="D568" s="52" t="str">
        <f>IF('Thiết Kế'!D172="","",'Thiết Kế'!D172)</f>
        <v/>
      </c>
      <c r="E568" s="52" t="str">
        <f>IF('Thiết Kế'!E172="","",'Thiết Kế'!E172)</f>
        <v/>
      </c>
      <c r="F568" s="52" t="str">
        <f>IF('Thiết Kế'!F172="","",'Thiết Kế'!F172)</f>
        <v/>
      </c>
      <c r="G568" s="52" t="str">
        <f>IF('Thiết Kế'!G172="","",'Thiết Kế'!G172)</f>
        <v/>
      </c>
      <c r="H568" s="52" t="str">
        <f>IF('Thiết Kế'!J172="","",'Thiết Kế'!J172)</f>
        <v/>
      </c>
      <c r="I568" s="52" t="str">
        <f>IF('Thiết Kế'!M172="","",'Thiết Kế'!M172)</f>
        <v/>
      </c>
      <c r="J568" s="52" t="str">
        <f>IF('Thiết Kế'!R172="","",'Thiết Kế'!R172)</f>
        <v/>
      </c>
      <c r="K568" s="52" t="str">
        <f t="array" ref="K568">IF(COUNTA('Thiết Kế'!T172:AE172)=0,"",INDEX('Thiết Kế'!T172:AE172,1,SUMPRODUCT(MAX(('Thiết Kế'!T172:AE172&lt;&gt;"")*(COLUMN('Thiết Kế'!T172:AE172)-COLUMN('Thiết Kế'!T172)+1)))))</f>
        <v/>
      </c>
      <c r="L568" s="52" t="str">
        <f>IF(AND(G568&lt;&gt;"",G568='Tổng hợp'!$C$4),MAX(L$1:L567)+1,"")</f>
        <v/>
      </c>
    </row>
    <row r="569" ht="15.75" customHeight="1">
      <c r="A569" s="52" t="str">
        <f>IF('Thiết Kế'!C173="","","Thiết Kế")</f>
        <v/>
      </c>
      <c r="B569" s="52" t="str">
        <f>IF('Thiết Kế'!B173="","",'Thiết Kế'!B173)</f>
        <v/>
      </c>
      <c r="C569" s="52" t="str">
        <f>IF('Thiết Kế'!C173="","",'Thiết Kế'!C173)</f>
        <v/>
      </c>
      <c r="D569" s="52" t="str">
        <f>IF('Thiết Kế'!D173="","",'Thiết Kế'!D173)</f>
        <v/>
      </c>
      <c r="E569" s="52" t="str">
        <f>IF('Thiết Kế'!E173="","",'Thiết Kế'!E173)</f>
        <v/>
      </c>
      <c r="F569" s="52" t="str">
        <f>IF('Thiết Kế'!F173="","",'Thiết Kế'!F173)</f>
        <v/>
      </c>
      <c r="G569" s="52" t="str">
        <f>IF('Thiết Kế'!G173="","",'Thiết Kế'!G173)</f>
        <v/>
      </c>
      <c r="H569" s="52" t="str">
        <f>IF('Thiết Kế'!J173="","",'Thiết Kế'!J173)</f>
        <v/>
      </c>
      <c r="I569" s="52" t="str">
        <f>IF('Thiết Kế'!M173="","",'Thiết Kế'!M173)</f>
        <v/>
      </c>
      <c r="J569" s="52" t="str">
        <f>IF('Thiết Kế'!R173="","",'Thiết Kế'!R173)</f>
        <v/>
      </c>
      <c r="K569" s="52" t="str">
        <f t="array" ref="K569">IF(COUNTA('Thiết Kế'!T173:AE173)=0,"",INDEX('Thiết Kế'!T173:AE173,1,SUMPRODUCT(MAX(('Thiết Kế'!T173:AE173&lt;&gt;"")*(COLUMN('Thiết Kế'!T173:AE173)-COLUMN('Thiết Kế'!T173)+1)))))</f>
        <v/>
      </c>
      <c r="L569" s="52" t="str">
        <f>IF(AND(G569&lt;&gt;"",G569='Tổng hợp'!$C$4),MAX(L$1:L568)+1,"")</f>
        <v/>
      </c>
    </row>
    <row r="570" ht="15.75" customHeight="1">
      <c r="A570" s="52" t="str">
        <f>IF('Thiết Kế'!C174="","","Thiết Kế")</f>
        <v/>
      </c>
      <c r="B570" s="52" t="str">
        <f>IF('Thiết Kế'!B174="","",'Thiết Kế'!B174)</f>
        <v/>
      </c>
      <c r="C570" s="52" t="str">
        <f>IF('Thiết Kế'!C174="","",'Thiết Kế'!C174)</f>
        <v/>
      </c>
      <c r="D570" s="52" t="str">
        <f>IF('Thiết Kế'!D174="","",'Thiết Kế'!D174)</f>
        <v/>
      </c>
      <c r="E570" s="52" t="str">
        <f>IF('Thiết Kế'!E174="","",'Thiết Kế'!E174)</f>
        <v/>
      </c>
      <c r="F570" s="52" t="str">
        <f>IF('Thiết Kế'!F174="","",'Thiết Kế'!F174)</f>
        <v/>
      </c>
      <c r="G570" s="52" t="str">
        <f>IF('Thiết Kế'!G174="","",'Thiết Kế'!G174)</f>
        <v/>
      </c>
      <c r="H570" s="52" t="str">
        <f>IF('Thiết Kế'!J174="","",'Thiết Kế'!J174)</f>
        <v/>
      </c>
      <c r="I570" s="52" t="str">
        <f>IF('Thiết Kế'!M174="","",'Thiết Kế'!M174)</f>
        <v/>
      </c>
      <c r="J570" s="52" t="str">
        <f>IF('Thiết Kế'!R174="","",'Thiết Kế'!R174)</f>
        <v/>
      </c>
      <c r="K570" s="52" t="str">
        <f t="array" ref="K570">IF(COUNTA('Thiết Kế'!T174:AE174)=0,"",INDEX('Thiết Kế'!T174:AE174,1,SUMPRODUCT(MAX(('Thiết Kế'!T174:AE174&lt;&gt;"")*(COLUMN('Thiết Kế'!T174:AE174)-COLUMN('Thiết Kế'!T174)+1)))))</f>
        <v/>
      </c>
      <c r="L570" s="52" t="str">
        <f>IF(AND(G570&lt;&gt;"",G570='Tổng hợp'!$C$4),MAX(L$1:L569)+1,"")</f>
        <v/>
      </c>
    </row>
    <row r="571" ht="15.75" customHeight="1">
      <c r="A571" s="52" t="str">
        <f>IF('Thiết Kế'!C175="","","Thiết Kế")</f>
        <v/>
      </c>
      <c r="B571" s="52" t="str">
        <f>IF('Thiết Kế'!B175="","",'Thiết Kế'!B175)</f>
        <v/>
      </c>
      <c r="C571" s="52" t="str">
        <f>IF('Thiết Kế'!C175="","",'Thiết Kế'!C175)</f>
        <v/>
      </c>
      <c r="D571" s="52" t="str">
        <f>IF('Thiết Kế'!D175="","",'Thiết Kế'!D175)</f>
        <v/>
      </c>
      <c r="E571" s="52" t="str">
        <f>IF('Thiết Kế'!E175="","",'Thiết Kế'!E175)</f>
        <v/>
      </c>
      <c r="F571" s="52" t="str">
        <f>IF('Thiết Kế'!F175="","",'Thiết Kế'!F175)</f>
        <v/>
      </c>
      <c r="G571" s="52" t="str">
        <f>IF('Thiết Kế'!G175="","",'Thiết Kế'!G175)</f>
        <v/>
      </c>
      <c r="H571" s="52" t="str">
        <f>IF('Thiết Kế'!J175="","",'Thiết Kế'!J175)</f>
        <v/>
      </c>
      <c r="I571" s="52" t="str">
        <f>IF('Thiết Kế'!M175="","",'Thiết Kế'!M175)</f>
        <v/>
      </c>
      <c r="J571" s="52" t="str">
        <f>IF('Thiết Kế'!R175="","",'Thiết Kế'!R175)</f>
        <v/>
      </c>
      <c r="K571" s="52" t="str">
        <f t="array" ref="K571">IF(COUNTA('Thiết Kế'!T175:AE175)=0,"",INDEX('Thiết Kế'!T175:AE175,1,SUMPRODUCT(MAX(('Thiết Kế'!T175:AE175&lt;&gt;"")*(COLUMN('Thiết Kế'!T175:AE175)-COLUMN('Thiết Kế'!T175)+1)))))</f>
        <v/>
      </c>
      <c r="L571" s="52" t="str">
        <f>IF(AND(G571&lt;&gt;"",G571='Tổng hợp'!$C$4),MAX(L$1:L570)+1,"")</f>
        <v/>
      </c>
    </row>
    <row r="572" ht="15.75" customHeight="1">
      <c r="A572" s="52" t="str">
        <f>IF('Thiết Kế'!C176="","","Thiết Kế")</f>
        <v/>
      </c>
      <c r="B572" s="52" t="str">
        <f>IF('Thiết Kế'!B176="","",'Thiết Kế'!B176)</f>
        <v/>
      </c>
      <c r="C572" s="52" t="str">
        <f>IF('Thiết Kế'!C176="","",'Thiết Kế'!C176)</f>
        <v/>
      </c>
      <c r="D572" s="52" t="str">
        <f>IF('Thiết Kế'!D176="","",'Thiết Kế'!D176)</f>
        <v/>
      </c>
      <c r="E572" s="52" t="str">
        <f>IF('Thiết Kế'!E176="","",'Thiết Kế'!E176)</f>
        <v/>
      </c>
      <c r="F572" s="52" t="str">
        <f>IF('Thiết Kế'!F176="","",'Thiết Kế'!F176)</f>
        <v/>
      </c>
      <c r="G572" s="52" t="str">
        <f>IF('Thiết Kế'!G176="","",'Thiết Kế'!G176)</f>
        <v/>
      </c>
      <c r="H572" s="52" t="str">
        <f>IF('Thiết Kế'!J176="","",'Thiết Kế'!J176)</f>
        <v/>
      </c>
      <c r="I572" s="52" t="str">
        <f>IF('Thiết Kế'!M176="","",'Thiết Kế'!M176)</f>
        <v/>
      </c>
      <c r="J572" s="52" t="str">
        <f>IF('Thiết Kế'!R176="","",'Thiết Kế'!R176)</f>
        <v/>
      </c>
      <c r="K572" s="52" t="str">
        <f t="array" ref="K572">IF(COUNTA('Thiết Kế'!T176:AE176)=0,"",INDEX('Thiết Kế'!T176:AE176,1,SUMPRODUCT(MAX(('Thiết Kế'!T176:AE176&lt;&gt;"")*(COLUMN('Thiết Kế'!T176:AE176)-COLUMN('Thiết Kế'!T176)+1)))))</f>
        <v/>
      </c>
      <c r="L572" s="52" t="str">
        <f>IF(AND(G572&lt;&gt;"",G572='Tổng hợp'!$C$4),MAX(L$1:L571)+1,"")</f>
        <v/>
      </c>
    </row>
    <row r="573" ht="15.75" customHeight="1">
      <c r="A573" s="52" t="str">
        <f>IF('Thiết Kế'!C177="","","Thiết Kế")</f>
        <v/>
      </c>
      <c r="B573" s="52" t="str">
        <f>IF('Thiết Kế'!B177="","",'Thiết Kế'!B177)</f>
        <v/>
      </c>
      <c r="C573" s="52" t="str">
        <f>IF('Thiết Kế'!C177="","",'Thiết Kế'!C177)</f>
        <v/>
      </c>
      <c r="D573" s="52" t="str">
        <f>IF('Thiết Kế'!D177="","",'Thiết Kế'!D177)</f>
        <v/>
      </c>
      <c r="E573" s="52" t="str">
        <f>IF('Thiết Kế'!E177="","",'Thiết Kế'!E177)</f>
        <v/>
      </c>
      <c r="F573" s="52" t="str">
        <f>IF('Thiết Kế'!F177="","",'Thiết Kế'!F177)</f>
        <v/>
      </c>
      <c r="G573" s="52" t="str">
        <f>IF('Thiết Kế'!G177="","",'Thiết Kế'!G177)</f>
        <v/>
      </c>
      <c r="H573" s="52" t="str">
        <f>IF('Thiết Kế'!J177="","",'Thiết Kế'!J177)</f>
        <v/>
      </c>
      <c r="I573" s="52" t="str">
        <f>IF('Thiết Kế'!M177="","",'Thiết Kế'!M177)</f>
        <v/>
      </c>
      <c r="J573" s="52" t="str">
        <f>IF('Thiết Kế'!R177="","",'Thiết Kế'!R177)</f>
        <v/>
      </c>
      <c r="K573" s="52" t="str">
        <f t="array" ref="K573">IF(COUNTA('Thiết Kế'!T177:AE177)=0,"",INDEX('Thiết Kế'!T177:AE177,1,SUMPRODUCT(MAX(('Thiết Kế'!T177:AE177&lt;&gt;"")*(COLUMN('Thiết Kế'!T177:AE177)-COLUMN('Thiết Kế'!T177)+1)))))</f>
        <v/>
      </c>
      <c r="L573" s="52" t="str">
        <f>IF(AND(G573&lt;&gt;"",G573='Tổng hợp'!$C$4),MAX(L$1:L572)+1,"")</f>
        <v/>
      </c>
    </row>
    <row r="574" ht="15.75" customHeight="1">
      <c r="A574" s="52" t="str">
        <f>IF('Thiết Kế'!C178="","","Thiết Kế")</f>
        <v/>
      </c>
      <c r="B574" s="52" t="str">
        <f>IF('Thiết Kế'!B178="","",'Thiết Kế'!B178)</f>
        <v/>
      </c>
      <c r="C574" s="52" t="str">
        <f>IF('Thiết Kế'!C178="","",'Thiết Kế'!C178)</f>
        <v/>
      </c>
      <c r="D574" s="52" t="str">
        <f>IF('Thiết Kế'!D178="","",'Thiết Kế'!D178)</f>
        <v/>
      </c>
      <c r="E574" s="52" t="str">
        <f>IF('Thiết Kế'!E178="","",'Thiết Kế'!E178)</f>
        <v/>
      </c>
      <c r="F574" s="52" t="str">
        <f>IF('Thiết Kế'!F178="","",'Thiết Kế'!F178)</f>
        <v/>
      </c>
      <c r="G574" s="52" t="str">
        <f>IF('Thiết Kế'!G178="","",'Thiết Kế'!G178)</f>
        <v/>
      </c>
      <c r="H574" s="52" t="str">
        <f>IF('Thiết Kế'!J178="","",'Thiết Kế'!J178)</f>
        <v/>
      </c>
      <c r="I574" s="52" t="str">
        <f>IF('Thiết Kế'!M178="","",'Thiết Kế'!M178)</f>
        <v/>
      </c>
      <c r="J574" s="52" t="str">
        <f>IF('Thiết Kế'!R178="","",'Thiết Kế'!R178)</f>
        <v/>
      </c>
      <c r="K574" s="52" t="str">
        <f t="array" ref="K574">IF(COUNTA('Thiết Kế'!T178:AE178)=0,"",INDEX('Thiết Kế'!T178:AE178,1,SUMPRODUCT(MAX(('Thiết Kế'!T178:AE178&lt;&gt;"")*(COLUMN('Thiết Kế'!T178:AE178)-COLUMN('Thiết Kế'!T178)+1)))))</f>
        <v/>
      </c>
      <c r="L574" s="52" t="str">
        <f>IF(AND(G574&lt;&gt;"",G574='Tổng hợp'!$C$4),MAX(L$1:L573)+1,"")</f>
        <v/>
      </c>
    </row>
    <row r="575" ht="15.75" customHeight="1">
      <c r="A575" s="52" t="str">
        <f>IF('Thiết Kế'!C179="","","Thiết Kế")</f>
        <v/>
      </c>
      <c r="B575" s="52" t="str">
        <f>IF('Thiết Kế'!B179="","",'Thiết Kế'!B179)</f>
        <v/>
      </c>
      <c r="C575" s="52" t="str">
        <f>IF('Thiết Kế'!C179="","",'Thiết Kế'!C179)</f>
        <v/>
      </c>
      <c r="D575" s="52" t="str">
        <f>IF('Thiết Kế'!D179="","",'Thiết Kế'!D179)</f>
        <v/>
      </c>
      <c r="E575" s="52" t="str">
        <f>IF('Thiết Kế'!E179="","",'Thiết Kế'!E179)</f>
        <v/>
      </c>
      <c r="F575" s="52" t="str">
        <f>IF('Thiết Kế'!F179="","",'Thiết Kế'!F179)</f>
        <v/>
      </c>
      <c r="G575" s="52" t="str">
        <f>IF('Thiết Kế'!G179="","",'Thiết Kế'!G179)</f>
        <v/>
      </c>
      <c r="H575" s="52" t="str">
        <f>IF('Thiết Kế'!J179="","",'Thiết Kế'!J179)</f>
        <v/>
      </c>
      <c r="I575" s="52" t="str">
        <f>IF('Thiết Kế'!M179="","",'Thiết Kế'!M179)</f>
        <v/>
      </c>
      <c r="J575" s="52" t="str">
        <f>IF('Thiết Kế'!R179="","",'Thiết Kế'!R179)</f>
        <v/>
      </c>
      <c r="K575" s="52" t="str">
        <f t="array" ref="K575">IF(COUNTA('Thiết Kế'!T179:AE179)=0,"",INDEX('Thiết Kế'!T179:AE179,1,SUMPRODUCT(MAX(('Thiết Kế'!T179:AE179&lt;&gt;"")*(COLUMN('Thiết Kế'!T179:AE179)-COLUMN('Thiết Kế'!T179)+1)))))</f>
        <v/>
      </c>
      <c r="L575" s="52" t="str">
        <f>IF(AND(G575&lt;&gt;"",G575='Tổng hợp'!$C$4),MAX(L$1:L574)+1,"")</f>
        <v/>
      </c>
    </row>
    <row r="576" ht="15.75" customHeight="1">
      <c r="A576" s="52" t="str">
        <f>IF('Thiết Kế'!C180="","","Thiết Kế")</f>
        <v/>
      </c>
      <c r="B576" s="52" t="str">
        <f>IF('Thiết Kế'!B180="","",'Thiết Kế'!B180)</f>
        <v/>
      </c>
      <c r="C576" s="52" t="str">
        <f>IF('Thiết Kế'!C180="","",'Thiết Kế'!C180)</f>
        <v/>
      </c>
      <c r="D576" s="52" t="str">
        <f>IF('Thiết Kế'!D180="","",'Thiết Kế'!D180)</f>
        <v/>
      </c>
      <c r="E576" s="52" t="str">
        <f>IF('Thiết Kế'!E180="","",'Thiết Kế'!E180)</f>
        <v/>
      </c>
      <c r="F576" s="52" t="str">
        <f>IF('Thiết Kế'!F180="","",'Thiết Kế'!F180)</f>
        <v/>
      </c>
      <c r="G576" s="52" t="str">
        <f>IF('Thiết Kế'!G180="","",'Thiết Kế'!G180)</f>
        <v/>
      </c>
      <c r="H576" s="52" t="str">
        <f>IF('Thiết Kế'!J180="","",'Thiết Kế'!J180)</f>
        <v/>
      </c>
      <c r="I576" s="52" t="str">
        <f>IF('Thiết Kế'!M180="","",'Thiết Kế'!M180)</f>
        <v/>
      </c>
      <c r="J576" s="52" t="str">
        <f>IF('Thiết Kế'!R180="","",'Thiết Kế'!R180)</f>
        <v/>
      </c>
      <c r="K576" s="52" t="str">
        <f t="array" ref="K576">IF(COUNTA('Thiết Kế'!T180:AE180)=0,"",INDEX('Thiết Kế'!T180:AE180,1,SUMPRODUCT(MAX(('Thiết Kế'!T180:AE180&lt;&gt;"")*(COLUMN('Thiết Kế'!T180:AE180)-COLUMN('Thiết Kế'!T180)+1)))))</f>
        <v/>
      </c>
      <c r="L576" s="52" t="str">
        <f>IF(AND(G576&lt;&gt;"",G576='Tổng hợp'!$C$4),MAX(L$1:L575)+1,"")</f>
        <v/>
      </c>
    </row>
    <row r="577" ht="15.75" customHeight="1">
      <c r="A577" s="52" t="str">
        <f>IF('Thiết Kế'!C181="","","Thiết Kế")</f>
        <v/>
      </c>
      <c r="B577" s="52" t="str">
        <f>IF('Thiết Kế'!B181="","",'Thiết Kế'!B181)</f>
        <v/>
      </c>
      <c r="C577" s="52" t="str">
        <f>IF('Thiết Kế'!C181="","",'Thiết Kế'!C181)</f>
        <v/>
      </c>
      <c r="D577" s="52" t="str">
        <f>IF('Thiết Kế'!D181="","",'Thiết Kế'!D181)</f>
        <v/>
      </c>
      <c r="E577" s="52" t="str">
        <f>IF('Thiết Kế'!E181="","",'Thiết Kế'!E181)</f>
        <v/>
      </c>
      <c r="F577" s="52" t="str">
        <f>IF('Thiết Kế'!F181="","",'Thiết Kế'!F181)</f>
        <v/>
      </c>
      <c r="G577" s="52" t="str">
        <f>IF('Thiết Kế'!G181="","",'Thiết Kế'!G181)</f>
        <v/>
      </c>
      <c r="H577" s="52" t="str">
        <f>IF('Thiết Kế'!J181="","",'Thiết Kế'!J181)</f>
        <v/>
      </c>
      <c r="I577" s="52" t="str">
        <f>IF('Thiết Kế'!M181="","",'Thiết Kế'!M181)</f>
        <v/>
      </c>
      <c r="J577" s="52" t="str">
        <f>IF('Thiết Kế'!R181="","",'Thiết Kế'!R181)</f>
        <v/>
      </c>
      <c r="K577" s="52" t="str">
        <f t="array" ref="K577">IF(COUNTA('Thiết Kế'!T181:AE181)=0,"",INDEX('Thiết Kế'!T181:AE181,1,SUMPRODUCT(MAX(('Thiết Kế'!T181:AE181&lt;&gt;"")*(COLUMN('Thiết Kế'!T181:AE181)-COLUMN('Thiết Kế'!T181)+1)))))</f>
        <v/>
      </c>
      <c r="L577" s="52" t="str">
        <f>IF(AND(G577&lt;&gt;"",G577='Tổng hợp'!$C$4),MAX(L$1:L576)+1,"")</f>
        <v/>
      </c>
    </row>
    <row r="578" ht="15.75" customHeight="1">
      <c r="A578" s="52" t="str">
        <f>IF('Thiết Kế'!C182="","","Thiết Kế")</f>
        <v/>
      </c>
      <c r="B578" s="52" t="str">
        <f>IF('Thiết Kế'!B182="","",'Thiết Kế'!B182)</f>
        <v/>
      </c>
      <c r="C578" s="52" t="str">
        <f>IF('Thiết Kế'!C182="","",'Thiết Kế'!C182)</f>
        <v/>
      </c>
      <c r="D578" s="52" t="str">
        <f>IF('Thiết Kế'!D182="","",'Thiết Kế'!D182)</f>
        <v/>
      </c>
      <c r="E578" s="52" t="str">
        <f>IF('Thiết Kế'!E182="","",'Thiết Kế'!E182)</f>
        <v/>
      </c>
      <c r="F578" s="52" t="str">
        <f>IF('Thiết Kế'!F182="","",'Thiết Kế'!F182)</f>
        <v/>
      </c>
      <c r="G578" s="52" t="str">
        <f>IF('Thiết Kế'!G182="","",'Thiết Kế'!G182)</f>
        <v/>
      </c>
      <c r="H578" s="52" t="str">
        <f>IF('Thiết Kế'!J182="","",'Thiết Kế'!J182)</f>
        <v/>
      </c>
      <c r="I578" s="52" t="str">
        <f>IF('Thiết Kế'!M182="","",'Thiết Kế'!M182)</f>
        <v/>
      </c>
      <c r="J578" s="52" t="str">
        <f>IF('Thiết Kế'!R182="","",'Thiết Kế'!R182)</f>
        <v/>
      </c>
      <c r="K578" s="52" t="str">
        <f t="array" ref="K578">IF(COUNTA('Thiết Kế'!T182:AE182)=0,"",INDEX('Thiết Kế'!T182:AE182,1,SUMPRODUCT(MAX(('Thiết Kế'!T182:AE182&lt;&gt;"")*(COLUMN('Thiết Kế'!T182:AE182)-COLUMN('Thiết Kế'!T182)+1)))))</f>
        <v/>
      </c>
      <c r="L578" s="52" t="str">
        <f>IF(AND(G578&lt;&gt;"",G578='Tổng hợp'!$C$4),MAX(L$1:L577)+1,"")</f>
        <v/>
      </c>
    </row>
    <row r="579" ht="15.75" customHeight="1">
      <c r="A579" s="52" t="str">
        <f>IF('Thiết Kế'!C183="","","Thiết Kế")</f>
        <v/>
      </c>
      <c r="B579" s="52" t="str">
        <f>IF('Thiết Kế'!B183="","",'Thiết Kế'!B183)</f>
        <v/>
      </c>
      <c r="C579" s="52" t="str">
        <f>IF('Thiết Kế'!C183="","",'Thiết Kế'!C183)</f>
        <v/>
      </c>
      <c r="D579" s="52" t="str">
        <f>IF('Thiết Kế'!D183="","",'Thiết Kế'!D183)</f>
        <v/>
      </c>
      <c r="E579" s="52" t="str">
        <f>IF('Thiết Kế'!E183="","",'Thiết Kế'!E183)</f>
        <v/>
      </c>
      <c r="F579" s="52" t="str">
        <f>IF('Thiết Kế'!F183="","",'Thiết Kế'!F183)</f>
        <v/>
      </c>
      <c r="G579" s="52" t="str">
        <f>IF('Thiết Kế'!G183="","",'Thiết Kế'!G183)</f>
        <v/>
      </c>
      <c r="H579" s="52" t="str">
        <f>IF('Thiết Kế'!J183="","",'Thiết Kế'!J183)</f>
        <v/>
      </c>
      <c r="I579" s="52" t="str">
        <f>IF('Thiết Kế'!M183="","",'Thiết Kế'!M183)</f>
        <v/>
      </c>
      <c r="J579" s="52" t="str">
        <f>IF('Thiết Kế'!R183="","",'Thiết Kế'!R183)</f>
        <v/>
      </c>
      <c r="K579" s="52" t="str">
        <f t="array" ref="K579">IF(COUNTA('Thiết Kế'!T183:AE183)=0,"",INDEX('Thiết Kế'!T183:AE183,1,SUMPRODUCT(MAX(('Thiết Kế'!T183:AE183&lt;&gt;"")*(COLUMN('Thiết Kế'!T183:AE183)-COLUMN('Thiết Kế'!T183)+1)))))</f>
        <v/>
      </c>
      <c r="L579" s="52" t="str">
        <f>IF(AND(G579&lt;&gt;"",G579='Tổng hợp'!$C$4),MAX(L$1:L578)+1,"")</f>
        <v/>
      </c>
    </row>
    <row r="580" ht="15.75" customHeight="1">
      <c r="A580" s="52" t="str">
        <f>IF('Thiết Kế'!C184="","","Thiết Kế")</f>
        <v/>
      </c>
      <c r="B580" s="52" t="str">
        <f>IF('Thiết Kế'!B184="","",'Thiết Kế'!B184)</f>
        <v/>
      </c>
      <c r="C580" s="52" t="str">
        <f>IF('Thiết Kế'!C184="","",'Thiết Kế'!C184)</f>
        <v/>
      </c>
      <c r="D580" s="52" t="str">
        <f>IF('Thiết Kế'!D184="","",'Thiết Kế'!D184)</f>
        <v/>
      </c>
      <c r="E580" s="52" t="str">
        <f>IF('Thiết Kế'!E184="","",'Thiết Kế'!E184)</f>
        <v/>
      </c>
      <c r="F580" s="52" t="str">
        <f>IF('Thiết Kế'!F184="","",'Thiết Kế'!F184)</f>
        <v/>
      </c>
      <c r="G580" s="52" t="str">
        <f>IF('Thiết Kế'!G184="","",'Thiết Kế'!G184)</f>
        <v/>
      </c>
      <c r="H580" s="52" t="str">
        <f>IF('Thiết Kế'!J184="","",'Thiết Kế'!J184)</f>
        <v/>
      </c>
      <c r="I580" s="52" t="str">
        <f>IF('Thiết Kế'!M184="","",'Thiết Kế'!M184)</f>
        <v/>
      </c>
      <c r="J580" s="52" t="str">
        <f>IF('Thiết Kế'!R184="","",'Thiết Kế'!R184)</f>
        <v/>
      </c>
      <c r="K580" s="52" t="str">
        <f t="array" ref="K580">IF(COUNTA('Thiết Kế'!T184:AE184)=0,"",INDEX('Thiết Kế'!T184:AE184,1,SUMPRODUCT(MAX(('Thiết Kế'!T184:AE184&lt;&gt;"")*(COLUMN('Thiết Kế'!T184:AE184)-COLUMN('Thiết Kế'!T184)+1)))))</f>
        <v/>
      </c>
      <c r="L580" s="52" t="str">
        <f>IF(AND(G580&lt;&gt;"",G580='Tổng hợp'!$C$4),MAX(L$1:L579)+1,"")</f>
        <v/>
      </c>
    </row>
    <row r="581" ht="15.75" customHeight="1">
      <c r="A581" s="52" t="str">
        <f>IF('Thiết Kế'!C185="","","Thiết Kế")</f>
        <v/>
      </c>
      <c r="B581" s="52" t="str">
        <f>IF('Thiết Kế'!B185="","",'Thiết Kế'!B185)</f>
        <v/>
      </c>
      <c r="C581" s="52" t="str">
        <f>IF('Thiết Kế'!C185="","",'Thiết Kế'!C185)</f>
        <v/>
      </c>
      <c r="D581" s="52" t="str">
        <f>IF('Thiết Kế'!D185="","",'Thiết Kế'!D185)</f>
        <v/>
      </c>
      <c r="E581" s="52" t="str">
        <f>IF('Thiết Kế'!E185="","",'Thiết Kế'!E185)</f>
        <v/>
      </c>
      <c r="F581" s="52" t="str">
        <f>IF('Thiết Kế'!F185="","",'Thiết Kế'!F185)</f>
        <v/>
      </c>
      <c r="G581" s="52" t="str">
        <f>IF('Thiết Kế'!G185="","",'Thiết Kế'!G185)</f>
        <v/>
      </c>
      <c r="H581" s="52" t="str">
        <f>IF('Thiết Kế'!J185="","",'Thiết Kế'!J185)</f>
        <v/>
      </c>
      <c r="I581" s="52" t="str">
        <f>IF('Thiết Kế'!M185="","",'Thiết Kế'!M185)</f>
        <v/>
      </c>
      <c r="J581" s="52" t="str">
        <f>IF('Thiết Kế'!R185="","",'Thiết Kế'!R185)</f>
        <v/>
      </c>
      <c r="K581" s="52" t="str">
        <f t="array" ref="K581">IF(COUNTA('Thiết Kế'!T185:AE185)=0,"",INDEX('Thiết Kế'!T185:AE185,1,SUMPRODUCT(MAX(('Thiết Kế'!T185:AE185&lt;&gt;"")*(COLUMN('Thiết Kế'!T185:AE185)-COLUMN('Thiết Kế'!T185)+1)))))</f>
        <v/>
      </c>
      <c r="L581" s="52" t="str">
        <f>IF(AND(G581&lt;&gt;"",G581='Tổng hợp'!$C$4),MAX(L$1:L580)+1,"")</f>
        <v/>
      </c>
    </row>
    <row r="582" ht="15.75" customHeight="1">
      <c r="A582" s="52" t="str">
        <f>IF('Thiết Kế'!C186="","","Thiết Kế")</f>
        <v/>
      </c>
      <c r="B582" s="52" t="str">
        <f>IF('Thiết Kế'!B186="","",'Thiết Kế'!B186)</f>
        <v/>
      </c>
      <c r="C582" s="52" t="str">
        <f>IF('Thiết Kế'!C186="","",'Thiết Kế'!C186)</f>
        <v/>
      </c>
      <c r="D582" s="52" t="str">
        <f>IF('Thiết Kế'!D186="","",'Thiết Kế'!D186)</f>
        <v/>
      </c>
      <c r="E582" s="52" t="str">
        <f>IF('Thiết Kế'!E186="","",'Thiết Kế'!E186)</f>
        <v/>
      </c>
      <c r="F582" s="52" t="str">
        <f>IF('Thiết Kế'!F186="","",'Thiết Kế'!F186)</f>
        <v/>
      </c>
      <c r="G582" s="52" t="str">
        <f>IF('Thiết Kế'!G186="","",'Thiết Kế'!G186)</f>
        <v/>
      </c>
      <c r="H582" s="52" t="str">
        <f>IF('Thiết Kế'!J186="","",'Thiết Kế'!J186)</f>
        <v/>
      </c>
      <c r="I582" s="52" t="str">
        <f>IF('Thiết Kế'!M186="","",'Thiết Kế'!M186)</f>
        <v/>
      </c>
      <c r="J582" s="52" t="str">
        <f>IF('Thiết Kế'!R186="","",'Thiết Kế'!R186)</f>
        <v/>
      </c>
      <c r="K582" s="52" t="str">
        <f t="array" ref="K582">IF(COUNTA('Thiết Kế'!T186:AE186)=0,"",INDEX('Thiết Kế'!T186:AE186,1,SUMPRODUCT(MAX(('Thiết Kế'!T186:AE186&lt;&gt;"")*(COLUMN('Thiết Kế'!T186:AE186)-COLUMN('Thiết Kế'!T186)+1)))))</f>
        <v/>
      </c>
      <c r="L582" s="52" t="str">
        <f>IF(AND(G582&lt;&gt;"",G582='Tổng hợp'!$C$4),MAX(L$1:L581)+1,"")</f>
        <v/>
      </c>
    </row>
    <row r="583" ht="15.75" customHeight="1">
      <c r="A583" s="52" t="str">
        <f>IF('Thiết Kế'!C187="","","Thiết Kế")</f>
        <v/>
      </c>
      <c r="B583" s="52" t="str">
        <f>IF('Thiết Kế'!B187="","",'Thiết Kế'!B187)</f>
        <v/>
      </c>
      <c r="C583" s="52" t="str">
        <f>IF('Thiết Kế'!C187="","",'Thiết Kế'!C187)</f>
        <v/>
      </c>
      <c r="D583" s="52" t="str">
        <f>IF('Thiết Kế'!D187="","",'Thiết Kế'!D187)</f>
        <v/>
      </c>
      <c r="E583" s="52" t="str">
        <f>IF('Thiết Kế'!E187="","",'Thiết Kế'!E187)</f>
        <v/>
      </c>
      <c r="F583" s="52" t="str">
        <f>IF('Thiết Kế'!F187="","",'Thiết Kế'!F187)</f>
        <v/>
      </c>
      <c r="G583" s="52" t="str">
        <f>IF('Thiết Kế'!G187="","",'Thiết Kế'!G187)</f>
        <v/>
      </c>
      <c r="H583" s="52" t="str">
        <f>IF('Thiết Kế'!J187="","",'Thiết Kế'!J187)</f>
        <v/>
      </c>
      <c r="I583" s="52" t="str">
        <f>IF('Thiết Kế'!M187="","",'Thiết Kế'!M187)</f>
        <v/>
      </c>
      <c r="J583" s="52" t="str">
        <f>IF('Thiết Kế'!R187="","",'Thiết Kế'!R187)</f>
        <v/>
      </c>
      <c r="K583" s="52" t="str">
        <f t="array" ref="K583">IF(COUNTA('Thiết Kế'!T187:AE187)=0,"",INDEX('Thiết Kế'!T187:AE187,1,SUMPRODUCT(MAX(('Thiết Kế'!T187:AE187&lt;&gt;"")*(COLUMN('Thiết Kế'!T187:AE187)-COLUMN('Thiết Kế'!T187)+1)))))</f>
        <v/>
      </c>
      <c r="L583" s="52" t="str">
        <f>IF(AND(G583&lt;&gt;"",G583='Tổng hợp'!$C$4),MAX(L$1:L582)+1,"")</f>
        <v/>
      </c>
    </row>
    <row r="584" ht="15.75" customHeight="1">
      <c r="A584" s="52" t="str">
        <f>IF('Thiết Kế'!C188="","","Thiết Kế")</f>
        <v/>
      </c>
      <c r="B584" s="52" t="str">
        <f>IF('Thiết Kế'!B188="","",'Thiết Kế'!B188)</f>
        <v/>
      </c>
      <c r="C584" s="52" t="str">
        <f>IF('Thiết Kế'!C188="","",'Thiết Kế'!C188)</f>
        <v/>
      </c>
      <c r="D584" s="52" t="str">
        <f>IF('Thiết Kế'!D188="","",'Thiết Kế'!D188)</f>
        <v/>
      </c>
      <c r="E584" s="52" t="str">
        <f>IF('Thiết Kế'!E188="","",'Thiết Kế'!E188)</f>
        <v/>
      </c>
      <c r="F584" s="52" t="str">
        <f>IF('Thiết Kế'!F188="","",'Thiết Kế'!F188)</f>
        <v/>
      </c>
      <c r="G584" s="52" t="str">
        <f>IF('Thiết Kế'!G188="","",'Thiết Kế'!G188)</f>
        <v/>
      </c>
      <c r="H584" s="52" t="str">
        <f>IF('Thiết Kế'!J188="","",'Thiết Kế'!J188)</f>
        <v/>
      </c>
      <c r="I584" s="52" t="str">
        <f>IF('Thiết Kế'!M188="","",'Thiết Kế'!M188)</f>
        <v/>
      </c>
      <c r="J584" s="52" t="str">
        <f>IF('Thiết Kế'!R188="","",'Thiết Kế'!R188)</f>
        <v/>
      </c>
      <c r="K584" s="52" t="str">
        <f t="array" ref="K584">IF(COUNTA('Thiết Kế'!T188:AE188)=0,"",INDEX('Thiết Kế'!T188:AE188,1,SUMPRODUCT(MAX(('Thiết Kế'!T188:AE188&lt;&gt;"")*(COLUMN('Thiết Kế'!T188:AE188)-COLUMN('Thiết Kế'!T188)+1)))))</f>
        <v/>
      </c>
      <c r="L584" s="52" t="str">
        <f>IF(AND(G584&lt;&gt;"",G584='Tổng hợp'!$C$4),MAX(L$1:L583)+1,"")</f>
        <v/>
      </c>
    </row>
    <row r="585" ht="15.75" customHeight="1">
      <c r="A585" s="52" t="str">
        <f>IF('Thiết Kế'!C189="","","Thiết Kế")</f>
        <v/>
      </c>
      <c r="B585" s="52" t="str">
        <f>IF('Thiết Kế'!B189="","",'Thiết Kế'!B189)</f>
        <v/>
      </c>
      <c r="C585" s="52" t="str">
        <f>IF('Thiết Kế'!C189="","",'Thiết Kế'!C189)</f>
        <v/>
      </c>
      <c r="D585" s="52" t="str">
        <f>IF('Thiết Kế'!D189="","",'Thiết Kế'!D189)</f>
        <v/>
      </c>
      <c r="E585" s="52" t="str">
        <f>IF('Thiết Kế'!E189="","",'Thiết Kế'!E189)</f>
        <v/>
      </c>
      <c r="F585" s="52" t="str">
        <f>IF('Thiết Kế'!F189="","",'Thiết Kế'!F189)</f>
        <v/>
      </c>
      <c r="G585" s="52" t="str">
        <f>IF('Thiết Kế'!G189="","",'Thiết Kế'!G189)</f>
        <v/>
      </c>
      <c r="H585" s="52" t="str">
        <f>IF('Thiết Kế'!J189="","",'Thiết Kế'!J189)</f>
        <v/>
      </c>
      <c r="I585" s="52" t="str">
        <f>IF('Thiết Kế'!M189="","",'Thiết Kế'!M189)</f>
        <v/>
      </c>
      <c r="J585" s="52" t="str">
        <f>IF('Thiết Kế'!R189="","",'Thiết Kế'!R189)</f>
        <v/>
      </c>
      <c r="K585" s="52" t="str">
        <f t="array" ref="K585">IF(COUNTA('Thiết Kế'!T189:AE189)=0,"",INDEX('Thiết Kế'!T189:AE189,1,SUMPRODUCT(MAX(('Thiết Kế'!T189:AE189&lt;&gt;"")*(COLUMN('Thiết Kế'!T189:AE189)-COLUMN('Thiết Kế'!T189)+1)))))</f>
        <v/>
      </c>
      <c r="L585" s="52" t="str">
        <f>IF(AND(G585&lt;&gt;"",G585='Tổng hợp'!$C$4),MAX(L$1:L584)+1,"")</f>
        <v/>
      </c>
    </row>
    <row r="586" ht="15.75" customHeight="1">
      <c r="A586" s="52" t="str">
        <f>IF('Thiết Kế'!C190="","","Thiết Kế")</f>
        <v/>
      </c>
      <c r="B586" s="52" t="str">
        <f>IF('Thiết Kế'!B190="","",'Thiết Kế'!B190)</f>
        <v/>
      </c>
      <c r="C586" s="52" t="str">
        <f>IF('Thiết Kế'!C190="","",'Thiết Kế'!C190)</f>
        <v/>
      </c>
      <c r="D586" s="52" t="str">
        <f>IF('Thiết Kế'!D190="","",'Thiết Kế'!D190)</f>
        <v/>
      </c>
      <c r="E586" s="52" t="str">
        <f>IF('Thiết Kế'!E190="","",'Thiết Kế'!E190)</f>
        <v/>
      </c>
      <c r="F586" s="52" t="str">
        <f>IF('Thiết Kế'!F190="","",'Thiết Kế'!F190)</f>
        <v/>
      </c>
      <c r="G586" s="52" t="str">
        <f>IF('Thiết Kế'!G190="","",'Thiết Kế'!G190)</f>
        <v/>
      </c>
      <c r="H586" s="52" t="str">
        <f>IF('Thiết Kế'!J190="","",'Thiết Kế'!J190)</f>
        <v/>
      </c>
      <c r="I586" s="52" t="str">
        <f>IF('Thiết Kế'!M190="","",'Thiết Kế'!M190)</f>
        <v/>
      </c>
      <c r="J586" s="52" t="str">
        <f>IF('Thiết Kế'!R190="","",'Thiết Kế'!R190)</f>
        <v/>
      </c>
      <c r="K586" s="52" t="str">
        <f t="array" ref="K586">IF(COUNTA('Thiết Kế'!T190:AE190)=0,"",INDEX('Thiết Kế'!T190:AE190,1,SUMPRODUCT(MAX(('Thiết Kế'!T190:AE190&lt;&gt;"")*(COLUMN('Thiết Kế'!T190:AE190)-COLUMN('Thiết Kế'!T190)+1)))))</f>
        <v/>
      </c>
      <c r="L586" s="52" t="str">
        <f>IF(AND(G586&lt;&gt;"",G586='Tổng hợp'!$C$4),MAX(L$1:L585)+1,"")</f>
        <v/>
      </c>
    </row>
    <row r="587" ht="15.75" customHeight="1">
      <c r="A587" s="52" t="str">
        <f>IF('Thiết Kế'!C191="","","Thiết Kế")</f>
        <v/>
      </c>
      <c r="B587" s="52" t="str">
        <f>IF('Thiết Kế'!B191="","",'Thiết Kế'!B191)</f>
        <v/>
      </c>
      <c r="C587" s="52" t="str">
        <f>IF('Thiết Kế'!C191="","",'Thiết Kế'!C191)</f>
        <v/>
      </c>
      <c r="D587" s="52" t="str">
        <f>IF('Thiết Kế'!D191="","",'Thiết Kế'!D191)</f>
        <v/>
      </c>
      <c r="E587" s="52" t="str">
        <f>IF('Thiết Kế'!E191="","",'Thiết Kế'!E191)</f>
        <v/>
      </c>
      <c r="F587" s="52" t="str">
        <f>IF('Thiết Kế'!F191="","",'Thiết Kế'!F191)</f>
        <v/>
      </c>
      <c r="G587" s="52" t="str">
        <f>IF('Thiết Kế'!G191="","",'Thiết Kế'!G191)</f>
        <v/>
      </c>
      <c r="H587" s="52" t="str">
        <f>IF('Thiết Kế'!J191="","",'Thiết Kế'!J191)</f>
        <v/>
      </c>
      <c r="I587" s="52" t="str">
        <f>IF('Thiết Kế'!M191="","",'Thiết Kế'!M191)</f>
        <v/>
      </c>
      <c r="J587" s="52" t="str">
        <f>IF('Thiết Kế'!R191="","",'Thiết Kế'!R191)</f>
        <v/>
      </c>
      <c r="K587" s="52" t="str">
        <f t="array" ref="K587">IF(COUNTA('Thiết Kế'!T191:AE191)=0,"",INDEX('Thiết Kế'!T191:AE191,1,SUMPRODUCT(MAX(('Thiết Kế'!T191:AE191&lt;&gt;"")*(COLUMN('Thiết Kế'!T191:AE191)-COLUMN('Thiết Kế'!T191)+1)))))</f>
        <v/>
      </c>
      <c r="L587" s="52" t="str">
        <f>IF(AND(G587&lt;&gt;"",G587='Tổng hợp'!$C$4),MAX(L$1:L586)+1,"")</f>
        <v/>
      </c>
    </row>
    <row r="588" ht="15.75" customHeight="1">
      <c r="A588" s="52" t="str">
        <f>IF('Thiết Kế'!C192="","","Thiết Kế")</f>
        <v/>
      </c>
      <c r="B588" s="52" t="str">
        <f>IF('Thiết Kế'!B192="","",'Thiết Kế'!B192)</f>
        <v/>
      </c>
      <c r="C588" s="52" t="str">
        <f>IF('Thiết Kế'!C192="","",'Thiết Kế'!C192)</f>
        <v/>
      </c>
      <c r="D588" s="52" t="str">
        <f>IF('Thiết Kế'!D192="","",'Thiết Kế'!D192)</f>
        <v/>
      </c>
      <c r="E588" s="52" t="str">
        <f>IF('Thiết Kế'!E192="","",'Thiết Kế'!E192)</f>
        <v/>
      </c>
      <c r="F588" s="52" t="str">
        <f>IF('Thiết Kế'!F192="","",'Thiết Kế'!F192)</f>
        <v/>
      </c>
      <c r="G588" s="52" t="str">
        <f>IF('Thiết Kế'!G192="","",'Thiết Kế'!G192)</f>
        <v/>
      </c>
      <c r="H588" s="52" t="str">
        <f>IF('Thiết Kế'!J192="","",'Thiết Kế'!J192)</f>
        <v/>
      </c>
      <c r="I588" s="52" t="str">
        <f>IF('Thiết Kế'!M192="","",'Thiết Kế'!M192)</f>
        <v/>
      </c>
      <c r="J588" s="52" t="str">
        <f>IF('Thiết Kế'!R192="","",'Thiết Kế'!R192)</f>
        <v/>
      </c>
      <c r="K588" s="52" t="str">
        <f t="array" ref="K588">IF(COUNTA('Thiết Kế'!T192:AE192)=0,"",INDEX('Thiết Kế'!T192:AE192,1,SUMPRODUCT(MAX(('Thiết Kế'!T192:AE192&lt;&gt;"")*(COLUMN('Thiết Kế'!T192:AE192)-COLUMN('Thiết Kế'!T192)+1)))))</f>
        <v/>
      </c>
      <c r="L588" s="52" t="str">
        <f>IF(AND(G588&lt;&gt;"",G588='Tổng hợp'!$C$4),MAX(L$1:L587)+1,"")</f>
        <v/>
      </c>
    </row>
    <row r="589" ht="15.75" customHeight="1">
      <c r="A589" s="52" t="str">
        <f>IF('Thiết Kế'!C193="","","Thiết Kế")</f>
        <v/>
      </c>
      <c r="B589" s="52" t="str">
        <f>IF('Thiết Kế'!B193="","",'Thiết Kế'!B193)</f>
        <v/>
      </c>
      <c r="C589" s="52" t="str">
        <f>IF('Thiết Kế'!C193="","",'Thiết Kế'!C193)</f>
        <v/>
      </c>
      <c r="D589" s="52" t="str">
        <f>IF('Thiết Kế'!D193="","",'Thiết Kế'!D193)</f>
        <v/>
      </c>
      <c r="E589" s="52" t="str">
        <f>IF('Thiết Kế'!E193="","",'Thiết Kế'!E193)</f>
        <v/>
      </c>
      <c r="F589" s="52" t="str">
        <f>IF('Thiết Kế'!F193="","",'Thiết Kế'!F193)</f>
        <v/>
      </c>
      <c r="G589" s="52" t="str">
        <f>IF('Thiết Kế'!G193="","",'Thiết Kế'!G193)</f>
        <v/>
      </c>
      <c r="H589" s="52" t="str">
        <f>IF('Thiết Kế'!J193="","",'Thiết Kế'!J193)</f>
        <v/>
      </c>
      <c r="I589" s="52" t="str">
        <f>IF('Thiết Kế'!M193="","",'Thiết Kế'!M193)</f>
        <v/>
      </c>
      <c r="J589" s="52" t="str">
        <f>IF('Thiết Kế'!R193="","",'Thiết Kế'!R193)</f>
        <v/>
      </c>
      <c r="K589" s="52" t="str">
        <f t="array" ref="K589">IF(COUNTA('Thiết Kế'!T193:AE193)=0,"",INDEX('Thiết Kế'!T193:AE193,1,SUMPRODUCT(MAX(('Thiết Kế'!T193:AE193&lt;&gt;"")*(COLUMN('Thiết Kế'!T193:AE193)-COLUMN('Thiết Kế'!T193)+1)))))</f>
        <v/>
      </c>
      <c r="L589" s="52" t="str">
        <f>IF(AND(G589&lt;&gt;"",G589='Tổng hợp'!$C$4),MAX(L$1:L588)+1,"")</f>
        <v/>
      </c>
    </row>
    <row r="590" ht="15.75" customHeight="1">
      <c r="A590" s="52" t="str">
        <f>IF('Thiết Kế'!C194="","","Thiết Kế")</f>
        <v/>
      </c>
      <c r="B590" s="52" t="str">
        <f>IF('Thiết Kế'!B194="","",'Thiết Kế'!B194)</f>
        <v/>
      </c>
      <c r="C590" s="52" t="str">
        <f>IF('Thiết Kế'!C194="","",'Thiết Kế'!C194)</f>
        <v/>
      </c>
      <c r="D590" s="52" t="str">
        <f>IF('Thiết Kế'!D194="","",'Thiết Kế'!D194)</f>
        <v/>
      </c>
      <c r="E590" s="52" t="str">
        <f>IF('Thiết Kế'!E194="","",'Thiết Kế'!E194)</f>
        <v/>
      </c>
      <c r="F590" s="52" t="str">
        <f>IF('Thiết Kế'!F194="","",'Thiết Kế'!F194)</f>
        <v/>
      </c>
      <c r="G590" s="52" t="str">
        <f>IF('Thiết Kế'!G194="","",'Thiết Kế'!G194)</f>
        <v/>
      </c>
      <c r="H590" s="52" t="str">
        <f>IF('Thiết Kế'!J194="","",'Thiết Kế'!J194)</f>
        <v/>
      </c>
      <c r="I590" s="52" t="str">
        <f>IF('Thiết Kế'!M194="","",'Thiết Kế'!M194)</f>
        <v/>
      </c>
      <c r="J590" s="52" t="str">
        <f>IF('Thiết Kế'!R194="","",'Thiết Kế'!R194)</f>
        <v/>
      </c>
      <c r="K590" s="52" t="str">
        <f t="array" ref="K590">IF(COUNTA('Thiết Kế'!T194:AE194)=0,"",INDEX('Thiết Kế'!T194:AE194,1,SUMPRODUCT(MAX(('Thiết Kế'!T194:AE194&lt;&gt;"")*(COLUMN('Thiết Kế'!T194:AE194)-COLUMN('Thiết Kế'!T194)+1)))))</f>
        <v/>
      </c>
      <c r="L590" s="52" t="str">
        <f>IF(AND(G590&lt;&gt;"",G590='Tổng hợp'!$C$4),MAX(L$1:L589)+1,"")</f>
        <v/>
      </c>
    </row>
    <row r="591" ht="15.75" customHeight="1">
      <c r="A591" s="52" t="str">
        <f>IF('Thiết Kế'!C195="","","Thiết Kế")</f>
        <v/>
      </c>
      <c r="B591" s="52" t="str">
        <f>IF('Thiết Kế'!B195="","",'Thiết Kế'!B195)</f>
        <v/>
      </c>
      <c r="C591" s="52" t="str">
        <f>IF('Thiết Kế'!C195="","",'Thiết Kế'!C195)</f>
        <v/>
      </c>
      <c r="D591" s="52" t="str">
        <f>IF('Thiết Kế'!D195="","",'Thiết Kế'!D195)</f>
        <v/>
      </c>
      <c r="E591" s="52" t="str">
        <f>IF('Thiết Kế'!E195="","",'Thiết Kế'!E195)</f>
        <v/>
      </c>
      <c r="F591" s="52" t="str">
        <f>IF('Thiết Kế'!F195="","",'Thiết Kế'!F195)</f>
        <v/>
      </c>
      <c r="G591" s="52" t="str">
        <f>IF('Thiết Kế'!G195="","",'Thiết Kế'!G195)</f>
        <v/>
      </c>
      <c r="H591" s="52" t="str">
        <f>IF('Thiết Kế'!J195="","",'Thiết Kế'!J195)</f>
        <v/>
      </c>
      <c r="I591" s="52" t="str">
        <f>IF('Thiết Kế'!M195="","",'Thiết Kế'!M195)</f>
        <v/>
      </c>
      <c r="J591" s="52" t="str">
        <f>IF('Thiết Kế'!R195="","",'Thiết Kế'!R195)</f>
        <v/>
      </c>
      <c r="K591" s="52" t="str">
        <f t="array" ref="K591">IF(COUNTA('Thiết Kế'!T195:AE195)=0,"",INDEX('Thiết Kế'!T195:AE195,1,SUMPRODUCT(MAX(('Thiết Kế'!T195:AE195&lt;&gt;"")*(COLUMN('Thiết Kế'!T195:AE195)-COLUMN('Thiết Kế'!T195)+1)))))</f>
        <v/>
      </c>
      <c r="L591" s="52" t="str">
        <f>IF(AND(G591&lt;&gt;"",G591='Tổng hợp'!$C$4),MAX(L$1:L590)+1,"")</f>
        <v/>
      </c>
    </row>
    <row r="592" ht="15.75" customHeight="1">
      <c r="A592" s="52" t="str">
        <f>IF('Thiết Kế'!C196="","","Thiết Kế")</f>
        <v/>
      </c>
      <c r="B592" s="52" t="str">
        <f>IF('Thiết Kế'!B196="","",'Thiết Kế'!B196)</f>
        <v/>
      </c>
      <c r="C592" s="52" t="str">
        <f>IF('Thiết Kế'!C196="","",'Thiết Kế'!C196)</f>
        <v/>
      </c>
      <c r="D592" s="52" t="str">
        <f>IF('Thiết Kế'!D196="","",'Thiết Kế'!D196)</f>
        <v/>
      </c>
      <c r="E592" s="52" t="str">
        <f>IF('Thiết Kế'!E196="","",'Thiết Kế'!E196)</f>
        <v/>
      </c>
      <c r="F592" s="52" t="str">
        <f>IF('Thiết Kế'!F196="","",'Thiết Kế'!F196)</f>
        <v/>
      </c>
      <c r="G592" s="52" t="str">
        <f>IF('Thiết Kế'!G196="","",'Thiết Kế'!G196)</f>
        <v/>
      </c>
      <c r="H592" s="52" t="str">
        <f>IF('Thiết Kế'!J196="","",'Thiết Kế'!J196)</f>
        <v/>
      </c>
      <c r="I592" s="52" t="str">
        <f>IF('Thiết Kế'!M196="","",'Thiết Kế'!M196)</f>
        <v/>
      </c>
      <c r="J592" s="52" t="str">
        <f>IF('Thiết Kế'!R196="","",'Thiết Kế'!R196)</f>
        <v/>
      </c>
      <c r="K592" s="52" t="str">
        <f t="array" ref="K592">IF(COUNTA('Thiết Kế'!T196:AE196)=0,"",INDEX('Thiết Kế'!T196:AE196,1,SUMPRODUCT(MAX(('Thiết Kế'!T196:AE196&lt;&gt;"")*(COLUMN('Thiết Kế'!T196:AE196)-COLUMN('Thiết Kế'!T196)+1)))))</f>
        <v/>
      </c>
      <c r="L592" s="52" t="str">
        <f>IF(AND(G592&lt;&gt;"",G592='Tổng hợp'!$C$4),MAX(L$1:L591)+1,"")</f>
        <v/>
      </c>
    </row>
    <row r="593" ht="15.75" customHeight="1">
      <c r="A593" s="52" t="str">
        <f>IF('Thiết Kế'!C197="","","Thiết Kế")</f>
        <v/>
      </c>
      <c r="B593" s="52" t="str">
        <f>IF('Thiết Kế'!B197="","",'Thiết Kế'!B197)</f>
        <v/>
      </c>
      <c r="C593" s="52" t="str">
        <f>IF('Thiết Kế'!C197="","",'Thiết Kế'!C197)</f>
        <v/>
      </c>
      <c r="D593" s="52" t="str">
        <f>IF('Thiết Kế'!D197="","",'Thiết Kế'!D197)</f>
        <v/>
      </c>
      <c r="E593" s="52" t="str">
        <f>IF('Thiết Kế'!E197="","",'Thiết Kế'!E197)</f>
        <v/>
      </c>
      <c r="F593" s="52" t="str">
        <f>IF('Thiết Kế'!F197="","",'Thiết Kế'!F197)</f>
        <v/>
      </c>
      <c r="G593" s="52" t="str">
        <f>IF('Thiết Kế'!G197="","",'Thiết Kế'!G197)</f>
        <v/>
      </c>
      <c r="H593" s="52" t="str">
        <f>IF('Thiết Kế'!J197="","",'Thiết Kế'!J197)</f>
        <v/>
      </c>
      <c r="I593" s="52" t="str">
        <f>IF('Thiết Kế'!M197="","",'Thiết Kế'!M197)</f>
        <v/>
      </c>
      <c r="J593" s="52" t="str">
        <f>IF('Thiết Kế'!R197="","",'Thiết Kế'!R197)</f>
        <v/>
      </c>
      <c r="K593" s="52" t="str">
        <f t="array" ref="K593">IF(COUNTA('Thiết Kế'!T197:AE197)=0,"",INDEX('Thiết Kế'!T197:AE197,1,SUMPRODUCT(MAX(('Thiết Kế'!T197:AE197&lt;&gt;"")*(COLUMN('Thiết Kế'!T197:AE197)-COLUMN('Thiết Kế'!T197)+1)))))</f>
        <v/>
      </c>
      <c r="L593" s="52" t="str">
        <f>IF(AND(G593&lt;&gt;"",G593='Tổng hợp'!$C$4),MAX(L$1:L592)+1,"")</f>
        <v/>
      </c>
    </row>
    <row r="594" ht="15.75" customHeight="1">
      <c r="A594" s="52" t="str">
        <f>IF('Thiết Kế'!C198="","","Thiết Kế")</f>
        <v/>
      </c>
      <c r="B594" s="52" t="str">
        <f>IF('Thiết Kế'!B198="","",'Thiết Kế'!B198)</f>
        <v/>
      </c>
      <c r="C594" s="52" t="str">
        <f>IF('Thiết Kế'!C198="","",'Thiết Kế'!C198)</f>
        <v/>
      </c>
      <c r="D594" s="52" t="str">
        <f>IF('Thiết Kế'!D198="","",'Thiết Kế'!D198)</f>
        <v/>
      </c>
      <c r="E594" s="52" t="str">
        <f>IF('Thiết Kế'!E198="","",'Thiết Kế'!E198)</f>
        <v/>
      </c>
      <c r="F594" s="52" t="str">
        <f>IF('Thiết Kế'!F198="","",'Thiết Kế'!F198)</f>
        <v/>
      </c>
      <c r="G594" s="52" t="str">
        <f>IF('Thiết Kế'!G198="","",'Thiết Kế'!G198)</f>
        <v/>
      </c>
      <c r="H594" s="52" t="str">
        <f>IF('Thiết Kế'!J198="","",'Thiết Kế'!J198)</f>
        <v/>
      </c>
      <c r="I594" s="52" t="str">
        <f>IF('Thiết Kế'!M198="","",'Thiết Kế'!M198)</f>
        <v/>
      </c>
      <c r="J594" s="52" t="str">
        <f>IF('Thiết Kế'!R198="","",'Thiết Kế'!R198)</f>
        <v/>
      </c>
      <c r="K594" s="52" t="str">
        <f t="array" ref="K594">IF(COUNTA('Thiết Kế'!T198:AE198)=0,"",INDEX('Thiết Kế'!T198:AE198,1,SUMPRODUCT(MAX(('Thiết Kế'!T198:AE198&lt;&gt;"")*(COLUMN('Thiết Kế'!T198:AE198)-COLUMN('Thiết Kế'!T198)+1)))))</f>
        <v/>
      </c>
      <c r="L594" s="52" t="str">
        <f>IF(AND(G594&lt;&gt;"",G594='Tổng hợp'!$C$4),MAX(L$1:L593)+1,"")</f>
        <v/>
      </c>
    </row>
    <row r="595" ht="15.75" customHeight="1">
      <c r="A595" s="52" t="str">
        <f>IF('Thiết Kế'!C199="","","Thiết Kế")</f>
        <v/>
      </c>
      <c r="B595" s="52" t="str">
        <f>IF('Thiết Kế'!B199="","",'Thiết Kế'!B199)</f>
        <v/>
      </c>
      <c r="C595" s="52" t="str">
        <f>IF('Thiết Kế'!C199="","",'Thiết Kế'!C199)</f>
        <v/>
      </c>
      <c r="D595" s="52" t="str">
        <f>IF('Thiết Kế'!D199="","",'Thiết Kế'!D199)</f>
        <v/>
      </c>
      <c r="E595" s="52" t="str">
        <f>IF('Thiết Kế'!E199="","",'Thiết Kế'!E199)</f>
        <v/>
      </c>
      <c r="F595" s="52" t="str">
        <f>IF('Thiết Kế'!F199="","",'Thiết Kế'!F199)</f>
        <v/>
      </c>
      <c r="G595" s="52" t="str">
        <f>IF('Thiết Kế'!G199="","",'Thiết Kế'!G199)</f>
        <v/>
      </c>
      <c r="H595" s="52" t="str">
        <f>IF('Thiết Kế'!J199="","",'Thiết Kế'!J199)</f>
        <v/>
      </c>
      <c r="I595" s="52" t="str">
        <f>IF('Thiết Kế'!M199="","",'Thiết Kế'!M199)</f>
        <v/>
      </c>
      <c r="J595" s="52" t="str">
        <f>IF('Thiết Kế'!R199="","",'Thiết Kế'!R199)</f>
        <v/>
      </c>
      <c r="K595" s="52" t="str">
        <f t="array" ref="K595">IF(COUNTA('Thiết Kế'!T199:AE199)=0,"",INDEX('Thiết Kế'!T199:AE199,1,SUMPRODUCT(MAX(('Thiết Kế'!T199:AE199&lt;&gt;"")*(COLUMN('Thiết Kế'!T199:AE199)-COLUMN('Thiết Kế'!T199)+1)))))</f>
        <v/>
      </c>
      <c r="L595" s="52" t="str">
        <f>IF(AND(G595&lt;&gt;"",G595='Tổng hợp'!$C$4),MAX(L$1:L594)+1,"")</f>
        <v/>
      </c>
    </row>
    <row r="596" ht="15.75" customHeight="1">
      <c r="A596" s="52" t="str">
        <f>IF('Thiết Kế'!C200="","","Thiết Kế")</f>
        <v/>
      </c>
      <c r="B596" s="52" t="str">
        <f>IF('Thiết Kế'!B200="","",'Thiết Kế'!B200)</f>
        <v/>
      </c>
      <c r="C596" s="52" t="str">
        <f>IF('Thiết Kế'!C200="","",'Thiết Kế'!C200)</f>
        <v/>
      </c>
      <c r="D596" s="52" t="str">
        <f>IF('Thiết Kế'!D200="","",'Thiết Kế'!D200)</f>
        <v/>
      </c>
      <c r="E596" s="52" t="str">
        <f>IF('Thiết Kế'!E200="","",'Thiết Kế'!E200)</f>
        <v/>
      </c>
      <c r="F596" s="52" t="str">
        <f>IF('Thiết Kế'!F200="","",'Thiết Kế'!F200)</f>
        <v/>
      </c>
      <c r="G596" s="52" t="str">
        <f>IF('Thiết Kế'!G200="","",'Thiết Kế'!G200)</f>
        <v/>
      </c>
      <c r="H596" s="52" t="str">
        <f>IF('Thiết Kế'!J200="","",'Thiết Kế'!J200)</f>
        <v/>
      </c>
      <c r="I596" s="52" t="str">
        <f>IF('Thiết Kế'!M200="","",'Thiết Kế'!M200)</f>
        <v/>
      </c>
      <c r="J596" s="52" t="str">
        <f>IF('Thiết Kế'!R200="","",'Thiết Kế'!R200)</f>
        <v/>
      </c>
      <c r="K596" s="52" t="str">
        <f t="array" ref="K596">IF(COUNTA('Thiết Kế'!T200:AE200)=0,"",INDEX('Thiết Kế'!T200:AE200,1,SUMPRODUCT(MAX(('Thiết Kế'!T200:AE200&lt;&gt;"")*(COLUMN('Thiết Kế'!T200:AE200)-COLUMN('Thiết Kế'!T200)+1)))))</f>
        <v/>
      </c>
      <c r="L596" s="52" t="str">
        <f>IF(AND(G596&lt;&gt;"",G596='Tổng hợp'!$C$4),MAX(L$1:L595)+1,"")</f>
        <v/>
      </c>
    </row>
    <row r="597" ht="15.75" customHeight="1">
      <c r="A597" s="52" t="str">
        <f>IF('Thiết Kế'!C201="","","Thiết Kế")</f>
        <v/>
      </c>
      <c r="B597" s="52" t="str">
        <f>IF('Thiết Kế'!B201="","",'Thiết Kế'!B201)</f>
        <v/>
      </c>
      <c r="C597" s="52" t="str">
        <f>IF('Thiết Kế'!C201="","",'Thiết Kế'!C201)</f>
        <v/>
      </c>
      <c r="D597" s="52" t="str">
        <f>IF('Thiết Kế'!D201="","",'Thiết Kế'!D201)</f>
        <v/>
      </c>
      <c r="E597" s="52" t="str">
        <f>IF('Thiết Kế'!E201="","",'Thiết Kế'!E201)</f>
        <v/>
      </c>
      <c r="F597" s="52" t="str">
        <f>IF('Thiết Kế'!F201="","",'Thiết Kế'!F201)</f>
        <v/>
      </c>
      <c r="G597" s="52" t="str">
        <f>IF('Thiết Kế'!G201="","",'Thiết Kế'!G201)</f>
        <v/>
      </c>
      <c r="H597" s="52" t="str">
        <f>IF('Thiết Kế'!J201="","",'Thiết Kế'!J201)</f>
        <v/>
      </c>
      <c r="I597" s="52" t="str">
        <f>IF('Thiết Kế'!M201="","",'Thiết Kế'!M201)</f>
        <v/>
      </c>
      <c r="J597" s="52" t="str">
        <f>IF('Thiết Kế'!R201="","",'Thiết Kế'!R201)</f>
        <v/>
      </c>
      <c r="K597" s="52" t="str">
        <f t="array" ref="K597">IF(COUNTA('Thiết Kế'!T201:AE201)=0,"",INDEX('Thiết Kế'!T201:AE201,1,SUMPRODUCT(MAX(('Thiết Kế'!T201:AE201&lt;&gt;"")*(COLUMN('Thiết Kế'!T201:AE201)-COLUMN('Thiết Kế'!T201)+1)))))</f>
        <v/>
      </c>
      <c r="L597" s="52" t="str">
        <f>IF(AND(G597&lt;&gt;"",G597='Tổng hợp'!$C$4),MAX(L$1:L596)+1,"")</f>
        <v/>
      </c>
    </row>
    <row r="598" ht="15.75" customHeight="1">
      <c r="A598" s="52" t="str">
        <f>IF('Thiết Kế'!C202="","","Thiết Kế")</f>
        <v/>
      </c>
      <c r="B598" s="52" t="str">
        <f>IF('Thiết Kế'!B202="","",'Thiết Kế'!B202)</f>
        <v/>
      </c>
      <c r="C598" s="52" t="str">
        <f>IF('Thiết Kế'!C202="","",'Thiết Kế'!C202)</f>
        <v/>
      </c>
      <c r="D598" s="52" t="str">
        <f>IF('Thiết Kế'!D202="","",'Thiết Kế'!D202)</f>
        <v/>
      </c>
      <c r="E598" s="52" t="str">
        <f>IF('Thiết Kế'!E202="","",'Thiết Kế'!E202)</f>
        <v/>
      </c>
      <c r="F598" s="52" t="str">
        <f>IF('Thiết Kế'!F202="","",'Thiết Kế'!F202)</f>
        <v/>
      </c>
      <c r="G598" s="52" t="str">
        <f>IF('Thiết Kế'!G202="","",'Thiết Kế'!G202)</f>
        <v/>
      </c>
      <c r="H598" s="52" t="str">
        <f>IF('Thiết Kế'!J202="","",'Thiết Kế'!J202)</f>
        <v/>
      </c>
      <c r="I598" s="52" t="str">
        <f>IF('Thiết Kế'!M202="","",'Thiết Kế'!M202)</f>
        <v/>
      </c>
      <c r="J598" s="52" t="str">
        <f>IF('Thiết Kế'!R202="","",'Thiết Kế'!R202)</f>
        <v/>
      </c>
      <c r="K598" s="52" t="str">
        <f t="array" ref="K598">IF(COUNTA('Thiết Kế'!T202:AE202)=0,"",INDEX('Thiết Kế'!T202:AE202,1,SUMPRODUCT(MAX(('Thiết Kế'!T202:AE202&lt;&gt;"")*(COLUMN('Thiết Kế'!T202:AE202)-COLUMN('Thiết Kế'!T202)+1)))))</f>
        <v/>
      </c>
      <c r="L598" s="52" t="str">
        <f>IF(AND(G598&lt;&gt;"",G598='Tổng hợp'!$C$4),MAX(L$1:L597)+1,"")</f>
        <v/>
      </c>
    </row>
    <row r="599" ht="15.75" customHeight="1">
      <c r="A599" s="52" t="str">
        <f>IF('Thiết Kế'!C203="","","Thiết Kế")</f>
        <v/>
      </c>
      <c r="B599" s="52" t="str">
        <f>IF('Thiết Kế'!B203="","",'Thiết Kế'!B203)</f>
        <v/>
      </c>
      <c r="C599" s="52" t="str">
        <f>IF('Thiết Kế'!C203="","",'Thiết Kế'!C203)</f>
        <v/>
      </c>
      <c r="D599" s="52" t="str">
        <f>IF('Thiết Kế'!D203="","",'Thiết Kế'!D203)</f>
        <v/>
      </c>
      <c r="E599" s="52" t="str">
        <f>IF('Thiết Kế'!E203="","",'Thiết Kế'!E203)</f>
        <v/>
      </c>
      <c r="F599" s="52" t="str">
        <f>IF('Thiết Kế'!F203="","",'Thiết Kế'!F203)</f>
        <v/>
      </c>
      <c r="G599" s="52" t="str">
        <f>IF('Thiết Kế'!G203="","",'Thiết Kế'!G203)</f>
        <v/>
      </c>
      <c r="H599" s="52" t="str">
        <f>IF('Thiết Kế'!J203="","",'Thiết Kế'!J203)</f>
        <v/>
      </c>
      <c r="I599" s="52" t="str">
        <f>IF('Thiết Kế'!M203="","",'Thiết Kế'!M203)</f>
        <v/>
      </c>
      <c r="J599" s="52" t="str">
        <f>IF('Thiết Kế'!R203="","",'Thiết Kế'!R203)</f>
        <v/>
      </c>
      <c r="K599" s="52" t="str">
        <f t="array" ref="K599">IF(COUNTA('Thiết Kế'!T203:AE203)=0,"",INDEX('Thiết Kế'!T203:AE203,1,SUMPRODUCT(MAX(('Thiết Kế'!T203:AE203&lt;&gt;"")*(COLUMN('Thiết Kế'!T203:AE203)-COLUMN('Thiết Kế'!T203)+1)))))</f>
        <v/>
      </c>
      <c r="L599" s="52" t="str">
        <f>IF(AND(G599&lt;&gt;"",G599='Tổng hợp'!$C$4),MAX(L$1:L598)+1,"")</f>
        <v/>
      </c>
    </row>
    <row r="600" ht="15.75" customHeight="1">
      <c r="A600" s="52" t="str">
        <f>IF('Thiết Kế'!C204="","","Thiết Kế")</f>
        <v/>
      </c>
      <c r="B600" s="52" t="str">
        <f>IF('Thiết Kế'!B204="","",'Thiết Kế'!B204)</f>
        <v/>
      </c>
      <c r="C600" s="52" t="str">
        <f>IF('Thiết Kế'!C204="","",'Thiết Kế'!C204)</f>
        <v/>
      </c>
      <c r="D600" s="52" t="str">
        <f>IF('Thiết Kế'!D204="","",'Thiết Kế'!D204)</f>
        <v/>
      </c>
      <c r="E600" s="52" t="str">
        <f>IF('Thiết Kế'!E204="","",'Thiết Kế'!E204)</f>
        <v/>
      </c>
      <c r="F600" s="52" t="str">
        <f>IF('Thiết Kế'!F204="","",'Thiết Kế'!F204)</f>
        <v/>
      </c>
      <c r="G600" s="52" t="str">
        <f>IF('Thiết Kế'!G204="","",'Thiết Kế'!G204)</f>
        <v/>
      </c>
      <c r="H600" s="52" t="str">
        <f>IF('Thiết Kế'!J204="","",'Thiết Kế'!J204)</f>
        <v/>
      </c>
      <c r="I600" s="52" t="str">
        <f>IF('Thiết Kế'!M204="","",'Thiết Kế'!M204)</f>
        <v/>
      </c>
      <c r="J600" s="52" t="str">
        <f>IF('Thiết Kế'!R204="","",'Thiết Kế'!R204)</f>
        <v/>
      </c>
      <c r="K600" s="52" t="str">
        <f t="array" ref="K600">IF(COUNTA('Thiết Kế'!T204:AE204)=0,"",INDEX('Thiết Kế'!T204:AE204,1,SUMPRODUCT(MAX(('Thiết Kế'!T204:AE204&lt;&gt;"")*(COLUMN('Thiết Kế'!T204:AE204)-COLUMN('Thiết Kế'!T204)+1)))))</f>
        <v/>
      </c>
      <c r="L600" s="52" t="str">
        <f>IF(AND(G600&lt;&gt;"",G600='Tổng hợp'!$C$4),MAX(L$1:L599)+1,"")</f>
        <v/>
      </c>
    </row>
    <row r="601" ht="15.75" customHeight="1">
      <c r="A601" s="52" t="str">
        <f>IF('Thiết Kế'!C205="","","Thiết Kế")</f>
        <v/>
      </c>
      <c r="B601" s="52" t="str">
        <f>IF('Thiết Kế'!B205="","",'Thiết Kế'!B205)</f>
        <v/>
      </c>
      <c r="C601" s="52" t="str">
        <f>IF('Thiết Kế'!C205="","",'Thiết Kế'!C205)</f>
        <v/>
      </c>
      <c r="D601" s="52" t="str">
        <f>IF('Thiết Kế'!D205="","",'Thiết Kế'!D205)</f>
        <v/>
      </c>
      <c r="E601" s="52" t="str">
        <f>IF('Thiết Kế'!E205="","",'Thiết Kế'!E205)</f>
        <v/>
      </c>
      <c r="F601" s="52" t="str">
        <f>IF('Thiết Kế'!F205="","",'Thiết Kế'!F205)</f>
        <v/>
      </c>
      <c r="G601" s="52" t="str">
        <f>IF('Thiết Kế'!G205="","",'Thiết Kế'!G205)</f>
        <v/>
      </c>
      <c r="H601" s="52" t="str">
        <f>IF('Thiết Kế'!J205="","",'Thiết Kế'!J205)</f>
        <v/>
      </c>
      <c r="I601" s="52" t="str">
        <f>IF('Thiết Kế'!M205="","",'Thiết Kế'!M205)</f>
        <v/>
      </c>
      <c r="J601" s="52" t="str">
        <f>IF('Thiết Kế'!R205="","",'Thiết Kế'!R205)</f>
        <v/>
      </c>
      <c r="K601" s="52" t="str">
        <f t="array" ref="K601">IF(COUNTA('Thiết Kế'!T205:AE205)=0,"",INDEX('Thiết Kế'!T205:AE205,1,SUMPRODUCT(MAX(('Thiết Kế'!T205:AE205&lt;&gt;"")*(COLUMN('Thiết Kế'!T205:AE205)-COLUMN('Thiết Kế'!T205)+1)))))</f>
        <v/>
      </c>
      <c r="L601" s="52" t="str">
        <f>IF(AND(G601&lt;&gt;"",G601='Tổng hợp'!$C$4),MAX(L$1:L600)+1,"")</f>
        <v/>
      </c>
    </row>
    <row r="602" ht="15.75" customHeight="1">
      <c r="A602" s="52" t="str">
        <f>IF('Media Dựng'!C6="","","Media Dựng")</f>
        <v>Media Dựng</v>
      </c>
      <c r="B602" s="52" t="str">
        <f>IF('Media Dựng'!B6="","",'Media Dựng'!B6)</f>
        <v>MD-001</v>
      </c>
      <c r="C602" s="52" t="str">
        <f>IF('Media Dựng'!C6="","",'Media Dựng'!C6)</f>
        <v>Adobe</v>
      </c>
      <c r="D602" s="52" t="str">
        <f>IF('Media Dựng'!D6="","",'Media Dựng'!D6)</f>
        <v/>
      </c>
      <c r="E602" s="52" t="str">
        <f>IF('Media Dựng'!E6="","",'Media Dựng'!E6)</f>
        <v>Tài khoản Adobe Full Apps</v>
      </c>
      <c r="F602" s="134" t="str">
        <f>IF('Media Dựng'!F6="","",'Media Dựng'!F6)</f>
        <v>https://www.adobe.com/</v>
      </c>
      <c r="G602" s="52" t="str">
        <f>IF('Media Dựng'!G6="","",'Media Dựng'!G6)</f>
        <v>HỒ CHÍ NAM</v>
      </c>
      <c r="H602" s="52" t="str">
        <f>IF('Media Dựng'!J6="","",'Media Dựng'!J6)</f>
        <v>Được chia sẻ dùng chung</v>
      </c>
      <c r="I602" s="52" t="str">
        <f>IF('Media Dựng'!M6="","",'Media Dựng'!M6)</f>
        <v>Có</v>
      </c>
      <c r="J602" s="52" t="str">
        <f>IF('Media Dựng'!R6="","",'Media Dựng'!R6)</f>
        <v>Chưa bàn giao</v>
      </c>
      <c r="K602" s="52" t="str">
        <f t="array" ref="K602">IF(COUNTA('Media Dựng'!T6:AE6)=0,"",INDEX('Media Dựng'!T6:AE6,1,SUMPRODUCT(MAX(('Media Dựng'!T6:AE6&lt;&gt;"")*(COLUMN('Media Dựng'!T6:AE6)-COLUMN('Media Dựng'!T6)+1)))))</f>
        <v/>
      </c>
      <c r="L602" s="52" t="str">
        <f>IF(AND(G602&lt;&gt;"",G602='Tổng hợp'!$C$4),MAX(L$1:L601)+1,"")</f>
        <v/>
      </c>
    </row>
    <row r="603" ht="15.75" customHeight="1">
      <c r="A603" s="52" t="str">
        <f>IF('Media Dựng'!C7="","","Media Dựng")</f>
        <v>Media Dựng</v>
      </c>
      <c r="B603" s="52" t="str">
        <f>IF('Media Dựng'!B7="","",'Media Dựng'!B7)</f>
        <v>MD-002</v>
      </c>
      <c r="C603" s="52" t="str">
        <f>IF('Media Dựng'!C7="","",'Media Dựng'!C7)</f>
        <v>Adobe</v>
      </c>
      <c r="D603" s="52" t="str">
        <f>IF('Media Dựng'!D7="","",'Media Dựng'!D7)</f>
        <v/>
      </c>
      <c r="E603" s="52" t="str">
        <f>IF('Media Dựng'!E7="","",'Media Dựng'!E7)</f>
        <v>Tài khoản Adobe Full Apps</v>
      </c>
      <c r="F603" s="134" t="str">
        <f>IF('Media Dựng'!F7="","",'Media Dựng'!F7)</f>
        <v>https://www.adobe.com/</v>
      </c>
      <c r="G603" s="52" t="str">
        <f>IF('Media Dựng'!G7="","",'Media Dựng'!G7)</f>
        <v>HỒ CHÍ NAM</v>
      </c>
      <c r="H603" s="52" t="str">
        <f>IF('Media Dựng'!J7="","",'Media Dựng'!J7)</f>
        <v>Được chia sẻ dùng chung</v>
      </c>
      <c r="I603" s="52" t="str">
        <f>IF('Media Dựng'!M7="","",'Media Dựng'!M7)</f>
        <v>Có</v>
      </c>
      <c r="J603" s="52" t="str">
        <f>IF('Media Dựng'!R7="","",'Media Dựng'!R7)</f>
        <v>Chưa bàn giao</v>
      </c>
      <c r="K603" s="52" t="str">
        <f t="array" ref="K603">IF(COUNTA('Media Dựng'!T7:AE7)=0,"",INDEX('Media Dựng'!T7:AE7,1,SUMPRODUCT(MAX(('Media Dựng'!T7:AE7&lt;&gt;"")*(COLUMN('Media Dựng'!T7:AE7)-COLUMN('Media Dựng'!T7)+1)))))</f>
        <v/>
      </c>
      <c r="L603" s="52" t="str">
        <f>IF(AND(G603&lt;&gt;"",G603='Tổng hợp'!$C$4),MAX(L$1:L602)+1,"")</f>
        <v/>
      </c>
    </row>
    <row r="604" ht="15.75" customHeight="1">
      <c r="A604" s="52" t="str">
        <f>IF('Media Dựng'!C8="","","Media Dựng")</f>
        <v>Media Dựng</v>
      </c>
      <c r="B604" s="52" t="str">
        <f>IF('Media Dựng'!B8="","",'Media Dựng'!B8)</f>
        <v>MD-003</v>
      </c>
      <c r="C604" s="52" t="str">
        <f>IF('Media Dựng'!C8="","",'Media Dựng'!C8)</f>
        <v>Adobe</v>
      </c>
      <c r="D604" s="52" t="str">
        <f>IF('Media Dựng'!D8="","",'Media Dựng'!D8)</f>
        <v/>
      </c>
      <c r="E604" s="52" t="str">
        <f>IF('Media Dựng'!E8="","",'Media Dựng'!E8)</f>
        <v>Tài khoản Adobe Full Apps</v>
      </c>
      <c r="F604" s="134" t="str">
        <f>IF('Media Dựng'!F8="","",'Media Dựng'!F8)</f>
        <v>https://www.adobe.com/</v>
      </c>
      <c r="G604" s="52" t="str">
        <f>IF('Media Dựng'!G8="","",'Media Dựng'!G8)</f>
        <v>HỒ CHÍ NAM</v>
      </c>
      <c r="H604" s="52" t="str">
        <f>IF('Media Dựng'!J8="","",'Media Dựng'!J8)</f>
        <v>Được chia sẻ dùng chung</v>
      </c>
      <c r="I604" s="52" t="str">
        <f>IF('Media Dựng'!M8="","",'Media Dựng'!M8)</f>
        <v>Có</v>
      </c>
      <c r="J604" s="52" t="str">
        <f>IF('Media Dựng'!R8="","",'Media Dựng'!R8)</f>
        <v>Chưa bàn giao</v>
      </c>
      <c r="K604" s="52" t="str">
        <f t="array" ref="K604">IF(COUNTA('Media Dựng'!T8:AE8)=0,"",INDEX('Media Dựng'!T8:AE8,1,SUMPRODUCT(MAX(('Media Dựng'!T8:AE8&lt;&gt;"")*(COLUMN('Media Dựng'!T8:AE8)-COLUMN('Media Dựng'!T8)+1)))))</f>
        <v/>
      </c>
      <c r="L604" s="52" t="str">
        <f>IF(AND(G604&lt;&gt;"",G604='Tổng hợp'!$C$4),MAX(L$1:L603)+1,"")</f>
        <v/>
      </c>
    </row>
    <row r="605" ht="15.75" customHeight="1">
      <c r="A605" s="52" t="str">
        <f>IF('Media Dựng'!C9="","","Media Dựng")</f>
        <v>Media Dựng</v>
      </c>
      <c r="B605" s="52" t="str">
        <f>IF('Media Dựng'!B9="","",'Media Dựng'!B9)</f>
        <v>MD-004</v>
      </c>
      <c r="C605" s="52" t="str">
        <f>IF('Media Dựng'!C9="","",'Media Dựng'!C9)</f>
        <v>Adobe</v>
      </c>
      <c r="D605" s="52" t="str">
        <f>IF('Media Dựng'!D9="","",'Media Dựng'!D9)</f>
        <v/>
      </c>
      <c r="E605" s="52" t="str">
        <f>IF('Media Dựng'!E9="","",'Media Dựng'!E9)</f>
        <v>Tài khoản Adobe Full Apps</v>
      </c>
      <c r="F605" s="134" t="str">
        <f>IF('Media Dựng'!F9="","",'Media Dựng'!F9)</f>
        <v>https://www.adobe.com/</v>
      </c>
      <c r="G605" s="52" t="str">
        <f>IF('Media Dựng'!G9="","",'Media Dựng'!G9)</f>
        <v>HỒ CHÍ NAM</v>
      </c>
      <c r="H605" s="52" t="str">
        <f>IF('Media Dựng'!J9="","",'Media Dựng'!J9)</f>
        <v>Được chia sẻ dùng chung</v>
      </c>
      <c r="I605" s="52" t="str">
        <f>IF('Media Dựng'!M9="","",'Media Dựng'!M9)</f>
        <v>Có</v>
      </c>
      <c r="J605" s="52" t="str">
        <f>IF('Media Dựng'!R9="","",'Media Dựng'!R9)</f>
        <v>Chưa bàn giao</v>
      </c>
      <c r="K605" s="52" t="str">
        <f t="array" ref="K605">IF(COUNTA('Media Dựng'!T9:AE9)=0,"",INDEX('Media Dựng'!T9:AE9,1,SUMPRODUCT(MAX(('Media Dựng'!T9:AE9&lt;&gt;"")*(COLUMN('Media Dựng'!T9:AE9)-COLUMN('Media Dựng'!T9)+1)))))</f>
        <v/>
      </c>
      <c r="L605" s="52" t="str">
        <f>IF(AND(G605&lt;&gt;"",G605='Tổng hợp'!$C$4),MAX(L$1:L604)+1,"")</f>
        <v/>
      </c>
    </row>
    <row r="606" ht="15.75" customHeight="1">
      <c r="A606" s="52" t="str">
        <f>IF('Media Dựng'!C10="","","Media Dựng")</f>
        <v>Media Dựng</v>
      </c>
      <c r="B606" s="52" t="str">
        <f>IF('Media Dựng'!B10="","",'Media Dựng'!B10)</f>
        <v>MD-005</v>
      </c>
      <c r="C606" s="52" t="str">
        <f>IF('Media Dựng'!C10="","",'Media Dựng'!C10)</f>
        <v>Adobe</v>
      </c>
      <c r="D606" s="52" t="str">
        <f>IF('Media Dựng'!D10="","",'Media Dựng'!D10)</f>
        <v/>
      </c>
      <c r="E606" s="52" t="str">
        <f>IF('Media Dựng'!E10="","",'Media Dựng'!E10)</f>
        <v>Tài khoản Adobe Full Apps</v>
      </c>
      <c r="F606" s="134" t="str">
        <f>IF('Media Dựng'!F10="","",'Media Dựng'!F10)</f>
        <v>https://www.adobe.com/</v>
      </c>
      <c r="G606" s="52" t="str">
        <f>IF('Media Dựng'!G10="","",'Media Dựng'!G10)</f>
        <v>HỒ CHÍ NAM</v>
      </c>
      <c r="H606" s="52" t="str">
        <f>IF('Media Dựng'!J10="","",'Media Dựng'!J10)</f>
        <v>Được chia sẻ dùng chung</v>
      </c>
      <c r="I606" s="52" t="str">
        <f>IF('Media Dựng'!M10="","",'Media Dựng'!M10)</f>
        <v>Có</v>
      </c>
      <c r="J606" s="52" t="str">
        <f>IF('Media Dựng'!R10="","",'Media Dựng'!R10)</f>
        <v>Chưa bàn giao</v>
      </c>
      <c r="K606" s="52" t="str">
        <f t="array" ref="K606">IF(COUNTA('Media Dựng'!T10:AE10)=0,"",INDEX('Media Dựng'!T10:AE10,1,SUMPRODUCT(MAX(('Media Dựng'!T10:AE10&lt;&gt;"")*(COLUMN('Media Dựng'!T10:AE10)-COLUMN('Media Dựng'!T10)+1)))))</f>
        <v/>
      </c>
      <c r="L606" s="52" t="str">
        <f>IF(AND(G606&lt;&gt;"",G606='Tổng hợp'!$C$4),MAX(L$1:L605)+1,"")</f>
        <v/>
      </c>
    </row>
    <row r="607" ht="15.75" customHeight="1">
      <c r="A607" s="52" t="str">
        <f>IF('Media Dựng'!C11="","","Media Dựng")</f>
        <v>Media Dựng</v>
      </c>
      <c r="B607" s="52" t="str">
        <f>IF('Media Dựng'!B11="","",'Media Dựng'!B11)</f>
        <v>MD-006</v>
      </c>
      <c r="C607" s="52" t="str">
        <f>IF('Media Dựng'!C11="","",'Media Dựng'!C11)</f>
        <v>Adobe</v>
      </c>
      <c r="D607" s="52" t="str">
        <f>IF('Media Dựng'!D11="","",'Media Dựng'!D11)</f>
        <v/>
      </c>
      <c r="E607" s="52" t="str">
        <f>IF('Media Dựng'!E11="","",'Media Dựng'!E11)</f>
        <v>Tài khoản Adobe Full Apps</v>
      </c>
      <c r="F607" s="134" t="str">
        <f>IF('Media Dựng'!F11="","",'Media Dựng'!F11)</f>
        <v>https://www.adobe.com/</v>
      </c>
      <c r="G607" s="52" t="str">
        <f>IF('Media Dựng'!G11="","",'Media Dựng'!G11)</f>
        <v>HỒ CHÍ NAM</v>
      </c>
      <c r="H607" s="52" t="str">
        <f>IF('Media Dựng'!J11="","",'Media Dựng'!J11)</f>
        <v>Được chia sẻ dùng chung</v>
      </c>
      <c r="I607" s="52" t="str">
        <f>IF('Media Dựng'!M11="","",'Media Dựng'!M11)</f>
        <v>Có</v>
      </c>
      <c r="J607" s="52" t="str">
        <f>IF('Media Dựng'!R11="","",'Media Dựng'!R11)</f>
        <v>Chưa bàn giao</v>
      </c>
      <c r="K607" s="52" t="str">
        <f t="array" ref="K607">IF(COUNTA('Media Dựng'!T11:AE11)=0,"",INDEX('Media Dựng'!T11:AE11,1,SUMPRODUCT(MAX(('Media Dựng'!T11:AE11&lt;&gt;"")*(COLUMN('Media Dựng'!T11:AE11)-COLUMN('Media Dựng'!T11)+1)))))</f>
        <v/>
      </c>
      <c r="L607" s="52" t="str">
        <f>IF(AND(G607&lt;&gt;"",G607='Tổng hợp'!$C$4),MAX(L$1:L606)+1,"")</f>
        <v/>
      </c>
    </row>
    <row r="608" ht="15.75" customHeight="1">
      <c r="A608" s="52" t="str">
        <f>IF('Media Dựng'!C12="","","Media Dựng")</f>
        <v>Media Dựng</v>
      </c>
      <c r="B608" s="52" t="str">
        <f>IF('Media Dựng'!B12="","",'Media Dựng'!B12)</f>
        <v>MD-007</v>
      </c>
      <c r="C608" s="52" t="str">
        <f>IF('Media Dựng'!C12="","",'Media Dựng'!C12)</f>
        <v>Adobe</v>
      </c>
      <c r="D608" s="52" t="str">
        <f>IF('Media Dựng'!D12="","",'Media Dựng'!D12)</f>
        <v/>
      </c>
      <c r="E608" s="52" t="str">
        <f>IF('Media Dựng'!E12="","",'Media Dựng'!E12)</f>
        <v>Tài khoản Adobe Photoshop</v>
      </c>
      <c r="F608" s="134" t="str">
        <f>IF('Media Dựng'!F12="","",'Media Dựng'!F12)</f>
        <v>https://www.adobe.com/</v>
      </c>
      <c r="G608" s="52" t="str">
        <f>IF('Media Dựng'!G12="","",'Media Dựng'!G12)</f>
        <v>HỒ CHÍ NAM</v>
      </c>
      <c r="H608" s="52" t="str">
        <f>IF('Media Dựng'!J12="","",'Media Dựng'!J12)</f>
        <v>Được chia sẻ dùng chung</v>
      </c>
      <c r="I608" s="52" t="str">
        <f>IF('Media Dựng'!M12="","",'Media Dựng'!M12)</f>
        <v>Có</v>
      </c>
      <c r="J608" s="52" t="str">
        <f>IF('Media Dựng'!R12="","",'Media Dựng'!R12)</f>
        <v>Chưa bàn giao</v>
      </c>
      <c r="K608" s="52" t="str">
        <f t="array" ref="K608">IF(COUNTA('Media Dựng'!T12:AE12)=0,"",INDEX('Media Dựng'!T12:AE12,1,SUMPRODUCT(MAX(('Media Dựng'!T12:AE12&lt;&gt;"")*(COLUMN('Media Dựng'!T12:AE12)-COLUMN('Media Dựng'!T12)+1)))))</f>
        <v/>
      </c>
      <c r="L608" s="52" t="str">
        <f>IF(AND(G608&lt;&gt;"",G608='Tổng hợp'!$C$4),MAX(L$1:L607)+1,"")</f>
        <v/>
      </c>
    </row>
    <row r="609" ht="15.75" customHeight="1">
      <c r="A609" s="52" t="str">
        <f>IF('Media Dựng'!C13="","","Media Dựng")</f>
        <v>Media Dựng</v>
      </c>
      <c r="B609" s="52" t="str">
        <f>IF('Media Dựng'!B13="","",'Media Dựng'!B13)</f>
        <v>MD-008</v>
      </c>
      <c r="C609" s="52" t="str">
        <f>IF('Media Dựng'!C13="","",'Media Dựng'!C13)</f>
        <v>Adobe</v>
      </c>
      <c r="D609" s="52" t="str">
        <f>IF('Media Dựng'!D13="","",'Media Dựng'!D13)</f>
        <v/>
      </c>
      <c r="E609" s="52" t="str">
        <f>IF('Media Dựng'!E13="","",'Media Dựng'!E13)</f>
        <v>Tài khoản Adobe Full Apps</v>
      </c>
      <c r="F609" s="134" t="str">
        <f>IF('Media Dựng'!F13="","",'Media Dựng'!F13)</f>
        <v>https://www.adobe.com/</v>
      </c>
      <c r="G609" s="52" t="str">
        <f>IF('Media Dựng'!G13="","",'Media Dựng'!G13)</f>
        <v>HỒ CHÍ NAM</v>
      </c>
      <c r="H609" s="52" t="str">
        <f>IF('Media Dựng'!J13="","",'Media Dựng'!J13)</f>
        <v>Được chia sẻ dùng chung</v>
      </c>
      <c r="I609" s="52" t="str">
        <f>IF('Media Dựng'!M13="","",'Media Dựng'!M13)</f>
        <v>Có</v>
      </c>
      <c r="J609" s="52" t="str">
        <f>IF('Media Dựng'!R13="","",'Media Dựng'!R13)</f>
        <v>Chưa bàn giao</v>
      </c>
      <c r="K609" s="52" t="str">
        <f t="array" ref="K609">IF(COUNTA('Media Dựng'!T13:AE13)=0,"",INDEX('Media Dựng'!T13:AE13,1,SUMPRODUCT(MAX(('Media Dựng'!T13:AE13&lt;&gt;"")*(COLUMN('Media Dựng'!T13:AE13)-COLUMN('Media Dựng'!T13)+1)))))</f>
        <v/>
      </c>
      <c r="L609" s="52" t="str">
        <f>IF(AND(G609&lt;&gt;"",G609='Tổng hợp'!$C$4),MAX(L$1:L608)+1,"")</f>
        <v/>
      </c>
    </row>
    <row r="610" ht="15.75" customHeight="1">
      <c r="A610" s="52" t="str">
        <f>IF('Media Dựng'!C14="","","Media Dựng")</f>
        <v>Media Dựng</v>
      </c>
      <c r="B610" s="52" t="str">
        <f>IF('Media Dựng'!B14="","",'Media Dựng'!B14)</f>
        <v>MD-009</v>
      </c>
      <c r="C610" s="52" t="str">
        <f>IF('Media Dựng'!C14="","",'Media Dựng'!C14)</f>
        <v>Adobe</v>
      </c>
      <c r="D610" s="52" t="str">
        <f>IF('Media Dựng'!D14="","",'Media Dựng'!D14)</f>
        <v/>
      </c>
      <c r="E610" s="52" t="str">
        <f>IF('Media Dựng'!E14="","",'Media Dựng'!E14)</f>
        <v>Tài khoản Adobe Premiere Pro</v>
      </c>
      <c r="F610" s="134" t="str">
        <f>IF('Media Dựng'!F14="","",'Media Dựng'!F14)</f>
        <v>https://www.adobe.com/</v>
      </c>
      <c r="G610" s="52" t="str">
        <f>IF('Media Dựng'!G14="","",'Media Dựng'!G14)</f>
        <v>HỒ CHÍ NAM</v>
      </c>
      <c r="H610" s="52" t="str">
        <f>IF('Media Dựng'!J14="","",'Media Dựng'!J14)</f>
        <v>Được chia sẻ dùng chung</v>
      </c>
      <c r="I610" s="52" t="str">
        <f>IF('Media Dựng'!M14="","",'Media Dựng'!M14)</f>
        <v>Có</v>
      </c>
      <c r="J610" s="52" t="str">
        <f>IF('Media Dựng'!R14="","",'Media Dựng'!R14)</f>
        <v>Chưa bàn giao</v>
      </c>
      <c r="K610" s="52" t="str">
        <f t="array" ref="K610">IF(COUNTA('Media Dựng'!T14:AE14)=0,"",INDEX('Media Dựng'!T14:AE14,1,SUMPRODUCT(MAX(('Media Dựng'!T14:AE14&lt;&gt;"")*(COLUMN('Media Dựng'!T14:AE14)-COLUMN('Media Dựng'!T14)+1)))))</f>
        <v/>
      </c>
      <c r="L610" s="52" t="str">
        <f>IF(AND(G610&lt;&gt;"",G610='Tổng hợp'!$C$4),MAX(L$1:L609)+1,"")</f>
        <v/>
      </c>
    </row>
    <row r="611" ht="15.75" customHeight="1">
      <c r="A611" s="52" t="str">
        <f>IF('Media Dựng'!C15="","","Media Dựng")</f>
        <v>Media Dựng</v>
      </c>
      <c r="B611" s="52" t="str">
        <f>IF('Media Dựng'!B15="","",'Media Dựng'!B15)</f>
        <v>MD-010</v>
      </c>
      <c r="C611" s="52" t="str">
        <f>IF('Media Dựng'!C15="","",'Media Dựng'!C15)</f>
        <v>Magnific</v>
      </c>
      <c r="D611" s="52" t="str">
        <f>IF('Media Dựng'!D15="","",'Media Dựng'!D15)</f>
        <v/>
      </c>
      <c r="E611" s="52" t="str">
        <f>IF('Media Dựng'!E15="","",'Media Dựng'!E15)</f>
        <v>Tài khoản Magnific</v>
      </c>
      <c r="F611" s="134" t="str">
        <f>IF('Media Dựng'!F15="","",'Media Dựng'!F15)</f>
        <v>https://www.magnific.com/</v>
      </c>
      <c r="G611" s="52" t="str">
        <f>IF('Media Dựng'!G15="","",'Media Dựng'!G15)</f>
        <v>HỒ CHÍ NAM</v>
      </c>
      <c r="H611" s="52" t="str">
        <f>IF('Media Dựng'!J15="","",'Media Dựng'!J15)</f>
        <v>Được chia sẻ dùng chung</v>
      </c>
      <c r="I611" s="52" t="str">
        <f>IF('Media Dựng'!M15="","",'Media Dựng'!M15)</f>
        <v>Có</v>
      </c>
      <c r="J611" s="52" t="str">
        <f>IF('Media Dựng'!R15="","",'Media Dựng'!R15)</f>
        <v>Chưa bàn giao</v>
      </c>
      <c r="K611" s="52" t="str">
        <f t="array" ref="K611">IF(COUNTA('Media Dựng'!T15:AE15)=0,"",INDEX('Media Dựng'!T15:AE15,1,SUMPRODUCT(MAX(('Media Dựng'!T15:AE15&lt;&gt;"")*(COLUMN('Media Dựng'!T15:AE15)-COLUMN('Media Dựng'!T15)+1)))))</f>
        <v/>
      </c>
      <c r="L611" s="52" t="str">
        <f>IF(AND(G611&lt;&gt;"",G611='Tổng hợp'!$C$4),MAX(L$1:L610)+1,"")</f>
        <v/>
      </c>
    </row>
    <row r="612" ht="15.75" customHeight="1">
      <c r="A612" s="52" t="str">
        <f>IF('Media Dựng'!C16="","","Media Dựng")</f>
        <v>Media Dựng</v>
      </c>
      <c r="B612" s="52" t="str">
        <f>IF('Media Dựng'!B16="","",'Media Dựng'!B16)</f>
        <v>MD-011</v>
      </c>
      <c r="C612" s="52" t="str">
        <f>IF('Media Dựng'!C16="","",'Media Dựng'!C16)</f>
        <v>Gmail</v>
      </c>
      <c r="D612" s="52" t="str">
        <f>IF('Media Dựng'!D16="","",'Media Dựng'!D16)</f>
        <v/>
      </c>
      <c r="E612" s="52" t="str">
        <f>IF('Media Dựng'!E16="","",'Media Dựng'!E16)</f>
        <v>Tài khoản Gmail</v>
      </c>
      <c r="F612" s="52" t="str">
        <f>IF('Media Dựng'!F16="","",'Media Dựng'!F16)</f>
        <v>media001.26@gmail.com</v>
      </c>
      <c r="G612" s="52" t="str">
        <f>IF('Media Dựng'!G16="","",'Media Dựng'!G16)</f>
        <v>HỒ CHÍ NAM</v>
      </c>
      <c r="H612" s="52" t="str">
        <f>IF('Media Dựng'!J16="","",'Media Dựng'!J16)</f>
        <v>Chủ sở hữu / Admin</v>
      </c>
      <c r="I612" s="52" t="str">
        <f>IF('Media Dựng'!M16="","",'Media Dựng'!M16)</f>
        <v>Có</v>
      </c>
      <c r="J612" s="52" t="str">
        <f>IF('Media Dựng'!R16="","",'Media Dựng'!R16)</f>
        <v>Chưa bàn giao</v>
      </c>
      <c r="K612" s="52" t="str">
        <f t="array" ref="K612">IF(COUNTA('Media Dựng'!T16:AE16)=0,"",INDEX('Media Dựng'!T16:AE16,1,SUMPRODUCT(MAX(('Media Dựng'!T16:AE16&lt;&gt;"")*(COLUMN('Media Dựng'!T16:AE16)-COLUMN('Media Dựng'!T16)+1)))))</f>
        <v/>
      </c>
      <c r="L612" s="52" t="str">
        <f>IF(AND(G612&lt;&gt;"",G612='Tổng hợp'!$C$4),MAX(L$1:L611)+1,"")</f>
        <v/>
      </c>
    </row>
    <row r="613" ht="15.75" customHeight="1">
      <c r="A613" s="52" t="str">
        <f>IF('Media Dựng'!C17="","","Media Dựng")</f>
        <v>Media Dựng</v>
      </c>
      <c r="B613" s="52" t="str">
        <f>IF('Media Dựng'!B17="","",'Media Dựng'!B17)</f>
        <v>MD-012</v>
      </c>
      <c r="C613" s="52" t="str">
        <f>IF('Media Dựng'!C17="","",'Media Dựng'!C17)</f>
        <v>Gmail</v>
      </c>
      <c r="D613" s="52" t="str">
        <f>IF('Media Dựng'!D17="","",'Media Dựng'!D17)</f>
        <v/>
      </c>
      <c r="E613" s="52" t="str">
        <f>IF('Media Dựng'!E17="","",'Media Dựng'!E17)</f>
        <v>Tài khoản Gmail</v>
      </c>
      <c r="F613" s="52" t="str">
        <f>IF('Media Dựng'!F17="","",'Media Dựng'!F17)</f>
        <v>media002.26@gmail.com</v>
      </c>
      <c r="G613" s="52" t="str">
        <f>IF('Media Dựng'!G17="","",'Media Dựng'!G17)</f>
        <v>HỒ CHÍ NAM</v>
      </c>
      <c r="H613" s="52" t="str">
        <f>IF('Media Dựng'!J17="","",'Media Dựng'!J17)</f>
        <v>Chủ sở hữu / Admin</v>
      </c>
      <c r="I613" s="52" t="str">
        <f>IF('Media Dựng'!M17="","",'Media Dựng'!M17)</f>
        <v>Có</v>
      </c>
      <c r="J613" s="52" t="str">
        <f>IF('Media Dựng'!R17="","",'Media Dựng'!R17)</f>
        <v>Chưa bàn giao</v>
      </c>
      <c r="K613" s="52" t="str">
        <f t="array" ref="K613">IF(COUNTA('Media Dựng'!T17:AE17)=0,"",INDEX('Media Dựng'!T17:AE17,1,SUMPRODUCT(MAX(('Media Dựng'!T17:AE17&lt;&gt;"")*(COLUMN('Media Dựng'!T17:AE17)-COLUMN('Media Dựng'!T17)+1)))))</f>
        <v/>
      </c>
      <c r="L613" s="52" t="str">
        <f>IF(AND(G613&lt;&gt;"",G613='Tổng hợp'!$C$4),MAX(L$1:L612)+1,"")</f>
        <v/>
      </c>
    </row>
    <row r="614" ht="15.75" customHeight="1">
      <c r="A614" s="52" t="str">
        <f>IF('Media Dựng'!C18="","","Media Dựng")</f>
        <v>Media Dựng</v>
      </c>
      <c r="B614" s="52" t="str">
        <f>IF('Media Dựng'!B18="","",'Media Dựng'!B18)</f>
        <v>MD-013</v>
      </c>
      <c r="C614" s="52" t="str">
        <f>IF('Media Dựng'!C18="","",'Media Dựng'!C18)</f>
        <v>Gmail</v>
      </c>
      <c r="D614" s="52" t="str">
        <f>IF('Media Dựng'!D18="","",'Media Dựng'!D18)</f>
        <v/>
      </c>
      <c r="E614" s="52" t="str">
        <f>IF('Media Dựng'!E18="","",'Media Dựng'!E18)</f>
        <v>Tài khoản Gmail</v>
      </c>
      <c r="F614" s="52" t="str">
        <f>IF('Media Dựng'!F18="","",'Media Dựng'!F18)</f>
        <v>media003.26@gmail.com</v>
      </c>
      <c r="G614" s="52" t="str">
        <f>IF('Media Dựng'!G18="","",'Media Dựng'!G18)</f>
        <v>HỒ CHÍ NAM</v>
      </c>
      <c r="H614" s="52" t="str">
        <f>IF('Media Dựng'!J18="","",'Media Dựng'!J18)</f>
        <v>Chủ sở hữu / Admin</v>
      </c>
      <c r="I614" s="52" t="str">
        <f>IF('Media Dựng'!M18="","",'Media Dựng'!M18)</f>
        <v>Có</v>
      </c>
      <c r="J614" s="52" t="str">
        <f>IF('Media Dựng'!R18="","",'Media Dựng'!R18)</f>
        <v>Chưa bàn giao</v>
      </c>
      <c r="K614" s="52" t="str">
        <f t="array" ref="K614">IF(COUNTA('Media Dựng'!T18:AE18)=0,"",INDEX('Media Dựng'!T18:AE18,1,SUMPRODUCT(MAX(('Media Dựng'!T18:AE18&lt;&gt;"")*(COLUMN('Media Dựng'!T18:AE18)-COLUMN('Media Dựng'!T18)+1)))))</f>
        <v/>
      </c>
      <c r="L614" s="52" t="str">
        <f>IF(AND(G614&lt;&gt;"",G614='Tổng hợp'!$C$4),MAX(L$1:L613)+1,"")</f>
        <v/>
      </c>
    </row>
    <row r="615" ht="15.75" customHeight="1">
      <c r="A615" s="52" t="str">
        <f>IF('Media Dựng'!C19="","","Media Dựng")</f>
        <v>Media Dựng</v>
      </c>
      <c r="B615" s="52" t="str">
        <f>IF('Media Dựng'!B19="","",'Media Dựng'!B19)</f>
        <v>MD-014</v>
      </c>
      <c r="C615" s="52" t="str">
        <f>IF('Media Dựng'!C19="","",'Media Dựng'!C19)</f>
        <v>Gmail</v>
      </c>
      <c r="D615" s="52" t="str">
        <f>IF('Media Dựng'!D19="","",'Media Dựng'!D19)</f>
        <v/>
      </c>
      <c r="E615" s="52" t="str">
        <f>IF('Media Dựng'!E19="","",'Media Dựng'!E19)</f>
        <v>Tài khoản Gmail</v>
      </c>
      <c r="F615" s="52" t="str">
        <f>IF('Media Dựng'!F19="","",'Media Dựng'!F19)</f>
        <v>media004.26@gmail.com</v>
      </c>
      <c r="G615" s="52" t="str">
        <f>IF('Media Dựng'!G19="","",'Media Dựng'!G19)</f>
        <v>HỒ CHÍ NAM</v>
      </c>
      <c r="H615" s="52" t="str">
        <f>IF('Media Dựng'!J19="","",'Media Dựng'!J19)</f>
        <v>Chủ sở hữu / Admin</v>
      </c>
      <c r="I615" s="52" t="str">
        <f>IF('Media Dựng'!M19="","",'Media Dựng'!M19)</f>
        <v>Có</v>
      </c>
      <c r="J615" s="52" t="str">
        <f>IF('Media Dựng'!R19="","",'Media Dựng'!R19)</f>
        <v>Chưa bàn giao</v>
      </c>
      <c r="K615" s="52" t="str">
        <f t="array" ref="K615">IF(COUNTA('Media Dựng'!T19:AE19)=0,"",INDEX('Media Dựng'!T19:AE19,1,SUMPRODUCT(MAX(('Media Dựng'!T19:AE19&lt;&gt;"")*(COLUMN('Media Dựng'!T19:AE19)-COLUMN('Media Dựng'!T19)+1)))))</f>
        <v/>
      </c>
      <c r="L615" s="52" t="str">
        <f>IF(AND(G615&lt;&gt;"",G615='Tổng hợp'!$C$4),MAX(L$1:L614)+1,"")</f>
        <v/>
      </c>
    </row>
    <row r="616" ht="15.75" customHeight="1">
      <c r="A616" s="52" t="str">
        <f>IF('Media Dựng'!C20="","","Media Dựng")</f>
        <v>Media Dựng</v>
      </c>
      <c r="B616" s="52" t="str">
        <f>IF('Media Dựng'!B20="","",'Media Dựng'!B20)</f>
        <v>MD-015</v>
      </c>
      <c r="C616" s="52" t="str">
        <f>IF('Media Dựng'!C20="","",'Media Dựng'!C20)</f>
        <v>Gmail</v>
      </c>
      <c r="D616" s="52" t="str">
        <f>IF('Media Dựng'!D20="","",'Media Dựng'!D20)</f>
        <v/>
      </c>
      <c r="E616" s="52" t="str">
        <f>IF('Media Dựng'!E20="","",'Media Dựng'!E20)</f>
        <v>Tài khoản Gmail</v>
      </c>
      <c r="F616" s="52" t="str">
        <f>IF('Media Dựng'!F20="","",'Media Dựng'!F20)</f>
        <v>media005.26@gmail.com</v>
      </c>
      <c r="G616" s="52" t="str">
        <f>IF('Media Dựng'!G20="","",'Media Dựng'!G20)</f>
        <v>HỒ CHÍ NAM</v>
      </c>
      <c r="H616" s="52" t="str">
        <f>IF('Media Dựng'!J20="","",'Media Dựng'!J20)</f>
        <v>Chủ sở hữu / Admin</v>
      </c>
      <c r="I616" s="52" t="str">
        <f>IF('Media Dựng'!M20="","",'Media Dựng'!M20)</f>
        <v>Có</v>
      </c>
      <c r="J616" s="52" t="str">
        <f>IF('Media Dựng'!R20="","",'Media Dựng'!R20)</f>
        <v>Chưa bàn giao</v>
      </c>
      <c r="K616" s="52" t="str">
        <f t="array" ref="K616">IF(COUNTA('Media Dựng'!T20:AE20)=0,"",INDEX('Media Dựng'!T20:AE20,1,SUMPRODUCT(MAX(('Media Dựng'!T20:AE20&lt;&gt;"")*(COLUMN('Media Dựng'!T20:AE20)-COLUMN('Media Dựng'!T20)+1)))))</f>
        <v/>
      </c>
      <c r="L616" s="52" t="str">
        <f>IF(AND(G616&lt;&gt;"",G616='Tổng hợp'!$C$4),MAX(L$1:L615)+1,"")</f>
        <v/>
      </c>
    </row>
    <row r="617" ht="15.75" customHeight="1">
      <c r="A617" s="52" t="str">
        <f>IF('Media Dựng'!C21="","","Media Dựng")</f>
        <v>Media Dựng</v>
      </c>
      <c r="B617" s="52" t="str">
        <f>IF('Media Dựng'!B21="","",'Media Dựng'!B21)</f>
        <v>MD-016</v>
      </c>
      <c r="C617" s="52" t="str">
        <f>IF('Media Dựng'!C21="","",'Media Dựng'!C21)</f>
        <v>Gmail</v>
      </c>
      <c r="D617" s="52" t="str">
        <f>IF('Media Dựng'!D21="","",'Media Dựng'!D21)</f>
        <v/>
      </c>
      <c r="E617" s="52" t="str">
        <f>IF('Media Dựng'!E21="","",'Media Dựng'!E21)</f>
        <v>Tài khoản Gmail</v>
      </c>
      <c r="F617" s="52" t="str">
        <f>IF('Media Dựng'!F21="","",'Media Dựng'!F21)</f>
        <v>media006.26@gmail.com</v>
      </c>
      <c r="G617" s="52" t="str">
        <f>IF('Media Dựng'!G21="","",'Media Dựng'!G21)</f>
        <v>HỒ CHÍ NAM</v>
      </c>
      <c r="H617" s="52" t="str">
        <f>IF('Media Dựng'!J21="","",'Media Dựng'!J21)</f>
        <v>Chủ sở hữu / Admin</v>
      </c>
      <c r="I617" s="52" t="str">
        <f>IF('Media Dựng'!M21="","",'Media Dựng'!M21)</f>
        <v>Có</v>
      </c>
      <c r="J617" s="52" t="str">
        <f>IF('Media Dựng'!R21="","",'Media Dựng'!R21)</f>
        <v>Chưa bàn giao</v>
      </c>
      <c r="K617" s="52" t="str">
        <f t="array" ref="K617">IF(COUNTA('Media Dựng'!T21:AE21)=0,"",INDEX('Media Dựng'!T21:AE21,1,SUMPRODUCT(MAX(('Media Dựng'!T21:AE21&lt;&gt;"")*(COLUMN('Media Dựng'!T21:AE21)-COLUMN('Media Dựng'!T21)+1)))))</f>
        <v/>
      </c>
      <c r="L617" s="52" t="str">
        <f>IF(AND(G617&lt;&gt;"",G617='Tổng hợp'!$C$4),MAX(L$1:L616)+1,"")</f>
        <v/>
      </c>
    </row>
    <row r="618" ht="15.75" customHeight="1">
      <c r="A618" s="52" t="str">
        <f>IF('Media Dựng'!C22="","","Media Dựng")</f>
        <v>Media Dựng</v>
      </c>
      <c r="B618" s="52" t="str">
        <f>IF('Media Dựng'!B22="","",'Media Dựng'!B22)</f>
        <v>MD-017</v>
      </c>
      <c r="C618" s="52" t="str">
        <f>IF('Media Dựng'!C22="","",'Media Dựng'!C22)</f>
        <v>Gmail</v>
      </c>
      <c r="D618" s="52" t="str">
        <f>IF('Media Dựng'!D22="","",'Media Dựng'!D22)</f>
        <v/>
      </c>
      <c r="E618" s="52" t="str">
        <f>IF('Media Dựng'!E22="","",'Media Dựng'!E22)</f>
        <v>Tài khoản Gmail</v>
      </c>
      <c r="F618" s="52" t="str">
        <f>IF('Media Dựng'!F22="","",'Media Dựng'!F22)</f>
        <v>media008.26@gmail.com</v>
      </c>
      <c r="G618" s="52" t="str">
        <f>IF('Media Dựng'!G22="","",'Media Dựng'!G22)</f>
        <v>HỒ CHÍ NAM</v>
      </c>
      <c r="H618" s="52" t="str">
        <f>IF('Media Dựng'!J22="","",'Media Dựng'!J22)</f>
        <v>Chủ sở hữu / Admin</v>
      </c>
      <c r="I618" s="52" t="str">
        <f>IF('Media Dựng'!M22="","",'Media Dựng'!M22)</f>
        <v>Có</v>
      </c>
      <c r="J618" s="52" t="str">
        <f>IF('Media Dựng'!R22="","",'Media Dựng'!R22)</f>
        <v>Chưa bàn giao</v>
      </c>
      <c r="K618" s="52" t="str">
        <f t="array" ref="K618">IF(COUNTA('Media Dựng'!T22:AE22)=0,"",INDEX('Media Dựng'!T22:AE22,1,SUMPRODUCT(MAX(('Media Dựng'!T22:AE22&lt;&gt;"")*(COLUMN('Media Dựng'!T22:AE22)-COLUMN('Media Dựng'!T22)+1)))))</f>
        <v/>
      </c>
      <c r="L618" s="52" t="str">
        <f>IF(AND(G618&lt;&gt;"",G618='Tổng hợp'!$C$4),MAX(L$1:L617)+1,"")</f>
        <v/>
      </c>
    </row>
    <row r="619" ht="15.75" customHeight="1">
      <c r="A619" s="52" t="str">
        <f>IF('Media Dựng'!C23="","","Media Dựng")</f>
        <v>Media Dựng</v>
      </c>
      <c r="B619" s="52" t="str">
        <f>IF('Media Dựng'!B23="","",'Media Dựng'!B23)</f>
        <v>MD-018</v>
      </c>
      <c r="C619" s="52" t="str">
        <f>IF('Media Dựng'!C23="","",'Media Dựng'!C23)</f>
        <v>Gmail</v>
      </c>
      <c r="D619" s="52" t="str">
        <f>IF('Media Dựng'!D23="","",'Media Dựng'!D23)</f>
        <v/>
      </c>
      <c r="E619" s="52" t="str">
        <f>IF('Media Dựng'!E23="","",'Media Dựng'!E23)</f>
        <v>Tài khoản Gmail</v>
      </c>
      <c r="F619" s="52" t="str">
        <f>IF('Media Dựng'!F23="","",'Media Dựng'!F23)</f>
        <v>media009.26@gmail.com</v>
      </c>
      <c r="G619" s="52" t="str">
        <f>IF('Media Dựng'!G23="","",'Media Dựng'!G23)</f>
        <v>HỒ CHÍ NAM</v>
      </c>
      <c r="H619" s="52" t="str">
        <f>IF('Media Dựng'!J23="","",'Media Dựng'!J23)</f>
        <v>Chủ sở hữu / Admin</v>
      </c>
      <c r="I619" s="52" t="str">
        <f>IF('Media Dựng'!M23="","",'Media Dựng'!M23)</f>
        <v>Có</v>
      </c>
      <c r="J619" s="52" t="str">
        <f>IF('Media Dựng'!R23="","",'Media Dựng'!R23)</f>
        <v>Chưa bàn giao</v>
      </c>
      <c r="K619" s="52" t="str">
        <f t="array" ref="K619">IF(COUNTA('Media Dựng'!T23:AE23)=0,"",INDEX('Media Dựng'!T23:AE23,1,SUMPRODUCT(MAX(('Media Dựng'!T23:AE23&lt;&gt;"")*(COLUMN('Media Dựng'!T23:AE23)-COLUMN('Media Dựng'!T23)+1)))))</f>
        <v/>
      </c>
      <c r="L619" s="52" t="str">
        <f>IF(AND(G619&lt;&gt;"",G619='Tổng hợp'!$C$4),MAX(L$1:L618)+1,"")</f>
        <v/>
      </c>
    </row>
    <row r="620" ht="15.75" customHeight="1">
      <c r="A620" s="52" t="str">
        <f>IF('Media Dựng'!C24="","","Media Dựng")</f>
        <v>Media Dựng</v>
      </c>
      <c r="B620" s="52" t="str">
        <f>IF('Media Dựng'!B24="","",'Media Dựng'!B24)</f>
        <v>MD-019</v>
      </c>
      <c r="C620" s="52" t="str">
        <f>IF('Media Dựng'!C24="","",'Media Dựng'!C24)</f>
        <v>Gmail</v>
      </c>
      <c r="D620" s="52" t="str">
        <f>IF('Media Dựng'!D24="","",'Media Dựng'!D24)</f>
        <v/>
      </c>
      <c r="E620" s="52" t="str">
        <f>IF('Media Dựng'!E24="","",'Media Dựng'!E24)</f>
        <v>Tài khoản Gmail</v>
      </c>
      <c r="F620" s="52" t="str">
        <f>IF('Media Dựng'!F24="","",'Media Dựng'!F24)</f>
        <v>media010.26@gmail.com</v>
      </c>
      <c r="G620" s="52" t="str">
        <f>IF('Media Dựng'!G24="","",'Media Dựng'!G24)</f>
        <v>HỒ CHÍ NAM</v>
      </c>
      <c r="H620" s="52" t="str">
        <f>IF('Media Dựng'!J24="","",'Media Dựng'!J24)</f>
        <v>Chủ sở hữu / Admin</v>
      </c>
      <c r="I620" s="52" t="str">
        <f>IF('Media Dựng'!M24="","",'Media Dựng'!M24)</f>
        <v>Có</v>
      </c>
      <c r="J620" s="52" t="str">
        <f>IF('Media Dựng'!R24="","",'Media Dựng'!R24)</f>
        <v>Chưa bàn giao</v>
      </c>
      <c r="K620" s="52" t="str">
        <f t="array" ref="K620">IF(COUNTA('Media Dựng'!T24:AE24)=0,"",INDEX('Media Dựng'!T24:AE24,1,SUMPRODUCT(MAX(('Media Dựng'!T24:AE24&lt;&gt;"")*(COLUMN('Media Dựng'!T24:AE24)-COLUMN('Media Dựng'!T24)+1)))))</f>
        <v/>
      </c>
      <c r="L620" s="52" t="str">
        <f>IF(AND(G620&lt;&gt;"",G620='Tổng hợp'!$C$4),MAX(L$1:L619)+1,"")</f>
        <v/>
      </c>
    </row>
    <row r="621" ht="15.75" customHeight="1">
      <c r="A621" s="52" t="str">
        <f>IF('Media Dựng'!C25="","","Media Dựng")</f>
        <v>Media Dựng</v>
      </c>
      <c r="B621" s="52" t="str">
        <f>IF('Media Dựng'!B25="","",'Media Dựng'!B25)</f>
        <v>MD-020</v>
      </c>
      <c r="C621" s="52" t="str">
        <f>IF('Media Dựng'!C25="","",'Media Dựng'!C25)</f>
        <v>Gmail</v>
      </c>
      <c r="D621" s="52" t="str">
        <f>IF('Media Dựng'!D25="","",'Media Dựng'!D25)</f>
        <v/>
      </c>
      <c r="E621" s="52" t="str">
        <f>IF('Media Dựng'!E25="","",'Media Dựng'!E25)</f>
        <v>Tài khoản Gmail</v>
      </c>
      <c r="F621" s="52" t="str">
        <f>IF('Media Dựng'!F25="","",'Media Dựng'!F25)</f>
        <v>gtgmedia.freepik@gmail.com</v>
      </c>
      <c r="G621" s="52" t="str">
        <f>IF('Media Dựng'!G25="","",'Media Dựng'!G25)</f>
        <v>HỒ CHÍ NAM</v>
      </c>
      <c r="H621" s="52" t="str">
        <f>IF('Media Dựng'!J25="","",'Media Dựng'!J25)</f>
        <v>Chủ sở hữu / Admin</v>
      </c>
      <c r="I621" s="52" t="str">
        <f>IF('Media Dựng'!M25="","",'Media Dựng'!M25)</f>
        <v>Có</v>
      </c>
      <c r="J621" s="52" t="str">
        <f>IF('Media Dựng'!R25="","",'Media Dựng'!R25)</f>
        <v>Chưa bàn giao</v>
      </c>
      <c r="K621" s="52" t="str">
        <f t="array" ref="K621">IF(COUNTA('Media Dựng'!T25:AE25)=0,"",INDEX('Media Dựng'!T25:AE25,1,SUMPRODUCT(MAX(('Media Dựng'!T25:AE25&lt;&gt;"")*(COLUMN('Media Dựng'!T25:AE25)-COLUMN('Media Dựng'!T25)+1)))))</f>
        <v/>
      </c>
      <c r="L621" s="52" t="str">
        <f>IF(AND(G621&lt;&gt;"",G621='Tổng hợp'!$C$4),MAX(L$1:L620)+1,"")</f>
        <v/>
      </c>
    </row>
    <row r="622" ht="15.75" customHeight="1">
      <c r="A622" s="52" t="str">
        <f>IF('Media Dựng'!C26="","","Media Dựng")</f>
        <v/>
      </c>
      <c r="B622" s="52" t="str">
        <f>IF('Media Dựng'!B26="","",'Media Dựng'!B26)</f>
        <v/>
      </c>
      <c r="C622" s="52" t="str">
        <f>IF('Media Dựng'!C26="","",'Media Dựng'!C26)</f>
        <v/>
      </c>
      <c r="D622" s="52" t="str">
        <f>IF('Media Dựng'!D26="","",'Media Dựng'!D26)</f>
        <v/>
      </c>
      <c r="E622" s="52" t="str">
        <f>IF('Media Dựng'!E26="","",'Media Dựng'!E26)</f>
        <v/>
      </c>
      <c r="F622" s="52" t="str">
        <f>IF('Media Dựng'!F26="","",'Media Dựng'!F26)</f>
        <v/>
      </c>
      <c r="G622" s="52" t="str">
        <f>IF('Media Dựng'!G26="","",'Media Dựng'!G26)</f>
        <v/>
      </c>
      <c r="H622" s="52" t="str">
        <f>IF('Media Dựng'!J26="","",'Media Dựng'!J26)</f>
        <v/>
      </c>
      <c r="I622" s="52" t="str">
        <f>IF('Media Dựng'!M26="","",'Media Dựng'!M26)</f>
        <v/>
      </c>
      <c r="J622" s="52" t="str">
        <f>IF('Media Dựng'!R26="","",'Media Dựng'!R26)</f>
        <v/>
      </c>
      <c r="K622" s="52" t="str">
        <f t="array" ref="K622">IF(COUNTA('Media Dựng'!T26:AE26)=0,"",INDEX('Media Dựng'!T26:AE26,1,SUMPRODUCT(MAX(('Media Dựng'!T26:AE26&lt;&gt;"")*(COLUMN('Media Dựng'!T26:AE26)-COLUMN('Media Dựng'!T26)+1)))))</f>
        <v/>
      </c>
      <c r="L622" s="52" t="str">
        <f>IF(AND(G622&lt;&gt;"",G622='Tổng hợp'!$C$4),MAX(L$1:L621)+1,"")</f>
        <v/>
      </c>
    </row>
    <row r="623" ht="15.75" customHeight="1">
      <c r="A623" s="52" t="str">
        <f>IF('Media Dựng'!C27="","","Media Dựng")</f>
        <v/>
      </c>
      <c r="B623" s="52" t="str">
        <f>IF('Media Dựng'!B27="","",'Media Dựng'!B27)</f>
        <v/>
      </c>
      <c r="C623" s="52" t="str">
        <f>IF('Media Dựng'!C27="","",'Media Dựng'!C27)</f>
        <v/>
      </c>
      <c r="D623" s="52" t="str">
        <f>IF('Media Dựng'!D27="","",'Media Dựng'!D27)</f>
        <v/>
      </c>
      <c r="E623" s="52" t="str">
        <f>IF('Media Dựng'!E27="","",'Media Dựng'!E27)</f>
        <v/>
      </c>
      <c r="F623" s="52" t="str">
        <f>IF('Media Dựng'!F27="","",'Media Dựng'!F27)</f>
        <v/>
      </c>
      <c r="G623" s="52" t="str">
        <f>IF('Media Dựng'!G27="","",'Media Dựng'!G27)</f>
        <v/>
      </c>
      <c r="H623" s="52" t="str">
        <f>IF('Media Dựng'!J27="","",'Media Dựng'!J27)</f>
        <v/>
      </c>
      <c r="I623" s="52" t="str">
        <f>IF('Media Dựng'!M27="","",'Media Dựng'!M27)</f>
        <v/>
      </c>
      <c r="J623" s="52" t="str">
        <f>IF('Media Dựng'!R27="","",'Media Dựng'!R27)</f>
        <v/>
      </c>
      <c r="K623" s="52" t="str">
        <f t="array" ref="K623">IF(COUNTA('Media Dựng'!T27:AE27)=0,"",INDEX('Media Dựng'!T27:AE27,1,SUMPRODUCT(MAX(('Media Dựng'!T27:AE27&lt;&gt;"")*(COLUMN('Media Dựng'!T27:AE27)-COLUMN('Media Dựng'!T27)+1)))))</f>
        <v/>
      </c>
      <c r="L623" s="52" t="str">
        <f>IF(AND(G623&lt;&gt;"",G623='Tổng hợp'!$C$4),MAX(L$1:L622)+1,"")</f>
        <v/>
      </c>
    </row>
    <row r="624" ht="15.75" customHeight="1">
      <c r="A624" s="52" t="str">
        <f>IF('Media Dựng'!C28="","","Media Dựng")</f>
        <v/>
      </c>
      <c r="B624" s="52" t="str">
        <f>IF('Media Dựng'!B28="","",'Media Dựng'!B28)</f>
        <v/>
      </c>
      <c r="C624" s="52" t="str">
        <f>IF('Media Dựng'!C28="","",'Media Dựng'!C28)</f>
        <v/>
      </c>
      <c r="D624" s="52" t="str">
        <f>IF('Media Dựng'!D28="","",'Media Dựng'!D28)</f>
        <v/>
      </c>
      <c r="E624" s="52" t="str">
        <f>IF('Media Dựng'!E28="","",'Media Dựng'!E28)</f>
        <v/>
      </c>
      <c r="F624" s="52" t="str">
        <f>IF('Media Dựng'!F28="","",'Media Dựng'!F28)</f>
        <v/>
      </c>
      <c r="G624" s="52" t="str">
        <f>IF('Media Dựng'!G28="","",'Media Dựng'!G28)</f>
        <v/>
      </c>
      <c r="H624" s="52" t="str">
        <f>IF('Media Dựng'!J28="","",'Media Dựng'!J28)</f>
        <v/>
      </c>
      <c r="I624" s="52" t="str">
        <f>IF('Media Dựng'!M28="","",'Media Dựng'!M28)</f>
        <v/>
      </c>
      <c r="J624" s="52" t="str">
        <f>IF('Media Dựng'!R28="","",'Media Dựng'!R28)</f>
        <v/>
      </c>
      <c r="K624" s="52" t="str">
        <f t="array" ref="K624">IF(COUNTA('Media Dựng'!T28:AE28)=0,"",INDEX('Media Dựng'!T28:AE28,1,SUMPRODUCT(MAX(('Media Dựng'!T28:AE28&lt;&gt;"")*(COLUMN('Media Dựng'!T28:AE28)-COLUMN('Media Dựng'!T28)+1)))))</f>
        <v/>
      </c>
      <c r="L624" s="52" t="str">
        <f>IF(AND(G624&lt;&gt;"",G624='Tổng hợp'!$C$4),MAX(L$1:L623)+1,"")</f>
        <v/>
      </c>
    </row>
    <row r="625" ht="15.75" customHeight="1">
      <c r="A625" s="52" t="str">
        <f>IF('Media Dựng'!C29="","","Media Dựng")</f>
        <v/>
      </c>
      <c r="B625" s="52" t="str">
        <f>IF('Media Dựng'!B29="","",'Media Dựng'!B29)</f>
        <v/>
      </c>
      <c r="C625" s="52" t="str">
        <f>IF('Media Dựng'!C29="","",'Media Dựng'!C29)</f>
        <v/>
      </c>
      <c r="D625" s="52" t="str">
        <f>IF('Media Dựng'!D29="","",'Media Dựng'!D29)</f>
        <v/>
      </c>
      <c r="E625" s="52" t="str">
        <f>IF('Media Dựng'!E29="","",'Media Dựng'!E29)</f>
        <v/>
      </c>
      <c r="F625" s="52" t="str">
        <f>IF('Media Dựng'!F29="","",'Media Dựng'!F29)</f>
        <v/>
      </c>
      <c r="G625" s="52" t="str">
        <f>IF('Media Dựng'!G29="","",'Media Dựng'!G29)</f>
        <v/>
      </c>
      <c r="H625" s="52" t="str">
        <f>IF('Media Dựng'!J29="","",'Media Dựng'!J29)</f>
        <v/>
      </c>
      <c r="I625" s="52" t="str">
        <f>IF('Media Dựng'!M29="","",'Media Dựng'!M29)</f>
        <v/>
      </c>
      <c r="J625" s="52" t="str">
        <f>IF('Media Dựng'!R29="","",'Media Dựng'!R29)</f>
        <v/>
      </c>
      <c r="K625" s="52" t="str">
        <f t="array" ref="K625">IF(COUNTA('Media Dựng'!T29:AE29)=0,"",INDEX('Media Dựng'!T29:AE29,1,SUMPRODUCT(MAX(('Media Dựng'!T29:AE29&lt;&gt;"")*(COLUMN('Media Dựng'!T29:AE29)-COLUMN('Media Dựng'!T29)+1)))))</f>
        <v/>
      </c>
      <c r="L625" s="52" t="str">
        <f>IF(AND(G625&lt;&gt;"",G625='Tổng hợp'!$C$4),MAX(L$1:L624)+1,"")</f>
        <v/>
      </c>
    </row>
    <row r="626" ht="15.75" customHeight="1">
      <c r="A626" s="52" t="str">
        <f>IF('Media Dựng'!C30="","","Media Dựng")</f>
        <v/>
      </c>
      <c r="B626" s="52" t="str">
        <f>IF('Media Dựng'!B30="","",'Media Dựng'!B30)</f>
        <v/>
      </c>
      <c r="C626" s="52" t="str">
        <f>IF('Media Dựng'!C30="","",'Media Dựng'!C30)</f>
        <v/>
      </c>
      <c r="D626" s="52" t="str">
        <f>IF('Media Dựng'!D30="","",'Media Dựng'!D30)</f>
        <v/>
      </c>
      <c r="E626" s="52" t="str">
        <f>IF('Media Dựng'!E30="","",'Media Dựng'!E30)</f>
        <v/>
      </c>
      <c r="F626" s="52" t="str">
        <f>IF('Media Dựng'!F30="","",'Media Dựng'!F30)</f>
        <v/>
      </c>
      <c r="G626" s="52" t="str">
        <f>IF('Media Dựng'!G30="","",'Media Dựng'!G30)</f>
        <v/>
      </c>
      <c r="H626" s="52" t="str">
        <f>IF('Media Dựng'!J30="","",'Media Dựng'!J30)</f>
        <v/>
      </c>
      <c r="I626" s="52" t="str">
        <f>IF('Media Dựng'!M30="","",'Media Dựng'!M30)</f>
        <v/>
      </c>
      <c r="J626" s="52" t="str">
        <f>IF('Media Dựng'!R30="","",'Media Dựng'!R30)</f>
        <v/>
      </c>
      <c r="K626" s="52" t="str">
        <f t="array" ref="K626">IF(COUNTA('Media Dựng'!T30:AE30)=0,"",INDEX('Media Dựng'!T30:AE30,1,SUMPRODUCT(MAX(('Media Dựng'!T30:AE30&lt;&gt;"")*(COLUMN('Media Dựng'!T30:AE30)-COLUMN('Media Dựng'!T30)+1)))))</f>
        <v/>
      </c>
      <c r="L626" s="52" t="str">
        <f>IF(AND(G626&lt;&gt;"",G626='Tổng hợp'!$C$4),MAX(L$1:L625)+1,"")</f>
        <v/>
      </c>
    </row>
    <row r="627" ht="15.75" customHeight="1">
      <c r="A627" s="52" t="str">
        <f>IF('Media Dựng'!C31="","","Media Dựng")</f>
        <v/>
      </c>
      <c r="B627" s="52" t="str">
        <f>IF('Media Dựng'!B31="","",'Media Dựng'!B31)</f>
        <v/>
      </c>
      <c r="C627" s="52" t="str">
        <f>IF('Media Dựng'!C31="","",'Media Dựng'!C31)</f>
        <v/>
      </c>
      <c r="D627" s="52" t="str">
        <f>IF('Media Dựng'!D31="","",'Media Dựng'!D31)</f>
        <v/>
      </c>
      <c r="E627" s="52" t="str">
        <f>IF('Media Dựng'!E31="","",'Media Dựng'!E31)</f>
        <v/>
      </c>
      <c r="F627" s="52" t="str">
        <f>IF('Media Dựng'!F31="","",'Media Dựng'!F31)</f>
        <v/>
      </c>
      <c r="G627" s="52" t="str">
        <f>IF('Media Dựng'!G31="","",'Media Dựng'!G31)</f>
        <v/>
      </c>
      <c r="H627" s="52" t="str">
        <f>IF('Media Dựng'!J31="","",'Media Dựng'!J31)</f>
        <v/>
      </c>
      <c r="I627" s="52" t="str">
        <f>IF('Media Dựng'!M31="","",'Media Dựng'!M31)</f>
        <v/>
      </c>
      <c r="J627" s="52" t="str">
        <f>IF('Media Dựng'!R31="","",'Media Dựng'!R31)</f>
        <v/>
      </c>
      <c r="K627" s="52" t="str">
        <f t="array" ref="K627">IF(COUNTA('Media Dựng'!T31:AE31)=0,"",INDEX('Media Dựng'!T31:AE31,1,SUMPRODUCT(MAX(('Media Dựng'!T31:AE31&lt;&gt;"")*(COLUMN('Media Dựng'!T31:AE31)-COLUMN('Media Dựng'!T31)+1)))))</f>
        <v/>
      </c>
      <c r="L627" s="52" t="str">
        <f>IF(AND(G627&lt;&gt;"",G627='Tổng hợp'!$C$4),MAX(L$1:L626)+1,"")</f>
        <v/>
      </c>
    </row>
    <row r="628" ht="15.75" customHeight="1">
      <c r="A628" s="52" t="str">
        <f>IF('Media Dựng'!C32="","","Media Dựng")</f>
        <v/>
      </c>
      <c r="B628" s="52" t="str">
        <f>IF('Media Dựng'!B32="","",'Media Dựng'!B32)</f>
        <v/>
      </c>
      <c r="C628" s="52" t="str">
        <f>IF('Media Dựng'!C32="","",'Media Dựng'!C32)</f>
        <v/>
      </c>
      <c r="D628" s="52" t="str">
        <f>IF('Media Dựng'!D32="","",'Media Dựng'!D32)</f>
        <v/>
      </c>
      <c r="E628" s="52" t="str">
        <f>IF('Media Dựng'!E32="","",'Media Dựng'!E32)</f>
        <v/>
      </c>
      <c r="F628" s="52" t="str">
        <f>IF('Media Dựng'!F32="","",'Media Dựng'!F32)</f>
        <v/>
      </c>
      <c r="G628" s="52" t="str">
        <f>IF('Media Dựng'!G32="","",'Media Dựng'!G32)</f>
        <v/>
      </c>
      <c r="H628" s="52" t="str">
        <f>IF('Media Dựng'!J32="","",'Media Dựng'!J32)</f>
        <v/>
      </c>
      <c r="I628" s="52" t="str">
        <f>IF('Media Dựng'!M32="","",'Media Dựng'!M32)</f>
        <v/>
      </c>
      <c r="J628" s="52" t="str">
        <f>IF('Media Dựng'!R32="","",'Media Dựng'!R32)</f>
        <v/>
      </c>
      <c r="K628" s="52" t="str">
        <f t="array" ref="K628">IF(COUNTA('Media Dựng'!T32:AE32)=0,"",INDEX('Media Dựng'!T32:AE32,1,SUMPRODUCT(MAX(('Media Dựng'!T32:AE32&lt;&gt;"")*(COLUMN('Media Dựng'!T32:AE32)-COLUMN('Media Dựng'!T32)+1)))))</f>
        <v/>
      </c>
      <c r="L628" s="52" t="str">
        <f>IF(AND(G628&lt;&gt;"",G628='Tổng hợp'!$C$4),MAX(L$1:L627)+1,"")</f>
        <v/>
      </c>
    </row>
    <row r="629" ht="15.75" customHeight="1">
      <c r="A629" s="52" t="str">
        <f>IF('Media Dựng'!C33="","","Media Dựng")</f>
        <v/>
      </c>
      <c r="B629" s="52" t="str">
        <f>IF('Media Dựng'!B33="","",'Media Dựng'!B33)</f>
        <v/>
      </c>
      <c r="C629" s="52" t="str">
        <f>IF('Media Dựng'!C33="","",'Media Dựng'!C33)</f>
        <v/>
      </c>
      <c r="D629" s="52" t="str">
        <f>IF('Media Dựng'!D33="","",'Media Dựng'!D33)</f>
        <v/>
      </c>
      <c r="E629" s="52" t="str">
        <f>IF('Media Dựng'!E33="","",'Media Dựng'!E33)</f>
        <v/>
      </c>
      <c r="F629" s="52" t="str">
        <f>IF('Media Dựng'!F33="","",'Media Dựng'!F33)</f>
        <v/>
      </c>
      <c r="G629" s="52" t="str">
        <f>IF('Media Dựng'!G33="","",'Media Dựng'!G33)</f>
        <v/>
      </c>
      <c r="H629" s="52" t="str">
        <f>IF('Media Dựng'!J33="","",'Media Dựng'!J33)</f>
        <v/>
      </c>
      <c r="I629" s="52" t="str">
        <f>IF('Media Dựng'!M33="","",'Media Dựng'!M33)</f>
        <v/>
      </c>
      <c r="J629" s="52" t="str">
        <f>IF('Media Dựng'!R33="","",'Media Dựng'!R33)</f>
        <v/>
      </c>
      <c r="K629" s="52" t="str">
        <f t="array" ref="K629">IF(COUNTA('Media Dựng'!T33:AE33)=0,"",INDEX('Media Dựng'!T33:AE33,1,SUMPRODUCT(MAX(('Media Dựng'!T33:AE33&lt;&gt;"")*(COLUMN('Media Dựng'!T33:AE33)-COLUMN('Media Dựng'!T33)+1)))))</f>
        <v/>
      </c>
      <c r="L629" s="52" t="str">
        <f>IF(AND(G629&lt;&gt;"",G629='Tổng hợp'!$C$4),MAX(L$1:L628)+1,"")</f>
        <v/>
      </c>
    </row>
    <row r="630" ht="15.75" customHeight="1">
      <c r="A630" s="52" t="str">
        <f>IF('Media Dựng'!C34="","","Media Dựng")</f>
        <v/>
      </c>
      <c r="B630" s="52" t="str">
        <f>IF('Media Dựng'!B34="","",'Media Dựng'!B34)</f>
        <v/>
      </c>
      <c r="C630" s="52" t="str">
        <f>IF('Media Dựng'!C34="","",'Media Dựng'!C34)</f>
        <v/>
      </c>
      <c r="D630" s="52" t="str">
        <f>IF('Media Dựng'!D34="","",'Media Dựng'!D34)</f>
        <v/>
      </c>
      <c r="E630" s="52" t="str">
        <f>IF('Media Dựng'!E34="","",'Media Dựng'!E34)</f>
        <v/>
      </c>
      <c r="F630" s="52" t="str">
        <f>IF('Media Dựng'!F34="","",'Media Dựng'!F34)</f>
        <v/>
      </c>
      <c r="G630" s="52" t="str">
        <f>IF('Media Dựng'!G34="","",'Media Dựng'!G34)</f>
        <v/>
      </c>
      <c r="H630" s="52" t="str">
        <f>IF('Media Dựng'!J34="","",'Media Dựng'!J34)</f>
        <v/>
      </c>
      <c r="I630" s="52" t="str">
        <f>IF('Media Dựng'!M34="","",'Media Dựng'!M34)</f>
        <v/>
      </c>
      <c r="J630" s="52" t="str">
        <f>IF('Media Dựng'!R34="","",'Media Dựng'!R34)</f>
        <v/>
      </c>
      <c r="K630" s="52" t="str">
        <f t="array" ref="K630">IF(COUNTA('Media Dựng'!T34:AE34)=0,"",INDEX('Media Dựng'!T34:AE34,1,SUMPRODUCT(MAX(('Media Dựng'!T34:AE34&lt;&gt;"")*(COLUMN('Media Dựng'!T34:AE34)-COLUMN('Media Dựng'!T34)+1)))))</f>
        <v/>
      </c>
      <c r="L630" s="52" t="str">
        <f>IF(AND(G630&lt;&gt;"",G630='Tổng hợp'!$C$4),MAX(L$1:L629)+1,"")</f>
        <v/>
      </c>
    </row>
    <row r="631" ht="15.75" customHeight="1">
      <c r="A631" s="52" t="str">
        <f>IF('Media Dựng'!C35="","","Media Dựng")</f>
        <v/>
      </c>
      <c r="B631" s="52" t="str">
        <f>IF('Media Dựng'!B35="","",'Media Dựng'!B35)</f>
        <v/>
      </c>
      <c r="C631" s="52" t="str">
        <f>IF('Media Dựng'!C35="","",'Media Dựng'!C35)</f>
        <v/>
      </c>
      <c r="D631" s="52" t="str">
        <f>IF('Media Dựng'!D35="","",'Media Dựng'!D35)</f>
        <v/>
      </c>
      <c r="E631" s="52" t="str">
        <f>IF('Media Dựng'!E35="","",'Media Dựng'!E35)</f>
        <v/>
      </c>
      <c r="F631" s="52" t="str">
        <f>IF('Media Dựng'!F35="","",'Media Dựng'!F35)</f>
        <v/>
      </c>
      <c r="G631" s="52" t="str">
        <f>IF('Media Dựng'!G35="","",'Media Dựng'!G35)</f>
        <v/>
      </c>
      <c r="H631" s="52" t="str">
        <f>IF('Media Dựng'!J35="","",'Media Dựng'!J35)</f>
        <v/>
      </c>
      <c r="I631" s="52" t="str">
        <f>IF('Media Dựng'!M35="","",'Media Dựng'!M35)</f>
        <v/>
      </c>
      <c r="J631" s="52" t="str">
        <f>IF('Media Dựng'!R35="","",'Media Dựng'!R35)</f>
        <v/>
      </c>
      <c r="K631" s="52" t="str">
        <f t="array" ref="K631">IF(COUNTA('Media Dựng'!T35:AE35)=0,"",INDEX('Media Dựng'!T35:AE35,1,SUMPRODUCT(MAX(('Media Dựng'!T35:AE35&lt;&gt;"")*(COLUMN('Media Dựng'!T35:AE35)-COLUMN('Media Dựng'!T35)+1)))))</f>
        <v/>
      </c>
      <c r="L631" s="52" t="str">
        <f>IF(AND(G631&lt;&gt;"",G631='Tổng hợp'!$C$4),MAX(L$1:L630)+1,"")</f>
        <v/>
      </c>
    </row>
    <row r="632" ht="15.75" customHeight="1">
      <c r="A632" s="52" t="str">
        <f>IF('Media Dựng'!C36="","","Media Dựng")</f>
        <v/>
      </c>
      <c r="B632" s="52" t="str">
        <f>IF('Media Dựng'!B36="","",'Media Dựng'!B36)</f>
        <v/>
      </c>
      <c r="C632" s="52" t="str">
        <f>IF('Media Dựng'!C36="","",'Media Dựng'!C36)</f>
        <v/>
      </c>
      <c r="D632" s="52" t="str">
        <f>IF('Media Dựng'!D36="","",'Media Dựng'!D36)</f>
        <v/>
      </c>
      <c r="E632" s="52" t="str">
        <f>IF('Media Dựng'!E36="","",'Media Dựng'!E36)</f>
        <v/>
      </c>
      <c r="F632" s="52" t="str">
        <f>IF('Media Dựng'!F36="","",'Media Dựng'!F36)</f>
        <v/>
      </c>
      <c r="G632" s="52" t="str">
        <f>IF('Media Dựng'!G36="","",'Media Dựng'!G36)</f>
        <v/>
      </c>
      <c r="H632" s="52" t="str">
        <f>IF('Media Dựng'!J36="","",'Media Dựng'!J36)</f>
        <v/>
      </c>
      <c r="I632" s="52" t="str">
        <f>IF('Media Dựng'!M36="","",'Media Dựng'!M36)</f>
        <v/>
      </c>
      <c r="J632" s="52" t="str">
        <f>IF('Media Dựng'!R36="","",'Media Dựng'!R36)</f>
        <v/>
      </c>
      <c r="K632" s="52" t="str">
        <f t="array" ref="K632">IF(COUNTA('Media Dựng'!T36:AE36)=0,"",INDEX('Media Dựng'!T36:AE36,1,SUMPRODUCT(MAX(('Media Dựng'!T36:AE36&lt;&gt;"")*(COLUMN('Media Dựng'!T36:AE36)-COLUMN('Media Dựng'!T36)+1)))))</f>
        <v/>
      </c>
      <c r="L632" s="52" t="str">
        <f>IF(AND(G632&lt;&gt;"",G632='Tổng hợp'!$C$4),MAX(L$1:L631)+1,"")</f>
        <v/>
      </c>
    </row>
    <row r="633" ht="15.75" customHeight="1">
      <c r="A633" s="52" t="str">
        <f>IF('Media Dựng'!C37="","","Media Dựng")</f>
        <v/>
      </c>
      <c r="B633" s="52" t="str">
        <f>IF('Media Dựng'!B37="","",'Media Dựng'!B37)</f>
        <v/>
      </c>
      <c r="C633" s="52" t="str">
        <f>IF('Media Dựng'!C37="","",'Media Dựng'!C37)</f>
        <v/>
      </c>
      <c r="D633" s="52" t="str">
        <f>IF('Media Dựng'!D37="","",'Media Dựng'!D37)</f>
        <v/>
      </c>
      <c r="E633" s="52" t="str">
        <f>IF('Media Dựng'!E37="","",'Media Dựng'!E37)</f>
        <v/>
      </c>
      <c r="F633" s="52" t="str">
        <f>IF('Media Dựng'!F37="","",'Media Dựng'!F37)</f>
        <v/>
      </c>
      <c r="G633" s="52" t="str">
        <f>IF('Media Dựng'!G37="","",'Media Dựng'!G37)</f>
        <v/>
      </c>
      <c r="H633" s="52" t="str">
        <f>IF('Media Dựng'!J37="","",'Media Dựng'!J37)</f>
        <v/>
      </c>
      <c r="I633" s="52" t="str">
        <f>IF('Media Dựng'!M37="","",'Media Dựng'!M37)</f>
        <v/>
      </c>
      <c r="J633" s="52" t="str">
        <f>IF('Media Dựng'!R37="","",'Media Dựng'!R37)</f>
        <v/>
      </c>
      <c r="K633" s="52" t="str">
        <f t="array" ref="K633">IF(COUNTA('Media Dựng'!T37:AE37)=0,"",INDEX('Media Dựng'!T37:AE37,1,SUMPRODUCT(MAX(('Media Dựng'!T37:AE37&lt;&gt;"")*(COLUMN('Media Dựng'!T37:AE37)-COLUMN('Media Dựng'!T37)+1)))))</f>
        <v/>
      </c>
      <c r="L633" s="52" t="str">
        <f>IF(AND(G633&lt;&gt;"",G633='Tổng hợp'!$C$4),MAX(L$1:L632)+1,"")</f>
        <v/>
      </c>
    </row>
    <row r="634" ht="15.75" customHeight="1">
      <c r="A634" s="52" t="str">
        <f>IF('Media Dựng'!C38="","","Media Dựng")</f>
        <v/>
      </c>
      <c r="B634" s="52" t="str">
        <f>IF('Media Dựng'!B38="","",'Media Dựng'!B38)</f>
        <v/>
      </c>
      <c r="C634" s="52" t="str">
        <f>IF('Media Dựng'!C38="","",'Media Dựng'!C38)</f>
        <v/>
      </c>
      <c r="D634" s="52" t="str">
        <f>IF('Media Dựng'!D38="","",'Media Dựng'!D38)</f>
        <v/>
      </c>
      <c r="E634" s="52" t="str">
        <f>IF('Media Dựng'!E38="","",'Media Dựng'!E38)</f>
        <v/>
      </c>
      <c r="F634" s="52" t="str">
        <f>IF('Media Dựng'!F38="","",'Media Dựng'!F38)</f>
        <v/>
      </c>
      <c r="G634" s="52" t="str">
        <f>IF('Media Dựng'!G38="","",'Media Dựng'!G38)</f>
        <v/>
      </c>
      <c r="H634" s="52" t="str">
        <f>IF('Media Dựng'!J38="","",'Media Dựng'!J38)</f>
        <v/>
      </c>
      <c r="I634" s="52" t="str">
        <f>IF('Media Dựng'!M38="","",'Media Dựng'!M38)</f>
        <v/>
      </c>
      <c r="J634" s="52" t="str">
        <f>IF('Media Dựng'!R38="","",'Media Dựng'!R38)</f>
        <v/>
      </c>
      <c r="K634" s="52" t="str">
        <f t="array" ref="K634">IF(COUNTA('Media Dựng'!T38:AE38)=0,"",INDEX('Media Dựng'!T38:AE38,1,SUMPRODUCT(MAX(('Media Dựng'!T38:AE38&lt;&gt;"")*(COLUMN('Media Dựng'!T38:AE38)-COLUMN('Media Dựng'!T38)+1)))))</f>
        <v/>
      </c>
      <c r="L634" s="52" t="str">
        <f>IF(AND(G634&lt;&gt;"",G634='Tổng hợp'!$C$4),MAX(L$1:L633)+1,"")</f>
        <v/>
      </c>
    </row>
    <row r="635" ht="15.75" customHeight="1">
      <c r="A635" s="52" t="str">
        <f>IF('Media Dựng'!C39="","","Media Dựng")</f>
        <v/>
      </c>
      <c r="B635" s="52" t="str">
        <f>IF('Media Dựng'!B39="","",'Media Dựng'!B39)</f>
        <v/>
      </c>
      <c r="C635" s="52" t="str">
        <f>IF('Media Dựng'!C39="","",'Media Dựng'!C39)</f>
        <v/>
      </c>
      <c r="D635" s="52" t="str">
        <f>IF('Media Dựng'!D39="","",'Media Dựng'!D39)</f>
        <v/>
      </c>
      <c r="E635" s="52" t="str">
        <f>IF('Media Dựng'!E39="","",'Media Dựng'!E39)</f>
        <v/>
      </c>
      <c r="F635" s="52" t="str">
        <f>IF('Media Dựng'!F39="","",'Media Dựng'!F39)</f>
        <v/>
      </c>
      <c r="G635" s="52" t="str">
        <f>IF('Media Dựng'!G39="","",'Media Dựng'!G39)</f>
        <v/>
      </c>
      <c r="H635" s="52" t="str">
        <f>IF('Media Dựng'!J39="","",'Media Dựng'!J39)</f>
        <v/>
      </c>
      <c r="I635" s="52" t="str">
        <f>IF('Media Dựng'!M39="","",'Media Dựng'!M39)</f>
        <v/>
      </c>
      <c r="J635" s="52" t="str">
        <f>IF('Media Dựng'!R39="","",'Media Dựng'!R39)</f>
        <v/>
      </c>
      <c r="K635" s="52" t="str">
        <f t="array" ref="K635">IF(COUNTA('Media Dựng'!T39:AE39)=0,"",INDEX('Media Dựng'!T39:AE39,1,SUMPRODUCT(MAX(('Media Dựng'!T39:AE39&lt;&gt;"")*(COLUMN('Media Dựng'!T39:AE39)-COLUMN('Media Dựng'!T39)+1)))))</f>
        <v/>
      </c>
      <c r="L635" s="52" t="str">
        <f>IF(AND(G635&lt;&gt;"",G635='Tổng hợp'!$C$4),MAX(L$1:L634)+1,"")</f>
        <v/>
      </c>
    </row>
    <row r="636" ht="15.75" customHeight="1">
      <c r="A636" s="52" t="str">
        <f>IF('Media Dựng'!C40="","","Media Dựng")</f>
        <v/>
      </c>
      <c r="B636" s="52" t="str">
        <f>IF('Media Dựng'!B40="","",'Media Dựng'!B40)</f>
        <v/>
      </c>
      <c r="C636" s="52" t="str">
        <f>IF('Media Dựng'!C40="","",'Media Dựng'!C40)</f>
        <v/>
      </c>
      <c r="D636" s="52" t="str">
        <f>IF('Media Dựng'!D40="","",'Media Dựng'!D40)</f>
        <v/>
      </c>
      <c r="E636" s="52" t="str">
        <f>IF('Media Dựng'!E40="","",'Media Dựng'!E40)</f>
        <v/>
      </c>
      <c r="F636" s="52" t="str">
        <f>IF('Media Dựng'!F40="","",'Media Dựng'!F40)</f>
        <v/>
      </c>
      <c r="G636" s="52" t="str">
        <f>IF('Media Dựng'!G40="","",'Media Dựng'!G40)</f>
        <v/>
      </c>
      <c r="H636" s="52" t="str">
        <f>IF('Media Dựng'!J40="","",'Media Dựng'!J40)</f>
        <v/>
      </c>
      <c r="I636" s="52" t="str">
        <f>IF('Media Dựng'!M40="","",'Media Dựng'!M40)</f>
        <v/>
      </c>
      <c r="J636" s="52" t="str">
        <f>IF('Media Dựng'!R40="","",'Media Dựng'!R40)</f>
        <v/>
      </c>
      <c r="K636" s="52" t="str">
        <f t="array" ref="K636">IF(COUNTA('Media Dựng'!T40:AE40)=0,"",INDEX('Media Dựng'!T40:AE40,1,SUMPRODUCT(MAX(('Media Dựng'!T40:AE40&lt;&gt;"")*(COLUMN('Media Dựng'!T40:AE40)-COLUMN('Media Dựng'!T40)+1)))))</f>
        <v/>
      </c>
      <c r="L636" s="52" t="str">
        <f>IF(AND(G636&lt;&gt;"",G636='Tổng hợp'!$C$4),MAX(L$1:L635)+1,"")</f>
        <v/>
      </c>
    </row>
    <row r="637" ht="15.75" customHeight="1">
      <c r="A637" s="52" t="str">
        <f>IF('Media Dựng'!C41="","","Media Dựng")</f>
        <v/>
      </c>
      <c r="B637" s="52" t="str">
        <f>IF('Media Dựng'!B41="","",'Media Dựng'!B41)</f>
        <v/>
      </c>
      <c r="C637" s="52" t="str">
        <f>IF('Media Dựng'!C41="","",'Media Dựng'!C41)</f>
        <v/>
      </c>
      <c r="D637" s="52" t="str">
        <f>IF('Media Dựng'!D41="","",'Media Dựng'!D41)</f>
        <v/>
      </c>
      <c r="E637" s="52" t="str">
        <f>IF('Media Dựng'!E41="","",'Media Dựng'!E41)</f>
        <v/>
      </c>
      <c r="F637" s="52" t="str">
        <f>IF('Media Dựng'!F41="","",'Media Dựng'!F41)</f>
        <v/>
      </c>
      <c r="G637" s="52" t="str">
        <f>IF('Media Dựng'!G41="","",'Media Dựng'!G41)</f>
        <v/>
      </c>
      <c r="H637" s="52" t="str">
        <f>IF('Media Dựng'!J41="","",'Media Dựng'!J41)</f>
        <v/>
      </c>
      <c r="I637" s="52" t="str">
        <f>IF('Media Dựng'!M41="","",'Media Dựng'!M41)</f>
        <v/>
      </c>
      <c r="J637" s="52" t="str">
        <f>IF('Media Dựng'!R41="","",'Media Dựng'!R41)</f>
        <v/>
      </c>
      <c r="K637" s="52" t="str">
        <f t="array" ref="K637">IF(COUNTA('Media Dựng'!T41:AE41)=0,"",INDEX('Media Dựng'!T41:AE41,1,SUMPRODUCT(MAX(('Media Dựng'!T41:AE41&lt;&gt;"")*(COLUMN('Media Dựng'!T41:AE41)-COLUMN('Media Dựng'!T41)+1)))))</f>
        <v/>
      </c>
      <c r="L637" s="52" t="str">
        <f>IF(AND(G637&lt;&gt;"",G637='Tổng hợp'!$C$4),MAX(L$1:L636)+1,"")</f>
        <v/>
      </c>
    </row>
    <row r="638" ht="15.75" customHeight="1">
      <c r="A638" s="52" t="str">
        <f>IF('Media Dựng'!C42="","","Media Dựng")</f>
        <v/>
      </c>
      <c r="B638" s="52" t="str">
        <f>IF('Media Dựng'!B42="","",'Media Dựng'!B42)</f>
        <v/>
      </c>
      <c r="C638" s="52" t="str">
        <f>IF('Media Dựng'!C42="","",'Media Dựng'!C42)</f>
        <v/>
      </c>
      <c r="D638" s="52" t="str">
        <f>IF('Media Dựng'!D42="","",'Media Dựng'!D42)</f>
        <v/>
      </c>
      <c r="E638" s="52" t="str">
        <f>IF('Media Dựng'!E42="","",'Media Dựng'!E42)</f>
        <v/>
      </c>
      <c r="F638" s="52" t="str">
        <f>IF('Media Dựng'!F42="","",'Media Dựng'!F42)</f>
        <v/>
      </c>
      <c r="G638" s="52" t="str">
        <f>IF('Media Dựng'!G42="","",'Media Dựng'!G42)</f>
        <v/>
      </c>
      <c r="H638" s="52" t="str">
        <f>IF('Media Dựng'!J42="","",'Media Dựng'!J42)</f>
        <v/>
      </c>
      <c r="I638" s="52" t="str">
        <f>IF('Media Dựng'!M42="","",'Media Dựng'!M42)</f>
        <v/>
      </c>
      <c r="J638" s="52" t="str">
        <f>IF('Media Dựng'!R42="","",'Media Dựng'!R42)</f>
        <v/>
      </c>
      <c r="K638" s="52" t="str">
        <f t="array" ref="K638">IF(COUNTA('Media Dựng'!T42:AE42)=0,"",INDEX('Media Dựng'!T42:AE42,1,SUMPRODUCT(MAX(('Media Dựng'!T42:AE42&lt;&gt;"")*(COLUMN('Media Dựng'!T42:AE42)-COLUMN('Media Dựng'!T42)+1)))))</f>
        <v/>
      </c>
      <c r="L638" s="52" t="str">
        <f>IF(AND(G638&lt;&gt;"",G638='Tổng hợp'!$C$4),MAX(L$1:L637)+1,"")</f>
        <v/>
      </c>
    </row>
    <row r="639" ht="15.75" customHeight="1">
      <c r="A639" s="52" t="str">
        <f>IF('Media Dựng'!C43="","","Media Dựng")</f>
        <v/>
      </c>
      <c r="B639" s="52" t="str">
        <f>IF('Media Dựng'!B43="","",'Media Dựng'!B43)</f>
        <v/>
      </c>
      <c r="C639" s="52" t="str">
        <f>IF('Media Dựng'!C43="","",'Media Dựng'!C43)</f>
        <v/>
      </c>
      <c r="D639" s="52" t="str">
        <f>IF('Media Dựng'!D43="","",'Media Dựng'!D43)</f>
        <v/>
      </c>
      <c r="E639" s="52" t="str">
        <f>IF('Media Dựng'!E43="","",'Media Dựng'!E43)</f>
        <v/>
      </c>
      <c r="F639" s="52" t="str">
        <f>IF('Media Dựng'!F43="","",'Media Dựng'!F43)</f>
        <v/>
      </c>
      <c r="G639" s="52" t="str">
        <f>IF('Media Dựng'!G43="","",'Media Dựng'!G43)</f>
        <v/>
      </c>
      <c r="H639" s="52" t="str">
        <f>IF('Media Dựng'!J43="","",'Media Dựng'!J43)</f>
        <v/>
      </c>
      <c r="I639" s="52" t="str">
        <f>IF('Media Dựng'!M43="","",'Media Dựng'!M43)</f>
        <v/>
      </c>
      <c r="J639" s="52" t="str">
        <f>IF('Media Dựng'!R43="","",'Media Dựng'!R43)</f>
        <v/>
      </c>
      <c r="K639" s="52" t="str">
        <f t="array" ref="K639">IF(COUNTA('Media Dựng'!T43:AE43)=0,"",INDEX('Media Dựng'!T43:AE43,1,SUMPRODUCT(MAX(('Media Dựng'!T43:AE43&lt;&gt;"")*(COLUMN('Media Dựng'!T43:AE43)-COLUMN('Media Dựng'!T43)+1)))))</f>
        <v/>
      </c>
      <c r="L639" s="52" t="str">
        <f>IF(AND(G639&lt;&gt;"",G639='Tổng hợp'!$C$4),MAX(L$1:L638)+1,"")</f>
        <v/>
      </c>
    </row>
    <row r="640" ht="15.75" customHeight="1">
      <c r="A640" s="52" t="str">
        <f>IF('Media Dựng'!C44="","","Media Dựng")</f>
        <v/>
      </c>
      <c r="B640" s="52" t="str">
        <f>IF('Media Dựng'!B44="","",'Media Dựng'!B44)</f>
        <v/>
      </c>
      <c r="C640" s="52" t="str">
        <f>IF('Media Dựng'!C44="","",'Media Dựng'!C44)</f>
        <v/>
      </c>
      <c r="D640" s="52" t="str">
        <f>IF('Media Dựng'!D44="","",'Media Dựng'!D44)</f>
        <v/>
      </c>
      <c r="E640" s="52" t="str">
        <f>IF('Media Dựng'!E44="","",'Media Dựng'!E44)</f>
        <v/>
      </c>
      <c r="F640" s="52" t="str">
        <f>IF('Media Dựng'!F44="","",'Media Dựng'!F44)</f>
        <v/>
      </c>
      <c r="G640" s="52" t="str">
        <f>IF('Media Dựng'!G44="","",'Media Dựng'!G44)</f>
        <v/>
      </c>
      <c r="H640" s="52" t="str">
        <f>IF('Media Dựng'!J44="","",'Media Dựng'!J44)</f>
        <v/>
      </c>
      <c r="I640" s="52" t="str">
        <f>IF('Media Dựng'!M44="","",'Media Dựng'!M44)</f>
        <v/>
      </c>
      <c r="J640" s="52" t="str">
        <f>IF('Media Dựng'!R44="","",'Media Dựng'!R44)</f>
        <v/>
      </c>
      <c r="K640" s="52" t="str">
        <f t="array" ref="K640">IF(COUNTA('Media Dựng'!T44:AE44)=0,"",INDEX('Media Dựng'!T44:AE44,1,SUMPRODUCT(MAX(('Media Dựng'!T44:AE44&lt;&gt;"")*(COLUMN('Media Dựng'!T44:AE44)-COLUMN('Media Dựng'!T44)+1)))))</f>
        <v/>
      </c>
      <c r="L640" s="52" t="str">
        <f>IF(AND(G640&lt;&gt;"",G640='Tổng hợp'!$C$4),MAX(L$1:L639)+1,"")</f>
        <v/>
      </c>
    </row>
    <row r="641" ht="15.75" customHeight="1">
      <c r="A641" s="52" t="str">
        <f>IF('Media Dựng'!C45="","","Media Dựng")</f>
        <v/>
      </c>
      <c r="B641" s="52" t="str">
        <f>IF('Media Dựng'!B45="","",'Media Dựng'!B45)</f>
        <v/>
      </c>
      <c r="C641" s="52" t="str">
        <f>IF('Media Dựng'!C45="","",'Media Dựng'!C45)</f>
        <v/>
      </c>
      <c r="D641" s="52" t="str">
        <f>IF('Media Dựng'!D45="","",'Media Dựng'!D45)</f>
        <v/>
      </c>
      <c r="E641" s="52" t="str">
        <f>IF('Media Dựng'!E45="","",'Media Dựng'!E45)</f>
        <v/>
      </c>
      <c r="F641" s="52" t="str">
        <f>IF('Media Dựng'!F45="","",'Media Dựng'!F45)</f>
        <v/>
      </c>
      <c r="G641" s="52" t="str">
        <f>IF('Media Dựng'!G45="","",'Media Dựng'!G45)</f>
        <v/>
      </c>
      <c r="H641" s="52" t="str">
        <f>IF('Media Dựng'!J45="","",'Media Dựng'!J45)</f>
        <v/>
      </c>
      <c r="I641" s="52" t="str">
        <f>IF('Media Dựng'!M45="","",'Media Dựng'!M45)</f>
        <v/>
      </c>
      <c r="J641" s="52" t="str">
        <f>IF('Media Dựng'!R45="","",'Media Dựng'!R45)</f>
        <v/>
      </c>
      <c r="K641" s="52" t="str">
        <f t="array" ref="K641">IF(COUNTA('Media Dựng'!T45:AE45)=0,"",INDEX('Media Dựng'!T45:AE45,1,SUMPRODUCT(MAX(('Media Dựng'!T45:AE45&lt;&gt;"")*(COLUMN('Media Dựng'!T45:AE45)-COLUMN('Media Dựng'!T45)+1)))))</f>
        <v/>
      </c>
      <c r="L641" s="52" t="str">
        <f>IF(AND(G641&lt;&gt;"",G641='Tổng hợp'!$C$4),MAX(L$1:L640)+1,"")</f>
        <v/>
      </c>
    </row>
    <row r="642" ht="15.75" customHeight="1">
      <c r="A642" s="52" t="str">
        <f>IF('Media Dựng'!C46="","","Media Dựng")</f>
        <v/>
      </c>
      <c r="B642" s="52" t="str">
        <f>IF('Media Dựng'!B46="","",'Media Dựng'!B46)</f>
        <v/>
      </c>
      <c r="C642" s="52" t="str">
        <f>IF('Media Dựng'!C46="","",'Media Dựng'!C46)</f>
        <v/>
      </c>
      <c r="D642" s="52" t="str">
        <f>IF('Media Dựng'!D46="","",'Media Dựng'!D46)</f>
        <v/>
      </c>
      <c r="E642" s="52" t="str">
        <f>IF('Media Dựng'!E46="","",'Media Dựng'!E46)</f>
        <v/>
      </c>
      <c r="F642" s="52" t="str">
        <f>IF('Media Dựng'!F46="","",'Media Dựng'!F46)</f>
        <v/>
      </c>
      <c r="G642" s="52" t="str">
        <f>IF('Media Dựng'!G46="","",'Media Dựng'!G46)</f>
        <v/>
      </c>
      <c r="H642" s="52" t="str">
        <f>IF('Media Dựng'!J46="","",'Media Dựng'!J46)</f>
        <v/>
      </c>
      <c r="I642" s="52" t="str">
        <f>IF('Media Dựng'!M46="","",'Media Dựng'!M46)</f>
        <v/>
      </c>
      <c r="J642" s="52" t="str">
        <f>IF('Media Dựng'!R46="","",'Media Dựng'!R46)</f>
        <v/>
      </c>
      <c r="K642" s="52" t="str">
        <f t="array" ref="K642">IF(COUNTA('Media Dựng'!T46:AE46)=0,"",INDEX('Media Dựng'!T46:AE46,1,SUMPRODUCT(MAX(('Media Dựng'!T46:AE46&lt;&gt;"")*(COLUMN('Media Dựng'!T46:AE46)-COLUMN('Media Dựng'!T46)+1)))))</f>
        <v/>
      </c>
      <c r="L642" s="52" t="str">
        <f>IF(AND(G642&lt;&gt;"",G642='Tổng hợp'!$C$4),MAX(L$1:L641)+1,"")</f>
        <v/>
      </c>
    </row>
    <row r="643" ht="15.75" customHeight="1">
      <c r="A643" s="52" t="str">
        <f>IF('Media Dựng'!C47="","","Media Dựng")</f>
        <v/>
      </c>
      <c r="B643" s="52" t="str">
        <f>IF('Media Dựng'!B47="","",'Media Dựng'!B47)</f>
        <v/>
      </c>
      <c r="C643" s="52" t="str">
        <f>IF('Media Dựng'!C47="","",'Media Dựng'!C47)</f>
        <v/>
      </c>
      <c r="D643" s="52" t="str">
        <f>IF('Media Dựng'!D47="","",'Media Dựng'!D47)</f>
        <v/>
      </c>
      <c r="E643" s="52" t="str">
        <f>IF('Media Dựng'!E47="","",'Media Dựng'!E47)</f>
        <v/>
      </c>
      <c r="F643" s="52" t="str">
        <f>IF('Media Dựng'!F47="","",'Media Dựng'!F47)</f>
        <v/>
      </c>
      <c r="G643" s="52" t="str">
        <f>IF('Media Dựng'!G47="","",'Media Dựng'!G47)</f>
        <v/>
      </c>
      <c r="H643" s="52" t="str">
        <f>IF('Media Dựng'!J47="","",'Media Dựng'!J47)</f>
        <v/>
      </c>
      <c r="I643" s="52" t="str">
        <f>IF('Media Dựng'!M47="","",'Media Dựng'!M47)</f>
        <v/>
      </c>
      <c r="J643" s="52" t="str">
        <f>IF('Media Dựng'!R47="","",'Media Dựng'!R47)</f>
        <v/>
      </c>
      <c r="K643" s="52" t="str">
        <f t="array" ref="K643">IF(COUNTA('Media Dựng'!T47:AE47)=0,"",INDEX('Media Dựng'!T47:AE47,1,SUMPRODUCT(MAX(('Media Dựng'!T47:AE47&lt;&gt;"")*(COLUMN('Media Dựng'!T47:AE47)-COLUMN('Media Dựng'!T47)+1)))))</f>
        <v/>
      </c>
      <c r="L643" s="52" t="str">
        <f>IF(AND(G643&lt;&gt;"",G643='Tổng hợp'!$C$4),MAX(L$1:L642)+1,"")</f>
        <v/>
      </c>
    </row>
    <row r="644" ht="15.75" customHeight="1">
      <c r="A644" s="52" t="str">
        <f>IF('Media Dựng'!C48="","","Media Dựng")</f>
        <v/>
      </c>
      <c r="B644" s="52" t="str">
        <f>IF('Media Dựng'!B48="","",'Media Dựng'!B48)</f>
        <v/>
      </c>
      <c r="C644" s="52" t="str">
        <f>IF('Media Dựng'!C48="","",'Media Dựng'!C48)</f>
        <v/>
      </c>
      <c r="D644" s="52" t="str">
        <f>IF('Media Dựng'!D48="","",'Media Dựng'!D48)</f>
        <v/>
      </c>
      <c r="E644" s="52" t="str">
        <f>IF('Media Dựng'!E48="","",'Media Dựng'!E48)</f>
        <v/>
      </c>
      <c r="F644" s="52" t="str">
        <f>IF('Media Dựng'!F48="","",'Media Dựng'!F48)</f>
        <v/>
      </c>
      <c r="G644" s="52" t="str">
        <f>IF('Media Dựng'!G48="","",'Media Dựng'!G48)</f>
        <v/>
      </c>
      <c r="H644" s="52" t="str">
        <f>IF('Media Dựng'!J48="","",'Media Dựng'!J48)</f>
        <v/>
      </c>
      <c r="I644" s="52" t="str">
        <f>IF('Media Dựng'!M48="","",'Media Dựng'!M48)</f>
        <v/>
      </c>
      <c r="J644" s="52" t="str">
        <f>IF('Media Dựng'!R48="","",'Media Dựng'!R48)</f>
        <v/>
      </c>
      <c r="K644" s="52" t="str">
        <f t="array" ref="K644">IF(COUNTA('Media Dựng'!T48:AE48)=0,"",INDEX('Media Dựng'!T48:AE48,1,SUMPRODUCT(MAX(('Media Dựng'!T48:AE48&lt;&gt;"")*(COLUMN('Media Dựng'!T48:AE48)-COLUMN('Media Dựng'!T48)+1)))))</f>
        <v/>
      </c>
      <c r="L644" s="52" t="str">
        <f>IF(AND(G644&lt;&gt;"",G644='Tổng hợp'!$C$4),MAX(L$1:L643)+1,"")</f>
        <v/>
      </c>
    </row>
    <row r="645" ht="15.75" customHeight="1">
      <c r="A645" s="52" t="str">
        <f>IF('Media Dựng'!C49="","","Media Dựng")</f>
        <v/>
      </c>
      <c r="B645" s="52" t="str">
        <f>IF('Media Dựng'!B49="","",'Media Dựng'!B49)</f>
        <v/>
      </c>
      <c r="C645" s="52" t="str">
        <f>IF('Media Dựng'!C49="","",'Media Dựng'!C49)</f>
        <v/>
      </c>
      <c r="D645" s="52" t="str">
        <f>IF('Media Dựng'!D49="","",'Media Dựng'!D49)</f>
        <v/>
      </c>
      <c r="E645" s="52" t="str">
        <f>IF('Media Dựng'!E49="","",'Media Dựng'!E49)</f>
        <v/>
      </c>
      <c r="F645" s="52" t="str">
        <f>IF('Media Dựng'!F49="","",'Media Dựng'!F49)</f>
        <v/>
      </c>
      <c r="G645" s="52" t="str">
        <f>IF('Media Dựng'!G49="","",'Media Dựng'!G49)</f>
        <v/>
      </c>
      <c r="H645" s="52" t="str">
        <f>IF('Media Dựng'!J49="","",'Media Dựng'!J49)</f>
        <v/>
      </c>
      <c r="I645" s="52" t="str">
        <f>IF('Media Dựng'!M49="","",'Media Dựng'!M49)</f>
        <v/>
      </c>
      <c r="J645" s="52" t="str">
        <f>IF('Media Dựng'!R49="","",'Media Dựng'!R49)</f>
        <v/>
      </c>
      <c r="K645" s="52" t="str">
        <f t="array" ref="K645">IF(COUNTA('Media Dựng'!T49:AE49)=0,"",INDEX('Media Dựng'!T49:AE49,1,SUMPRODUCT(MAX(('Media Dựng'!T49:AE49&lt;&gt;"")*(COLUMN('Media Dựng'!T49:AE49)-COLUMN('Media Dựng'!T49)+1)))))</f>
        <v/>
      </c>
      <c r="L645" s="52" t="str">
        <f>IF(AND(G645&lt;&gt;"",G645='Tổng hợp'!$C$4),MAX(L$1:L644)+1,"")</f>
        <v/>
      </c>
    </row>
    <row r="646" ht="15.75" customHeight="1">
      <c r="A646" s="52" t="str">
        <f>IF('Media Dựng'!C50="","","Media Dựng")</f>
        <v/>
      </c>
      <c r="B646" s="52" t="str">
        <f>IF('Media Dựng'!B50="","",'Media Dựng'!B50)</f>
        <v/>
      </c>
      <c r="C646" s="52" t="str">
        <f>IF('Media Dựng'!C50="","",'Media Dựng'!C50)</f>
        <v/>
      </c>
      <c r="D646" s="52" t="str">
        <f>IF('Media Dựng'!D50="","",'Media Dựng'!D50)</f>
        <v/>
      </c>
      <c r="E646" s="52" t="str">
        <f>IF('Media Dựng'!E50="","",'Media Dựng'!E50)</f>
        <v/>
      </c>
      <c r="F646" s="52" t="str">
        <f>IF('Media Dựng'!F50="","",'Media Dựng'!F50)</f>
        <v/>
      </c>
      <c r="G646" s="52" t="str">
        <f>IF('Media Dựng'!G50="","",'Media Dựng'!G50)</f>
        <v/>
      </c>
      <c r="H646" s="52" t="str">
        <f>IF('Media Dựng'!J50="","",'Media Dựng'!J50)</f>
        <v/>
      </c>
      <c r="I646" s="52" t="str">
        <f>IF('Media Dựng'!M50="","",'Media Dựng'!M50)</f>
        <v/>
      </c>
      <c r="J646" s="52" t="str">
        <f>IF('Media Dựng'!R50="","",'Media Dựng'!R50)</f>
        <v/>
      </c>
      <c r="K646" s="52" t="str">
        <f t="array" ref="K646">IF(COUNTA('Media Dựng'!T50:AE50)=0,"",INDEX('Media Dựng'!T50:AE50,1,SUMPRODUCT(MAX(('Media Dựng'!T50:AE50&lt;&gt;"")*(COLUMN('Media Dựng'!T50:AE50)-COLUMN('Media Dựng'!T50)+1)))))</f>
        <v/>
      </c>
      <c r="L646" s="52" t="str">
        <f>IF(AND(G646&lt;&gt;"",G646='Tổng hợp'!$C$4),MAX(L$1:L645)+1,"")</f>
        <v/>
      </c>
    </row>
    <row r="647" ht="15.75" customHeight="1">
      <c r="A647" s="52" t="str">
        <f>IF('Media Dựng'!C51="","","Media Dựng")</f>
        <v/>
      </c>
      <c r="B647" s="52" t="str">
        <f>IF('Media Dựng'!B51="","",'Media Dựng'!B51)</f>
        <v/>
      </c>
      <c r="C647" s="52" t="str">
        <f>IF('Media Dựng'!C51="","",'Media Dựng'!C51)</f>
        <v/>
      </c>
      <c r="D647" s="52" t="str">
        <f>IF('Media Dựng'!D51="","",'Media Dựng'!D51)</f>
        <v/>
      </c>
      <c r="E647" s="52" t="str">
        <f>IF('Media Dựng'!E51="","",'Media Dựng'!E51)</f>
        <v/>
      </c>
      <c r="F647" s="52" t="str">
        <f>IF('Media Dựng'!F51="","",'Media Dựng'!F51)</f>
        <v/>
      </c>
      <c r="G647" s="52" t="str">
        <f>IF('Media Dựng'!G51="","",'Media Dựng'!G51)</f>
        <v/>
      </c>
      <c r="H647" s="52" t="str">
        <f>IF('Media Dựng'!J51="","",'Media Dựng'!J51)</f>
        <v/>
      </c>
      <c r="I647" s="52" t="str">
        <f>IF('Media Dựng'!M51="","",'Media Dựng'!M51)</f>
        <v/>
      </c>
      <c r="J647" s="52" t="str">
        <f>IF('Media Dựng'!R51="","",'Media Dựng'!R51)</f>
        <v/>
      </c>
      <c r="K647" s="52" t="str">
        <f t="array" ref="K647">IF(COUNTA('Media Dựng'!T51:AE51)=0,"",INDEX('Media Dựng'!T51:AE51,1,SUMPRODUCT(MAX(('Media Dựng'!T51:AE51&lt;&gt;"")*(COLUMN('Media Dựng'!T51:AE51)-COLUMN('Media Dựng'!T51)+1)))))</f>
        <v/>
      </c>
      <c r="L647" s="52" t="str">
        <f>IF(AND(G647&lt;&gt;"",G647='Tổng hợp'!$C$4),MAX(L$1:L646)+1,"")</f>
        <v/>
      </c>
    </row>
    <row r="648" ht="15.75" customHeight="1">
      <c r="A648" s="52" t="str">
        <f>IF('Media Dựng'!C52="","","Media Dựng")</f>
        <v/>
      </c>
      <c r="B648" s="52" t="str">
        <f>IF('Media Dựng'!B52="","",'Media Dựng'!B52)</f>
        <v/>
      </c>
      <c r="C648" s="52" t="str">
        <f>IF('Media Dựng'!C52="","",'Media Dựng'!C52)</f>
        <v/>
      </c>
      <c r="D648" s="52" t="str">
        <f>IF('Media Dựng'!D52="","",'Media Dựng'!D52)</f>
        <v/>
      </c>
      <c r="E648" s="52" t="str">
        <f>IF('Media Dựng'!E52="","",'Media Dựng'!E52)</f>
        <v/>
      </c>
      <c r="F648" s="52" t="str">
        <f>IF('Media Dựng'!F52="","",'Media Dựng'!F52)</f>
        <v/>
      </c>
      <c r="G648" s="52" t="str">
        <f>IF('Media Dựng'!G52="","",'Media Dựng'!G52)</f>
        <v/>
      </c>
      <c r="H648" s="52" t="str">
        <f>IF('Media Dựng'!J52="","",'Media Dựng'!J52)</f>
        <v/>
      </c>
      <c r="I648" s="52" t="str">
        <f>IF('Media Dựng'!M52="","",'Media Dựng'!M52)</f>
        <v/>
      </c>
      <c r="J648" s="52" t="str">
        <f>IF('Media Dựng'!R52="","",'Media Dựng'!R52)</f>
        <v/>
      </c>
      <c r="K648" s="52" t="str">
        <f t="array" ref="K648">IF(COUNTA('Media Dựng'!T52:AE52)=0,"",INDEX('Media Dựng'!T52:AE52,1,SUMPRODUCT(MAX(('Media Dựng'!T52:AE52&lt;&gt;"")*(COLUMN('Media Dựng'!T52:AE52)-COLUMN('Media Dựng'!T52)+1)))))</f>
        <v/>
      </c>
      <c r="L648" s="52" t="str">
        <f>IF(AND(G648&lt;&gt;"",G648='Tổng hợp'!$C$4),MAX(L$1:L647)+1,"")</f>
        <v/>
      </c>
    </row>
    <row r="649" ht="15.75" customHeight="1">
      <c r="A649" s="52" t="str">
        <f>IF('Media Dựng'!C53="","","Media Dựng")</f>
        <v/>
      </c>
      <c r="B649" s="52" t="str">
        <f>IF('Media Dựng'!B53="","",'Media Dựng'!B53)</f>
        <v/>
      </c>
      <c r="C649" s="52" t="str">
        <f>IF('Media Dựng'!C53="","",'Media Dựng'!C53)</f>
        <v/>
      </c>
      <c r="D649" s="52" t="str">
        <f>IF('Media Dựng'!D53="","",'Media Dựng'!D53)</f>
        <v/>
      </c>
      <c r="E649" s="52" t="str">
        <f>IF('Media Dựng'!E53="","",'Media Dựng'!E53)</f>
        <v/>
      </c>
      <c r="F649" s="52" t="str">
        <f>IF('Media Dựng'!F53="","",'Media Dựng'!F53)</f>
        <v/>
      </c>
      <c r="G649" s="52" t="str">
        <f>IF('Media Dựng'!G53="","",'Media Dựng'!G53)</f>
        <v/>
      </c>
      <c r="H649" s="52" t="str">
        <f>IF('Media Dựng'!J53="","",'Media Dựng'!J53)</f>
        <v/>
      </c>
      <c r="I649" s="52" t="str">
        <f>IF('Media Dựng'!M53="","",'Media Dựng'!M53)</f>
        <v/>
      </c>
      <c r="J649" s="52" t="str">
        <f>IF('Media Dựng'!R53="","",'Media Dựng'!R53)</f>
        <v/>
      </c>
      <c r="K649" s="52" t="str">
        <f t="array" ref="K649">IF(COUNTA('Media Dựng'!T53:AE53)=0,"",INDEX('Media Dựng'!T53:AE53,1,SUMPRODUCT(MAX(('Media Dựng'!T53:AE53&lt;&gt;"")*(COLUMN('Media Dựng'!T53:AE53)-COLUMN('Media Dựng'!T53)+1)))))</f>
        <v/>
      </c>
      <c r="L649" s="52" t="str">
        <f>IF(AND(G649&lt;&gt;"",G649='Tổng hợp'!$C$4),MAX(L$1:L648)+1,"")</f>
        <v/>
      </c>
    </row>
    <row r="650" ht="15.75" customHeight="1">
      <c r="A650" s="52" t="str">
        <f>IF('Media Dựng'!C54="","","Media Dựng")</f>
        <v/>
      </c>
      <c r="B650" s="52" t="str">
        <f>IF('Media Dựng'!B54="","",'Media Dựng'!B54)</f>
        <v/>
      </c>
      <c r="C650" s="52" t="str">
        <f>IF('Media Dựng'!C54="","",'Media Dựng'!C54)</f>
        <v/>
      </c>
      <c r="D650" s="52" t="str">
        <f>IF('Media Dựng'!D54="","",'Media Dựng'!D54)</f>
        <v/>
      </c>
      <c r="E650" s="52" t="str">
        <f>IF('Media Dựng'!E54="","",'Media Dựng'!E54)</f>
        <v/>
      </c>
      <c r="F650" s="52" t="str">
        <f>IF('Media Dựng'!F54="","",'Media Dựng'!F54)</f>
        <v/>
      </c>
      <c r="G650" s="52" t="str">
        <f>IF('Media Dựng'!G54="","",'Media Dựng'!G54)</f>
        <v/>
      </c>
      <c r="H650" s="52" t="str">
        <f>IF('Media Dựng'!J54="","",'Media Dựng'!J54)</f>
        <v/>
      </c>
      <c r="I650" s="52" t="str">
        <f>IF('Media Dựng'!M54="","",'Media Dựng'!M54)</f>
        <v/>
      </c>
      <c r="J650" s="52" t="str">
        <f>IF('Media Dựng'!R54="","",'Media Dựng'!R54)</f>
        <v/>
      </c>
      <c r="K650" s="52" t="str">
        <f t="array" ref="K650">IF(COUNTA('Media Dựng'!T54:AE54)=0,"",INDEX('Media Dựng'!T54:AE54,1,SUMPRODUCT(MAX(('Media Dựng'!T54:AE54&lt;&gt;"")*(COLUMN('Media Dựng'!T54:AE54)-COLUMN('Media Dựng'!T54)+1)))))</f>
        <v/>
      </c>
      <c r="L650" s="52" t="str">
        <f>IF(AND(G650&lt;&gt;"",G650='Tổng hợp'!$C$4),MAX(L$1:L649)+1,"")</f>
        <v/>
      </c>
    </row>
    <row r="651" ht="15.75" customHeight="1">
      <c r="A651" s="52" t="str">
        <f>IF('Media Dựng'!C55="","","Media Dựng")</f>
        <v/>
      </c>
      <c r="B651" s="52" t="str">
        <f>IF('Media Dựng'!B55="","",'Media Dựng'!B55)</f>
        <v/>
      </c>
      <c r="C651" s="52" t="str">
        <f>IF('Media Dựng'!C55="","",'Media Dựng'!C55)</f>
        <v/>
      </c>
      <c r="D651" s="52" t="str">
        <f>IF('Media Dựng'!D55="","",'Media Dựng'!D55)</f>
        <v/>
      </c>
      <c r="E651" s="52" t="str">
        <f>IF('Media Dựng'!E55="","",'Media Dựng'!E55)</f>
        <v/>
      </c>
      <c r="F651" s="52" t="str">
        <f>IF('Media Dựng'!F55="","",'Media Dựng'!F55)</f>
        <v/>
      </c>
      <c r="G651" s="52" t="str">
        <f>IF('Media Dựng'!G55="","",'Media Dựng'!G55)</f>
        <v/>
      </c>
      <c r="H651" s="52" t="str">
        <f>IF('Media Dựng'!J55="","",'Media Dựng'!J55)</f>
        <v/>
      </c>
      <c r="I651" s="52" t="str">
        <f>IF('Media Dựng'!M55="","",'Media Dựng'!M55)</f>
        <v/>
      </c>
      <c r="J651" s="52" t="str">
        <f>IF('Media Dựng'!R55="","",'Media Dựng'!R55)</f>
        <v/>
      </c>
      <c r="K651" s="52" t="str">
        <f t="array" ref="K651">IF(COUNTA('Media Dựng'!T55:AE55)=0,"",INDEX('Media Dựng'!T55:AE55,1,SUMPRODUCT(MAX(('Media Dựng'!T55:AE55&lt;&gt;"")*(COLUMN('Media Dựng'!T55:AE55)-COLUMN('Media Dựng'!T55)+1)))))</f>
        <v/>
      </c>
      <c r="L651" s="52" t="str">
        <f>IF(AND(G651&lt;&gt;"",G651='Tổng hợp'!$C$4),MAX(L$1:L650)+1,"")</f>
        <v/>
      </c>
    </row>
    <row r="652" ht="15.75" customHeight="1">
      <c r="A652" s="52" t="str">
        <f>IF('Media Dựng'!C56="","","Media Dựng")</f>
        <v/>
      </c>
      <c r="B652" s="52" t="str">
        <f>IF('Media Dựng'!B56="","",'Media Dựng'!B56)</f>
        <v/>
      </c>
      <c r="C652" s="52" t="str">
        <f>IF('Media Dựng'!C56="","",'Media Dựng'!C56)</f>
        <v/>
      </c>
      <c r="D652" s="52" t="str">
        <f>IF('Media Dựng'!D56="","",'Media Dựng'!D56)</f>
        <v/>
      </c>
      <c r="E652" s="52" t="str">
        <f>IF('Media Dựng'!E56="","",'Media Dựng'!E56)</f>
        <v/>
      </c>
      <c r="F652" s="52" t="str">
        <f>IF('Media Dựng'!F56="","",'Media Dựng'!F56)</f>
        <v/>
      </c>
      <c r="G652" s="52" t="str">
        <f>IF('Media Dựng'!G56="","",'Media Dựng'!G56)</f>
        <v/>
      </c>
      <c r="H652" s="52" t="str">
        <f>IF('Media Dựng'!J56="","",'Media Dựng'!J56)</f>
        <v/>
      </c>
      <c r="I652" s="52" t="str">
        <f>IF('Media Dựng'!M56="","",'Media Dựng'!M56)</f>
        <v/>
      </c>
      <c r="J652" s="52" t="str">
        <f>IF('Media Dựng'!R56="","",'Media Dựng'!R56)</f>
        <v/>
      </c>
      <c r="K652" s="52" t="str">
        <f t="array" ref="K652">IF(COUNTA('Media Dựng'!T56:AE56)=0,"",INDEX('Media Dựng'!T56:AE56,1,SUMPRODUCT(MAX(('Media Dựng'!T56:AE56&lt;&gt;"")*(COLUMN('Media Dựng'!T56:AE56)-COLUMN('Media Dựng'!T56)+1)))))</f>
        <v/>
      </c>
      <c r="L652" s="52" t="str">
        <f>IF(AND(G652&lt;&gt;"",G652='Tổng hợp'!$C$4),MAX(L$1:L651)+1,"")</f>
        <v/>
      </c>
    </row>
    <row r="653" ht="15.75" customHeight="1">
      <c r="A653" s="52" t="str">
        <f>IF('Media Dựng'!C57="","","Media Dựng")</f>
        <v/>
      </c>
      <c r="B653" s="52" t="str">
        <f>IF('Media Dựng'!B57="","",'Media Dựng'!B57)</f>
        <v/>
      </c>
      <c r="C653" s="52" t="str">
        <f>IF('Media Dựng'!C57="","",'Media Dựng'!C57)</f>
        <v/>
      </c>
      <c r="D653" s="52" t="str">
        <f>IF('Media Dựng'!D57="","",'Media Dựng'!D57)</f>
        <v/>
      </c>
      <c r="E653" s="52" t="str">
        <f>IF('Media Dựng'!E57="","",'Media Dựng'!E57)</f>
        <v/>
      </c>
      <c r="F653" s="52" t="str">
        <f>IF('Media Dựng'!F57="","",'Media Dựng'!F57)</f>
        <v/>
      </c>
      <c r="G653" s="52" t="str">
        <f>IF('Media Dựng'!G57="","",'Media Dựng'!G57)</f>
        <v/>
      </c>
      <c r="H653" s="52" t="str">
        <f>IF('Media Dựng'!J57="","",'Media Dựng'!J57)</f>
        <v/>
      </c>
      <c r="I653" s="52" t="str">
        <f>IF('Media Dựng'!M57="","",'Media Dựng'!M57)</f>
        <v/>
      </c>
      <c r="J653" s="52" t="str">
        <f>IF('Media Dựng'!R57="","",'Media Dựng'!R57)</f>
        <v/>
      </c>
      <c r="K653" s="52" t="str">
        <f t="array" ref="K653">IF(COUNTA('Media Dựng'!T57:AE57)=0,"",INDEX('Media Dựng'!T57:AE57,1,SUMPRODUCT(MAX(('Media Dựng'!T57:AE57&lt;&gt;"")*(COLUMN('Media Dựng'!T57:AE57)-COLUMN('Media Dựng'!T57)+1)))))</f>
        <v/>
      </c>
      <c r="L653" s="52" t="str">
        <f>IF(AND(G653&lt;&gt;"",G653='Tổng hợp'!$C$4),MAX(L$1:L652)+1,"")</f>
        <v/>
      </c>
    </row>
    <row r="654" ht="15.75" customHeight="1">
      <c r="A654" s="52" t="str">
        <f>IF('Media Dựng'!C58="","","Media Dựng")</f>
        <v/>
      </c>
      <c r="B654" s="52" t="str">
        <f>IF('Media Dựng'!B58="","",'Media Dựng'!B58)</f>
        <v/>
      </c>
      <c r="C654" s="52" t="str">
        <f>IF('Media Dựng'!C58="","",'Media Dựng'!C58)</f>
        <v/>
      </c>
      <c r="D654" s="52" t="str">
        <f>IF('Media Dựng'!D58="","",'Media Dựng'!D58)</f>
        <v/>
      </c>
      <c r="E654" s="52" t="str">
        <f>IF('Media Dựng'!E58="","",'Media Dựng'!E58)</f>
        <v/>
      </c>
      <c r="F654" s="52" t="str">
        <f>IF('Media Dựng'!F58="","",'Media Dựng'!F58)</f>
        <v/>
      </c>
      <c r="G654" s="52" t="str">
        <f>IF('Media Dựng'!G58="","",'Media Dựng'!G58)</f>
        <v/>
      </c>
      <c r="H654" s="52" t="str">
        <f>IF('Media Dựng'!J58="","",'Media Dựng'!J58)</f>
        <v/>
      </c>
      <c r="I654" s="52" t="str">
        <f>IF('Media Dựng'!M58="","",'Media Dựng'!M58)</f>
        <v/>
      </c>
      <c r="J654" s="52" t="str">
        <f>IF('Media Dựng'!R58="","",'Media Dựng'!R58)</f>
        <v/>
      </c>
      <c r="K654" s="52" t="str">
        <f t="array" ref="K654">IF(COUNTA('Media Dựng'!T58:AE58)=0,"",INDEX('Media Dựng'!T58:AE58,1,SUMPRODUCT(MAX(('Media Dựng'!T58:AE58&lt;&gt;"")*(COLUMN('Media Dựng'!T58:AE58)-COLUMN('Media Dựng'!T58)+1)))))</f>
        <v/>
      </c>
      <c r="L654" s="52" t="str">
        <f>IF(AND(G654&lt;&gt;"",G654='Tổng hợp'!$C$4),MAX(L$1:L653)+1,"")</f>
        <v/>
      </c>
    </row>
    <row r="655" ht="15.75" customHeight="1">
      <c r="A655" s="52" t="str">
        <f>IF('Media Dựng'!C59="","","Media Dựng")</f>
        <v/>
      </c>
      <c r="B655" s="52" t="str">
        <f>IF('Media Dựng'!B59="","",'Media Dựng'!B59)</f>
        <v/>
      </c>
      <c r="C655" s="52" t="str">
        <f>IF('Media Dựng'!C59="","",'Media Dựng'!C59)</f>
        <v/>
      </c>
      <c r="D655" s="52" t="str">
        <f>IF('Media Dựng'!D59="","",'Media Dựng'!D59)</f>
        <v/>
      </c>
      <c r="E655" s="52" t="str">
        <f>IF('Media Dựng'!E59="","",'Media Dựng'!E59)</f>
        <v/>
      </c>
      <c r="F655" s="52" t="str">
        <f>IF('Media Dựng'!F59="","",'Media Dựng'!F59)</f>
        <v/>
      </c>
      <c r="G655" s="52" t="str">
        <f>IF('Media Dựng'!G59="","",'Media Dựng'!G59)</f>
        <v/>
      </c>
      <c r="H655" s="52" t="str">
        <f>IF('Media Dựng'!J59="","",'Media Dựng'!J59)</f>
        <v/>
      </c>
      <c r="I655" s="52" t="str">
        <f>IF('Media Dựng'!M59="","",'Media Dựng'!M59)</f>
        <v/>
      </c>
      <c r="J655" s="52" t="str">
        <f>IF('Media Dựng'!R59="","",'Media Dựng'!R59)</f>
        <v/>
      </c>
      <c r="K655" s="52" t="str">
        <f t="array" ref="K655">IF(COUNTA('Media Dựng'!T59:AE59)=0,"",INDEX('Media Dựng'!T59:AE59,1,SUMPRODUCT(MAX(('Media Dựng'!T59:AE59&lt;&gt;"")*(COLUMN('Media Dựng'!T59:AE59)-COLUMN('Media Dựng'!T59)+1)))))</f>
        <v/>
      </c>
      <c r="L655" s="52" t="str">
        <f>IF(AND(G655&lt;&gt;"",G655='Tổng hợp'!$C$4),MAX(L$1:L654)+1,"")</f>
        <v/>
      </c>
    </row>
    <row r="656" ht="15.75" customHeight="1">
      <c r="A656" s="52" t="str">
        <f>IF('Media Dựng'!C60="","","Media Dựng")</f>
        <v/>
      </c>
      <c r="B656" s="52" t="str">
        <f>IF('Media Dựng'!B60="","",'Media Dựng'!B60)</f>
        <v/>
      </c>
      <c r="C656" s="52" t="str">
        <f>IF('Media Dựng'!C60="","",'Media Dựng'!C60)</f>
        <v/>
      </c>
      <c r="D656" s="52" t="str">
        <f>IF('Media Dựng'!D60="","",'Media Dựng'!D60)</f>
        <v/>
      </c>
      <c r="E656" s="52" t="str">
        <f>IF('Media Dựng'!E60="","",'Media Dựng'!E60)</f>
        <v/>
      </c>
      <c r="F656" s="52" t="str">
        <f>IF('Media Dựng'!F60="","",'Media Dựng'!F60)</f>
        <v/>
      </c>
      <c r="G656" s="52" t="str">
        <f>IF('Media Dựng'!G60="","",'Media Dựng'!G60)</f>
        <v/>
      </c>
      <c r="H656" s="52" t="str">
        <f>IF('Media Dựng'!J60="","",'Media Dựng'!J60)</f>
        <v/>
      </c>
      <c r="I656" s="52" t="str">
        <f>IF('Media Dựng'!M60="","",'Media Dựng'!M60)</f>
        <v/>
      </c>
      <c r="J656" s="52" t="str">
        <f>IF('Media Dựng'!R60="","",'Media Dựng'!R60)</f>
        <v/>
      </c>
      <c r="K656" s="52" t="str">
        <f t="array" ref="K656">IF(COUNTA('Media Dựng'!T60:AE60)=0,"",INDEX('Media Dựng'!T60:AE60,1,SUMPRODUCT(MAX(('Media Dựng'!T60:AE60&lt;&gt;"")*(COLUMN('Media Dựng'!T60:AE60)-COLUMN('Media Dựng'!T60)+1)))))</f>
        <v/>
      </c>
      <c r="L656" s="52" t="str">
        <f>IF(AND(G656&lt;&gt;"",G656='Tổng hợp'!$C$4),MAX(L$1:L655)+1,"")</f>
        <v/>
      </c>
    </row>
    <row r="657" ht="15.75" customHeight="1">
      <c r="A657" s="52" t="str">
        <f>IF('Media Dựng'!C61="","","Media Dựng")</f>
        <v/>
      </c>
      <c r="B657" s="52" t="str">
        <f>IF('Media Dựng'!B61="","",'Media Dựng'!B61)</f>
        <v/>
      </c>
      <c r="C657" s="52" t="str">
        <f>IF('Media Dựng'!C61="","",'Media Dựng'!C61)</f>
        <v/>
      </c>
      <c r="D657" s="52" t="str">
        <f>IF('Media Dựng'!D61="","",'Media Dựng'!D61)</f>
        <v/>
      </c>
      <c r="E657" s="52" t="str">
        <f>IF('Media Dựng'!E61="","",'Media Dựng'!E61)</f>
        <v/>
      </c>
      <c r="F657" s="52" t="str">
        <f>IF('Media Dựng'!F61="","",'Media Dựng'!F61)</f>
        <v/>
      </c>
      <c r="G657" s="52" t="str">
        <f>IF('Media Dựng'!G61="","",'Media Dựng'!G61)</f>
        <v/>
      </c>
      <c r="H657" s="52" t="str">
        <f>IF('Media Dựng'!J61="","",'Media Dựng'!J61)</f>
        <v/>
      </c>
      <c r="I657" s="52" t="str">
        <f>IF('Media Dựng'!M61="","",'Media Dựng'!M61)</f>
        <v/>
      </c>
      <c r="J657" s="52" t="str">
        <f>IF('Media Dựng'!R61="","",'Media Dựng'!R61)</f>
        <v/>
      </c>
      <c r="K657" s="52" t="str">
        <f t="array" ref="K657">IF(COUNTA('Media Dựng'!T61:AE61)=0,"",INDEX('Media Dựng'!T61:AE61,1,SUMPRODUCT(MAX(('Media Dựng'!T61:AE61&lt;&gt;"")*(COLUMN('Media Dựng'!T61:AE61)-COLUMN('Media Dựng'!T61)+1)))))</f>
        <v/>
      </c>
      <c r="L657" s="52" t="str">
        <f>IF(AND(G657&lt;&gt;"",G657='Tổng hợp'!$C$4),MAX(L$1:L656)+1,"")</f>
        <v/>
      </c>
    </row>
    <row r="658" ht="15.75" customHeight="1">
      <c r="A658" s="52" t="str">
        <f>IF('Media Dựng'!C62="","","Media Dựng")</f>
        <v/>
      </c>
      <c r="B658" s="52" t="str">
        <f>IF('Media Dựng'!B62="","",'Media Dựng'!B62)</f>
        <v/>
      </c>
      <c r="C658" s="52" t="str">
        <f>IF('Media Dựng'!C62="","",'Media Dựng'!C62)</f>
        <v/>
      </c>
      <c r="D658" s="52" t="str">
        <f>IF('Media Dựng'!D62="","",'Media Dựng'!D62)</f>
        <v/>
      </c>
      <c r="E658" s="52" t="str">
        <f>IF('Media Dựng'!E62="","",'Media Dựng'!E62)</f>
        <v/>
      </c>
      <c r="F658" s="52" t="str">
        <f>IF('Media Dựng'!F62="","",'Media Dựng'!F62)</f>
        <v/>
      </c>
      <c r="G658" s="52" t="str">
        <f>IF('Media Dựng'!G62="","",'Media Dựng'!G62)</f>
        <v/>
      </c>
      <c r="H658" s="52" t="str">
        <f>IF('Media Dựng'!J62="","",'Media Dựng'!J62)</f>
        <v/>
      </c>
      <c r="I658" s="52" t="str">
        <f>IF('Media Dựng'!M62="","",'Media Dựng'!M62)</f>
        <v/>
      </c>
      <c r="J658" s="52" t="str">
        <f>IF('Media Dựng'!R62="","",'Media Dựng'!R62)</f>
        <v/>
      </c>
      <c r="K658" s="52" t="str">
        <f t="array" ref="K658">IF(COUNTA('Media Dựng'!T62:AE62)=0,"",INDEX('Media Dựng'!T62:AE62,1,SUMPRODUCT(MAX(('Media Dựng'!T62:AE62&lt;&gt;"")*(COLUMN('Media Dựng'!T62:AE62)-COLUMN('Media Dựng'!T62)+1)))))</f>
        <v/>
      </c>
      <c r="L658" s="52" t="str">
        <f>IF(AND(G658&lt;&gt;"",G658='Tổng hợp'!$C$4),MAX(L$1:L657)+1,"")</f>
        <v/>
      </c>
    </row>
    <row r="659" ht="15.75" customHeight="1">
      <c r="A659" s="52" t="str">
        <f>IF('Media Dựng'!C63="","","Media Dựng")</f>
        <v/>
      </c>
      <c r="B659" s="52" t="str">
        <f>IF('Media Dựng'!B63="","",'Media Dựng'!B63)</f>
        <v/>
      </c>
      <c r="C659" s="52" t="str">
        <f>IF('Media Dựng'!C63="","",'Media Dựng'!C63)</f>
        <v/>
      </c>
      <c r="D659" s="52" t="str">
        <f>IF('Media Dựng'!D63="","",'Media Dựng'!D63)</f>
        <v/>
      </c>
      <c r="E659" s="52" t="str">
        <f>IF('Media Dựng'!E63="","",'Media Dựng'!E63)</f>
        <v/>
      </c>
      <c r="F659" s="52" t="str">
        <f>IF('Media Dựng'!F63="","",'Media Dựng'!F63)</f>
        <v/>
      </c>
      <c r="G659" s="52" t="str">
        <f>IF('Media Dựng'!G63="","",'Media Dựng'!G63)</f>
        <v/>
      </c>
      <c r="H659" s="52" t="str">
        <f>IF('Media Dựng'!J63="","",'Media Dựng'!J63)</f>
        <v/>
      </c>
      <c r="I659" s="52" t="str">
        <f>IF('Media Dựng'!M63="","",'Media Dựng'!M63)</f>
        <v/>
      </c>
      <c r="J659" s="52" t="str">
        <f>IF('Media Dựng'!R63="","",'Media Dựng'!R63)</f>
        <v/>
      </c>
      <c r="K659" s="52" t="str">
        <f t="array" ref="K659">IF(COUNTA('Media Dựng'!T63:AE63)=0,"",INDEX('Media Dựng'!T63:AE63,1,SUMPRODUCT(MAX(('Media Dựng'!T63:AE63&lt;&gt;"")*(COLUMN('Media Dựng'!T63:AE63)-COLUMN('Media Dựng'!T63)+1)))))</f>
        <v/>
      </c>
      <c r="L659" s="52" t="str">
        <f>IF(AND(G659&lt;&gt;"",G659='Tổng hợp'!$C$4),MAX(L$1:L658)+1,"")</f>
        <v/>
      </c>
    </row>
    <row r="660" ht="15.75" customHeight="1">
      <c r="A660" s="52" t="str">
        <f>IF('Media Dựng'!C64="","","Media Dựng")</f>
        <v/>
      </c>
      <c r="B660" s="52" t="str">
        <f>IF('Media Dựng'!B64="","",'Media Dựng'!B64)</f>
        <v/>
      </c>
      <c r="C660" s="52" t="str">
        <f>IF('Media Dựng'!C64="","",'Media Dựng'!C64)</f>
        <v/>
      </c>
      <c r="D660" s="52" t="str">
        <f>IF('Media Dựng'!D64="","",'Media Dựng'!D64)</f>
        <v/>
      </c>
      <c r="E660" s="52" t="str">
        <f>IF('Media Dựng'!E64="","",'Media Dựng'!E64)</f>
        <v/>
      </c>
      <c r="F660" s="52" t="str">
        <f>IF('Media Dựng'!F64="","",'Media Dựng'!F64)</f>
        <v/>
      </c>
      <c r="G660" s="52" t="str">
        <f>IF('Media Dựng'!G64="","",'Media Dựng'!G64)</f>
        <v/>
      </c>
      <c r="H660" s="52" t="str">
        <f>IF('Media Dựng'!J64="","",'Media Dựng'!J64)</f>
        <v/>
      </c>
      <c r="I660" s="52" t="str">
        <f>IF('Media Dựng'!M64="","",'Media Dựng'!M64)</f>
        <v/>
      </c>
      <c r="J660" s="52" t="str">
        <f>IF('Media Dựng'!R64="","",'Media Dựng'!R64)</f>
        <v/>
      </c>
      <c r="K660" s="52" t="str">
        <f t="array" ref="K660">IF(COUNTA('Media Dựng'!T64:AE64)=0,"",INDEX('Media Dựng'!T64:AE64,1,SUMPRODUCT(MAX(('Media Dựng'!T64:AE64&lt;&gt;"")*(COLUMN('Media Dựng'!T64:AE64)-COLUMN('Media Dựng'!T64)+1)))))</f>
        <v/>
      </c>
      <c r="L660" s="52" t="str">
        <f>IF(AND(G660&lt;&gt;"",G660='Tổng hợp'!$C$4),MAX(L$1:L659)+1,"")</f>
        <v/>
      </c>
    </row>
    <row r="661" ht="15.75" customHeight="1">
      <c r="A661" s="52" t="str">
        <f>IF('Media Dựng'!C65="","","Media Dựng")</f>
        <v/>
      </c>
      <c r="B661" s="52" t="str">
        <f>IF('Media Dựng'!B65="","",'Media Dựng'!B65)</f>
        <v/>
      </c>
      <c r="C661" s="52" t="str">
        <f>IF('Media Dựng'!C65="","",'Media Dựng'!C65)</f>
        <v/>
      </c>
      <c r="D661" s="52" t="str">
        <f>IF('Media Dựng'!D65="","",'Media Dựng'!D65)</f>
        <v/>
      </c>
      <c r="E661" s="52" t="str">
        <f>IF('Media Dựng'!E65="","",'Media Dựng'!E65)</f>
        <v/>
      </c>
      <c r="F661" s="52" t="str">
        <f>IF('Media Dựng'!F65="","",'Media Dựng'!F65)</f>
        <v/>
      </c>
      <c r="G661" s="52" t="str">
        <f>IF('Media Dựng'!G65="","",'Media Dựng'!G65)</f>
        <v/>
      </c>
      <c r="H661" s="52" t="str">
        <f>IF('Media Dựng'!J65="","",'Media Dựng'!J65)</f>
        <v/>
      </c>
      <c r="I661" s="52" t="str">
        <f>IF('Media Dựng'!M65="","",'Media Dựng'!M65)</f>
        <v/>
      </c>
      <c r="J661" s="52" t="str">
        <f>IF('Media Dựng'!R65="","",'Media Dựng'!R65)</f>
        <v/>
      </c>
      <c r="K661" s="52" t="str">
        <f t="array" ref="K661">IF(COUNTA('Media Dựng'!T65:AE65)=0,"",INDEX('Media Dựng'!T65:AE65,1,SUMPRODUCT(MAX(('Media Dựng'!T65:AE65&lt;&gt;"")*(COLUMN('Media Dựng'!T65:AE65)-COLUMN('Media Dựng'!T65)+1)))))</f>
        <v/>
      </c>
      <c r="L661" s="52" t="str">
        <f>IF(AND(G661&lt;&gt;"",G661='Tổng hợp'!$C$4),MAX(L$1:L660)+1,"")</f>
        <v/>
      </c>
    </row>
    <row r="662" ht="15.75" customHeight="1">
      <c r="A662" s="52" t="str">
        <f>IF('Media Dựng'!C66="","","Media Dựng")</f>
        <v/>
      </c>
      <c r="B662" s="52" t="str">
        <f>IF('Media Dựng'!B66="","",'Media Dựng'!B66)</f>
        <v/>
      </c>
      <c r="C662" s="52" t="str">
        <f>IF('Media Dựng'!C66="","",'Media Dựng'!C66)</f>
        <v/>
      </c>
      <c r="D662" s="52" t="str">
        <f>IF('Media Dựng'!D66="","",'Media Dựng'!D66)</f>
        <v/>
      </c>
      <c r="E662" s="52" t="str">
        <f>IF('Media Dựng'!E66="","",'Media Dựng'!E66)</f>
        <v/>
      </c>
      <c r="F662" s="52" t="str">
        <f>IF('Media Dựng'!F66="","",'Media Dựng'!F66)</f>
        <v/>
      </c>
      <c r="G662" s="52" t="str">
        <f>IF('Media Dựng'!G66="","",'Media Dựng'!G66)</f>
        <v/>
      </c>
      <c r="H662" s="52" t="str">
        <f>IF('Media Dựng'!J66="","",'Media Dựng'!J66)</f>
        <v/>
      </c>
      <c r="I662" s="52" t="str">
        <f>IF('Media Dựng'!M66="","",'Media Dựng'!M66)</f>
        <v/>
      </c>
      <c r="J662" s="52" t="str">
        <f>IF('Media Dựng'!R66="","",'Media Dựng'!R66)</f>
        <v/>
      </c>
      <c r="K662" s="52" t="str">
        <f t="array" ref="K662">IF(COUNTA('Media Dựng'!T66:AE66)=0,"",INDEX('Media Dựng'!T66:AE66,1,SUMPRODUCT(MAX(('Media Dựng'!T66:AE66&lt;&gt;"")*(COLUMN('Media Dựng'!T66:AE66)-COLUMN('Media Dựng'!T66)+1)))))</f>
        <v/>
      </c>
      <c r="L662" s="52" t="str">
        <f>IF(AND(G662&lt;&gt;"",G662='Tổng hợp'!$C$4),MAX(L$1:L661)+1,"")</f>
        <v/>
      </c>
    </row>
    <row r="663" ht="15.75" customHeight="1">
      <c r="A663" s="52" t="str">
        <f>IF('Media Dựng'!C67="","","Media Dựng")</f>
        <v/>
      </c>
      <c r="B663" s="52" t="str">
        <f>IF('Media Dựng'!B67="","",'Media Dựng'!B67)</f>
        <v/>
      </c>
      <c r="C663" s="52" t="str">
        <f>IF('Media Dựng'!C67="","",'Media Dựng'!C67)</f>
        <v/>
      </c>
      <c r="D663" s="52" t="str">
        <f>IF('Media Dựng'!D67="","",'Media Dựng'!D67)</f>
        <v/>
      </c>
      <c r="E663" s="52" t="str">
        <f>IF('Media Dựng'!E67="","",'Media Dựng'!E67)</f>
        <v/>
      </c>
      <c r="F663" s="52" t="str">
        <f>IF('Media Dựng'!F67="","",'Media Dựng'!F67)</f>
        <v/>
      </c>
      <c r="G663" s="52" t="str">
        <f>IF('Media Dựng'!G67="","",'Media Dựng'!G67)</f>
        <v/>
      </c>
      <c r="H663" s="52" t="str">
        <f>IF('Media Dựng'!J67="","",'Media Dựng'!J67)</f>
        <v/>
      </c>
      <c r="I663" s="52" t="str">
        <f>IF('Media Dựng'!M67="","",'Media Dựng'!M67)</f>
        <v/>
      </c>
      <c r="J663" s="52" t="str">
        <f>IF('Media Dựng'!R67="","",'Media Dựng'!R67)</f>
        <v/>
      </c>
      <c r="K663" s="52" t="str">
        <f t="array" ref="K663">IF(COUNTA('Media Dựng'!T67:AE67)=0,"",INDEX('Media Dựng'!T67:AE67,1,SUMPRODUCT(MAX(('Media Dựng'!T67:AE67&lt;&gt;"")*(COLUMN('Media Dựng'!T67:AE67)-COLUMN('Media Dựng'!T67)+1)))))</f>
        <v/>
      </c>
      <c r="L663" s="52" t="str">
        <f>IF(AND(G663&lt;&gt;"",G663='Tổng hợp'!$C$4),MAX(L$1:L662)+1,"")</f>
        <v/>
      </c>
    </row>
    <row r="664" ht="15.75" customHeight="1">
      <c r="A664" s="52" t="str">
        <f>IF('Media Dựng'!C68="","","Media Dựng")</f>
        <v/>
      </c>
      <c r="B664" s="52" t="str">
        <f>IF('Media Dựng'!B68="","",'Media Dựng'!B68)</f>
        <v/>
      </c>
      <c r="C664" s="52" t="str">
        <f>IF('Media Dựng'!C68="","",'Media Dựng'!C68)</f>
        <v/>
      </c>
      <c r="D664" s="52" t="str">
        <f>IF('Media Dựng'!D68="","",'Media Dựng'!D68)</f>
        <v/>
      </c>
      <c r="E664" s="52" t="str">
        <f>IF('Media Dựng'!E68="","",'Media Dựng'!E68)</f>
        <v/>
      </c>
      <c r="F664" s="52" t="str">
        <f>IF('Media Dựng'!F68="","",'Media Dựng'!F68)</f>
        <v/>
      </c>
      <c r="G664" s="52" t="str">
        <f>IF('Media Dựng'!G68="","",'Media Dựng'!G68)</f>
        <v/>
      </c>
      <c r="H664" s="52" t="str">
        <f>IF('Media Dựng'!J68="","",'Media Dựng'!J68)</f>
        <v/>
      </c>
      <c r="I664" s="52" t="str">
        <f>IF('Media Dựng'!M68="","",'Media Dựng'!M68)</f>
        <v/>
      </c>
      <c r="J664" s="52" t="str">
        <f>IF('Media Dựng'!R68="","",'Media Dựng'!R68)</f>
        <v/>
      </c>
      <c r="K664" s="52" t="str">
        <f t="array" ref="K664">IF(COUNTA('Media Dựng'!T68:AE68)=0,"",INDEX('Media Dựng'!T68:AE68,1,SUMPRODUCT(MAX(('Media Dựng'!T68:AE68&lt;&gt;"")*(COLUMN('Media Dựng'!T68:AE68)-COLUMN('Media Dựng'!T68)+1)))))</f>
        <v/>
      </c>
      <c r="L664" s="52" t="str">
        <f>IF(AND(G664&lt;&gt;"",G664='Tổng hợp'!$C$4),MAX(L$1:L663)+1,"")</f>
        <v/>
      </c>
    </row>
    <row r="665" ht="15.75" customHeight="1">
      <c r="A665" s="52" t="str">
        <f>IF('Media Dựng'!C69="","","Media Dựng")</f>
        <v/>
      </c>
      <c r="B665" s="52" t="str">
        <f>IF('Media Dựng'!B69="","",'Media Dựng'!B69)</f>
        <v/>
      </c>
      <c r="C665" s="52" t="str">
        <f>IF('Media Dựng'!C69="","",'Media Dựng'!C69)</f>
        <v/>
      </c>
      <c r="D665" s="52" t="str">
        <f>IF('Media Dựng'!D69="","",'Media Dựng'!D69)</f>
        <v/>
      </c>
      <c r="E665" s="52" t="str">
        <f>IF('Media Dựng'!E69="","",'Media Dựng'!E69)</f>
        <v/>
      </c>
      <c r="F665" s="52" t="str">
        <f>IF('Media Dựng'!F69="","",'Media Dựng'!F69)</f>
        <v/>
      </c>
      <c r="G665" s="52" t="str">
        <f>IF('Media Dựng'!G69="","",'Media Dựng'!G69)</f>
        <v/>
      </c>
      <c r="H665" s="52" t="str">
        <f>IF('Media Dựng'!J69="","",'Media Dựng'!J69)</f>
        <v/>
      </c>
      <c r="I665" s="52" t="str">
        <f>IF('Media Dựng'!M69="","",'Media Dựng'!M69)</f>
        <v/>
      </c>
      <c r="J665" s="52" t="str">
        <f>IF('Media Dựng'!R69="","",'Media Dựng'!R69)</f>
        <v/>
      </c>
      <c r="K665" s="52" t="str">
        <f t="array" ref="K665">IF(COUNTA('Media Dựng'!T69:AE69)=0,"",INDEX('Media Dựng'!T69:AE69,1,SUMPRODUCT(MAX(('Media Dựng'!T69:AE69&lt;&gt;"")*(COLUMN('Media Dựng'!T69:AE69)-COLUMN('Media Dựng'!T69)+1)))))</f>
        <v/>
      </c>
      <c r="L665" s="52" t="str">
        <f>IF(AND(G665&lt;&gt;"",G665='Tổng hợp'!$C$4),MAX(L$1:L664)+1,"")</f>
        <v/>
      </c>
    </row>
    <row r="666" ht="15.75" customHeight="1">
      <c r="A666" s="52" t="str">
        <f>IF('Media Dựng'!C70="","","Media Dựng")</f>
        <v/>
      </c>
      <c r="B666" s="52" t="str">
        <f>IF('Media Dựng'!B70="","",'Media Dựng'!B70)</f>
        <v/>
      </c>
      <c r="C666" s="52" t="str">
        <f>IF('Media Dựng'!C70="","",'Media Dựng'!C70)</f>
        <v/>
      </c>
      <c r="D666" s="52" t="str">
        <f>IF('Media Dựng'!D70="","",'Media Dựng'!D70)</f>
        <v/>
      </c>
      <c r="E666" s="52" t="str">
        <f>IF('Media Dựng'!E70="","",'Media Dựng'!E70)</f>
        <v/>
      </c>
      <c r="F666" s="52" t="str">
        <f>IF('Media Dựng'!F70="","",'Media Dựng'!F70)</f>
        <v/>
      </c>
      <c r="G666" s="52" t="str">
        <f>IF('Media Dựng'!G70="","",'Media Dựng'!G70)</f>
        <v/>
      </c>
      <c r="H666" s="52" t="str">
        <f>IF('Media Dựng'!J70="","",'Media Dựng'!J70)</f>
        <v/>
      </c>
      <c r="I666" s="52" t="str">
        <f>IF('Media Dựng'!M70="","",'Media Dựng'!M70)</f>
        <v/>
      </c>
      <c r="J666" s="52" t="str">
        <f>IF('Media Dựng'!R70="","",'Media Dựng'!R70)</f>
        <v/>
      </c>
      <c r="K666" s="52" t="str">
        <f t="array" ref="K666">IF(COUNTA('Media Dựng'!T70:AE70)=0,"",INDEX('Media Dựng'!T70:AE70,1,SUMPRODUCT(MAX(('Media Dựng'!T70:AE70&lt;&gt;"")*(COLUMN('Media Dựng'!T70:AE70)-COLUMN('Media Dựng'!T70)+1)))))</f>
        <v/>
      </c>
      <c r="L666" s="52" t="str">
        <f>IF(AND(G666&lt;&gt;"",G666='Tổng hợp'!$C$4),MAX(L$1:L665)+1,"")</f>
        <v/>
      </c>
    </row>
    <row r="667" ht="15.75" customHeight="1">
      <c r="A667" s="52" t="str">
        <f>IF('Media Dựng'!C71="","","Media Dựng")</f>
        <v/>
      </c>
      <c r="B667" s="52" t="str">
        <f>IF('Media Dựng'!B71="","",'Media Dựng'!B71)</f>
        <v/>
      </c>
      <c r="C667" s="52" t="str">
        <f>IF('Media Dựng'!C71="","",'Media Dựng'!C71)</f>
        <v/>
      </c>
      <c r="D667" s="52" t="str">
        <f>IF('Media Dựng'!D71="","",'Media Dựng'!D71)</f>
        <v/>
      </c>
      <c r="E667" s="52" t="str">
        <f>IF('Media Dựng'!E71="","",'Media Dựng'!E71)</f>
        <v/>
      </c>
      <c r="F667" s="52" t="str">
        <f>IF('Media Dựng'!F71="","",'Media Dựng'!F71)</f>
        <v/>
      </c>
      <c r="G667" s="52" t="str">
        <f>IF('Media Dựng'!G71="","",'Media Dựng'!G71)</f>
        <v/>
      </c>
      <c r="H667" s="52" t="str">
        <f>IF('Media Dựng'!J71="","",'Media Dựng'!J71)</f>
        <v/>
      </c>
      <c r="I667" s="52" t="str">
        <f>IF('Media Dựng'!M71="","",'Media Dựng'!M71)</f>
        <v/>
      </c>
      <c r="J667" s="52" t="str">
        <f>IF('Media Dựng'!R71="","",'Media Dựng'!R71)</f>
        <v/>
      </c>
      <c r="K667" s="52" t="str">
        <f t="array" ref="K667">IF(COUNTA('Media Dựng'!T71:AE71)=0,"",INDEX('Media Dựng'!T71:AE71,1,SUMPRODUCT(MAX(('Media Dựng'!T71:AE71&lt;&gt;"")*(COLUMN('Media Dựng'!T71:AE71)-COLUMN('Media Dựng'!T71)+1)))))</f>
        <v/>
      </c>
      <c r="L667" s="52" t="str">
        <f>IF(AND(G667&lt;&gt;"",G667='Tổng hợp'!$C$4),MAX(L$1:L666)+1,"")</f>
        <v/>
      </c>
    </row>
    <row r="668" ht="15.75" customHeight="1">
      <c r="A668" s="52" t="str">
        <f>IF('Media Dựng'!C72="","","Media Dựng")</f>
        <v/>
      </c>
      <c r="B668" s="52" t="str">
        <f>IF('Media Dựng'!B72="","",'Media Dựng'!B72)</f>
        <v/>
      </c>
      <c r="C668" s="52" t="str">
        <f>IF('Media Dựng'!C72="","",'Media Dựng'!C72)</f>
        <v/>
      </c>
      <c r="D668" s="52" t="str">
        <f>IF('Media Dựng'!D72="","",'Media Dựng'!D72)</f>
        <v/>
      </c>
      <c r="E668" s="52" t="str">
        <f>IF('Media Dựng'!E72="","",'Media Dựng'!E72)</f>
        <v/>
      </c>
      <c r="F668" s="52" t="str">
        <f>IF('Media Dựng'!F72="","",'Media Dựng'!F72)</f>
        <v/>
      </c>
      <c r="G668" s="52" t="str">
        <f>IF('Media Dựng'!G72="","",'Media Dựng'!G72)</f>
        <v/>
      </c>
      <c r="H668" s="52" t="str">
        <f>IF('Media Dựng'!J72="","",'Media Dựng'!J72)</f>
        <v/>
      </c>
      <c r="I668" s="52" t="str">
        <f>IF('Media Dựng'!M72="","",'Media Dựng'!M72)</f>
        <v/>
      </c>
      <c r="J668" s="52" t="str">
        <f>IF('Media Dựng'!R72="","",'Media Dựng'!R72)</f>
        <v/>
      </c>
      <c r="K668" s="52" t="str">
        <f t="array" ref="K668">IF(COUNTA('Media Dựng'!T72:AE72)=0,"",INDEX('Media Dựng'!T72:AE72,1,SUMPRODUCT(MAX(('Media Dựng'!T72:AE72&lt;&gt;"")*(COLUMN('Media Dựng'!T72:AE72)-COLUMN('Media Dựng'!T72)+1)))))</f>
        <v/>
      </c>
      <c r="L668" s="52" t="str">
        <f>IF(AND(G668&lt;&gt;"",G668='Tổng hợp'!$C$4),MAX(L$1:L667)+1,"")</f>
        <v/>
      </c>
    </row>
    <row r="669" ht="15.75" customHeight="1">
      <c r="A669" s="52" t="str">
        <f>IF('Media Dựng'!C73="","","Media Dựng")</f>
        <v/>
      </c>
      <c r="B669" s="52" t="str">
        <f>IF('Media Dựng'!B73="","",'Media Dựng'!B73)</f>
        <v/>
      </c>
      <c r="C669" s="52" t="str">
        <f>IF('Media Dựng'!C73="","",'Media Dựng'!C73)</f>
        <v/>
      </c>
      <c r="D669" s="52" t="str">
        <f>IF('Media Dựng'!D73="","",'Media Dựng'!D73)</f>
        <v/>
      </c>
      <c r="E669" s="52" t="str">
        <f>IF('Media Dựng'!E73="","",'Media Dựng'!E73)</f>
        <v/>
      </c>
      <c r="F669" s="52" t="str">
        <f>IF('Media Dựng'!F73="","",'Media Dựng'!F73)</f>
        <v/>
      </c>
      <c r="G669" s="52" t="str">
        <f>IF('Media Dựng'!G73="","",'Media Dựng'!G73)</f>
        <v/>
      </c>
      <c r="H669" s="52" t="str">
        <f>IF('Media Dựng'!J73="","",'Media Dựng'!J73)</f>
        <v/>
      </c>
      <c r="I669" s="52" t="str">
        <f>IF('Media Dựng'!M73="","",'Media Dựng'!M73)</f>
        <v/>
      </c>
      <c r="J669" s="52" t="str">
        <f>IF('Media Dựng'!R73="","",'Media Dựng'!R73)</f>
        <v/>
      </c>
      <c r="K669" s="52" t="str">
        <f t="array" ref="K669">IF(COUNTA('Media Dựng'!T73:AE73)=0,"",INDEX('Media Dựng'!T73:AE73,1,SUMPRODUCT(MAX(('Media Dựng'!T73:AE73&lt;&gt;"")*(COLUMN('Media Dựng'!T73:AE73)-COLUMN('Media Dựng'!T73)+1)))))</f>
        <v/>
      </c>
      <c r="L669" s="52" t="str">
        <f>IF(AND(G669&lt;&gt;"",G669='Tổng hợp'!$C$4),MAX(L$1:L668)+1,"")</f>
        <v/>
      </c>
    </row>
    <row r="670" ht="15.75" customHeight="1">
      <c r="A670" s="52" t="str">
        <f>IF('Media Dựng'!C74="","","Media Dựng")</f>
        <v/>
      </c>
      <c r="B670" s="52" t="str">
        <f>IF('Media Dựng'!B74="","",'Media Dựng'!B74)</f>
        <v/>
      </c>
      <c r="C670" s="52" t="str">
        <f>IF('Media Dựng'!C74="","",'Media Dựng'!C74)</f>
        <v/>
      </c>
      <c r="D670" s="52" t="str">
        <f>IF('Media Dựng'!D74="","",'Media Dựng'!D74)</f>
        <v/>
      </c>
      <c r="E670" s="52" t="str">
        <f>IF('Media Dựng'!E74="","",'Media Dựng'!E74)</f>
        <v/>
      </c>
      <c r="F670" s="52" t="str">
        <f>IF('Media Dựng'!F74="","",'Media Dựng'!F74)</f>
        <v/>
      </c>
      <c r="G670" s="52" t="str">
        <f>IF('Media Dựng'!G74="","",'Media Dựng'!G74)</f>
        <v/>
      </c>
      <c r="H670" s="52" t="str">
        <f>IF('Media Dựng'!J74="","",'Media Dựng'!J74)</f>
        <v/>
      </c>
      <c r="I670" s="52" t="str">
        <f>IF('Media Dựng'!M74="","",'Media Dựng'!M74)</f>
        <v/>
      </c>
      <c r="J670" s="52" t="str">
        <f>IF('Media Dựng'!R74="","",'Media Dựng'!R74)</f>
        <v/>
      </c>
      <c r="K670" s="52" t="str">
        <f t="array" ref="K670">IF(COUNTA('Media Dựng'!T74:AE74)=0,"",INDEX('Media Dựng'!T74:AE74,1,SUMPRODUCT(MAX(('Media Dựng'!T74:AE74&lt;&gt;"")*(COLUMN('Media Dựng'!T74:AE74)-COLUMN('Media Dựng'!T74)+1)))))</f>
        <v/>
      </c>
      <c r="L670" s="52" t="str">
        <f>IF(AND(G670&lt;&gt;"",G670='Tổng hợp'!$C$4),MAX(L$1:L669)+1,"")</f>
        <v/>
      </c>
    </row>
    <row r="671" ht="15.75" customHeight="1">
      <c r="A671" s="52" t="str">
        <f>IF('Media Dựng'!C75="","","Media Dựng")</f>
        <v/>
      </c>
      <c r="B671" s="52" t="str">
        <f>IF('Media Dựng'!B75="","",'Media Dựng'!B75)</f>
        <v/>
      </c>
      <c r="C671" s="52" t="str">
        <f>IF('Media Dựng'!C75="","",'Media Dựng'!C75)</f>
        <v/>
      </c>
      <c r="D671" s="52" t="str">
        <f>IF('Media Dựng'!D75="","",'Media Dựng'!D75)</f>
        <v/>
      </c>
      <c r="E671" s="52" t="str">
        <f>IF('Media Dựng'!E75="","",'Media Dựng'!E75)</f>
        <v/>
      </c>
      <c r="F671" s="52" t="str">
        <f>IF('Media Dựng'!F75="","",'Media Dựng'!F75)</f>
        <v/>
      </c>
      <c r="G671" s="52" t="str">
        <f>IF('Media Dựng'!G75="","",'Media Dựng'!G75)</f>
        <v/>
      </c>
      <c r="H671" s="52" t="str">
        <f>IF('Media Dựng'!J75="","",'Media Dựng'!J75)</f>
        <v/>
      </c>
      <c r="I671" s="52" t="str">
        <f>IF('Media Dựng'!M75="","",'Media Dựng'!M75)</f>
        <v/>
      </c>
      <c r="J671" s="52" t="str">
        <f>IF('Media Dựng'!R75="","",'Media Dựng'!R75)</f>
        <v/>
      </c>
      <c r="K671" s="52" t="str">
        <f t="array" ref="K671">IF(COUNTA('Media Dựng'!T75:AE75)=0,"",INDEX('Media Dựng'!T75:AE75,1,SUMPRODUCT(MAX(('Media Dựng'!T75:AE75&lt;&gt;"")*(COLUMN('Media Dựng'!T75:AE75)-COLUMN('Media Dựng'!T75)+1)))))</f>
        <v/>
      </c>
      <c r="L671" s="52" t="str">
        <f>IF(AND(G671&lt;&gt;"",G671='Tổng hợp'!$C$4),MAX(L$1:L670)+1,"")</f>
        <v/>
      </c>
    </row>
    <row r="672" ht="15.75" customHeight="1">
      <c r="A672" s="52" t="str">
        <f>IF('Media Dựng'!C76="","","Media Dựng")</f>
        <v/>
      </c>
      <c r="B672" s="52" t="str">
        <f>IF('Media Dựng'!B76="","",'Media Dựng'!B76)</f>
        <v/>
      </c>
      <c r="C672" s="52" t="str">
        <f>IF('Media Dựng'!C76="","",'Media Dựng'!C76)</f>
        <v/>
      </c>
      <c r="D672" s="52" t="str">
        <f>IF('Media Dựng'!D76="","",'Media Dựng'!D76)</f>
        <v/>
      </c>
      <c r="E672" s="52" t="str">
        <f>IF('Media Dựng'!E76="","",'Media Dựng'!E76)</f>
        <v/>
      </c>
      <c r="F672" s="52" t="str">
        <f>IF('Media Dựng'!F76="","",'Media Dựng'!F76)</f>
        <v/>
      </c>
      <c r="G672" s="52" t="str">
        <f>IF('Media Dựng'!G76="","",'Media Dựng'!G76)</f>
        <v/>
      </c>
      <c r="H672" s="52" t="str">
        <f>IF('Media Dựng'!J76="","",'Media Dựng'!J76)</f>
        <v/>
      </c>
      <c r="I672" s="52" t="str">
        <f>IF('Media Dựng'!M76="","",'Media Dựng'!M76)</f>
        <v/>
      </c>
      <c r="J672" s="52" t="str">
        <f>IF('Media Dựng'!R76="","",'Media Dựng'!R76)</f>
        <v/>
      </c>
      <c r="K672" s="52" t="str">
        <f t="array" ref="K672">IF(COUNTA('Media Dựng'!T76:AE76)=0,"",INDEX('Media Dựng'!T76:AE76,1,SUMPRODUCT(MAX(('Media Dựng'!T76:AE76&lt;&gt;"")*(COLUMN('Media Dựng'!T76:AE76)-COLUMN('Media Dựng'!T76)+1)))))</f>
        <v/>
      </c>
      <c r="L672" s="52" t="str">
        <f>IF(AND(G672&lt;&gt;"",G672='Tổng hợp'!$C$4),MAX(L$1:L671)+1,"")</f>
        <v/>
      </c>
    </row>
    <row r="673" ht="15.75" customHeight="1">
      <c r="A673" s="52" t="str">
        <f>IF('Media Dựng'!C77="","","Media Dựng")</f>
        <v/>
      </c>
      <c r="B673" s="52" t="str">
        <f>IF('Media Dựng'!B77="","",'Media Dựng'!B77)</f>
        <v/>
      </c>
      <c r="C673" s="52" t="str">
        <f>IF('Media Dựng'!C77="","",'Media Dựng'!C77)</f>
        <v/>
      </c>
      <c r="D673" s="52" t="str">
        <f>IF('Media Dựng'!D77="","",'Media Dựng'!D77)</f>
        <v/>
      </c>
      <c r="E673" s="52" t="str">
        <f>IF('Media Dựng'!E77="","",'Media Dựng'!E77)</f>
        <v/>
      </c>
      <c r="F673" s="52" t="str">
        <f>IF('Media Dựng'!F77="","",'Media Dựng'!F77)</f>
        <v/>
      </c>
      <c r="G673" s="52" t="str">
        <f>IF('Media Dựng'!G77="","",'Media Dựng'!G77)</f>
        <v/>
      </c>
      <c r="H673" s="52" t="str">
        <f>IF('Media Dựng'!J77="","",'Media Dựng'!J77)</f>
        <v/>
      </c>
      <c r="I673" s="52" t="str">
        <f>IF('Media Dựng'!M77="","",'Media Dựng'!M77)</f>
        <v/>
      </c>
      <c r="J673" s="52" t="str">
        <f>IF('Media Dựng'!R77="","",'Media Dựng'!R77)</f>
        <v/>
      </c>
      <c r="K673" s="52" t="str">
        <f t="array" ref="K673">IF(COUNTA('Media Dựng'!T77:AE77)=0,"",INDEX('Media Dựng'!T77:AE77,1,SUMPRODUCT(MAX(('Media Dựng'!T77:AE77&lt;&gt;"")*(COLUMN('Media Dựng'!T77:AE77)-COLUMN('Media Dựng'!T77)+1)))))</f>
        <v/>
      </c>
      <c r="L673" s="52" t="str">
        <f>IF(AND(G673&lt;&gt;"",G673='Tổng hợp'!$C$4),MAX(L$1:L672)+1,"")</f>
        <v/>
      </c>
    </row>
    <row r="674" ht="15.75" customHeight="1">
      <c r="A674" s="52" t="str">
        <f>IF('Media Dựng'!C78="","","Media Dựng")</f>
        <v/>
      </c>
      <c r="B674" s="52" t="str">
        <f>IF('Media Dựng'!B78="","",'Media Dựng'!B78)</f>
        <v/>
      </c>
      <c r="C674" s="52" t="str">
        <f>IF('Media Dựng'!C78="","",'Media Dựng'!C78)</f>
        <v/>
      </c>
      <c r="D674" s="52" t="str">
        <f>IF('Media Dựng'!D78="","",'Media Dựng'!D78)</f>
        <v/>
      </c>
      <c r="E674" s="52" t="str">
        <f>IF('Media Dựng'!E78="","",'Media Dựng'!E78)</f>
        <v/>
      </c>
      <c r="F674" s="52" t="str">
        <f>IF('Media Dựng'!F78="","",'Media Dựng'!F78)</f>
        <v/>
      </c>
      <c r="G674" s="52" t="str">
        <f>IF('Media Dựng'!G78="","",'Media Dựng'!G78)</f>
        <v/>
      </c>
      <c r="H674" s="52" t="str">
        <f>IF('Media Dựng'!J78="","",'Media Dựng'!J78)</f>
        <v/>
      </c>
      <c r="I674" s="52" t="str">
        <f>IF('Media Dựng'!M78="","",'Media Dựng'!M78)</f>
        <v/>
      </c>
      <c r="J674" s="52" t="str">
        <f>IF('Media Dựng'!R78="","",'Media Dựng'!R78)</f>
        <v/>
      </c>
      <c r="K674" s="52" t="str">
        <f t="array" ref="K674">IF(COUNTA('Media Dựng'!T78:AE78)=0,"",INDEX('Media Dựng'!T78:AE78,1,SUMPRODUCT(MAX(('Media Dựng'!T78:AE78&lt;&gt;"")*(COLUMN('Media Dựng'!T78:AE78)-COLUMN('Media Dựng'!T78)+1)))))</f>
        <v/>
      </c>
      <c r="L674" s="52" t="str">
        <f>IF(AND(G674&lt;&gt;"",G674='Tổng hợp'!$C$4),MAX(L$1:L673)+1,"")</f>
        <v/>
      </c>
    </row>
    <row r="675" ht="15.75" customHeight="1">
      <c r="A675" s="52" t="str">
        <f>IF('Media Dựng'!C79="","","Media Dựng")</f>
        <v/>
      </c>
      <c r="B675" s="52" t="str">
        <f>IF('Media Dựng'!B79="","",'Media Dựng'!B79)</f>
        <v/>
      </c>
      <c r="C675" s="52" t="str">
        <f>IF('Media Dựng'!C79="","",'Media Dựng'!C79)</f>
        <v/>
      </c>
      <c r="D675" s="52" t="str">
        <f>IF('Media Dựng'!D79="","",'Media Dựng'!D79)</f>
        <v/>
      </c>
      <c r="E675" s="52" t="str">
        <f>IF('Media Dựng'!E79="","",'Media Dựng'!E79)</f>
        <v/>
      </c>
      <c r="F675" s="52" t="str">
        <f>IF('Media Dựng'!F79="","",'Media Dựng'!F79)</f>
        <v/>
      </c>
      <c r="G675" s="52" t="str">
        <f>IF('Media Dựng'!G79="","",'Media Dựng'!G79)</f>
        <v/>
      </c>
      <c r="H675" s="52" t="str">
        <f>IF('Media Dựng'!J79="","",'Media Dựng'!J79)</f>
        <v/>
      </c>
      <c r="I675" s="52" t="str">
        <f>IF('Media Dựng'!M79="","",'Media Dựng'!M79)</f>
        <v/>
      </c>
      <c r="J675" s="52" t="str">
        <f>IF('Media Dựng'!R79="","",'Media Dựng'!R79)</f>
        <v/>
      </c>
      <c r="K675" s="52" t="str">
        <f t="array" ref="K675">IF(COUNTA('Media Dựng'!T79:AE79)=0,"",INDEX('Media Dựng'!T79:AE79,1,SUMPRODUCT(MAX(('Media Dựng'!T79:AE79&lt;&gt;"")*(COLUMN('Media Dựng'!T79:AE79)-COLUMN('Media Dựng'!T79)+1)))))</f>
        <v/>
      </c>
      <c r="L675" s="52" t="str">
        <f>IF(AND(G675&lt;&gt;"",G675='Tổng hợp'!$C$4),MAX(L$1:L674)+1,"")</f>
        <v/>
      </c>
    </row>
    <row r="676" ht="15.75" customHeight="1">
      <c r="A676" s="52" t="str">
        <f>IF('Media Dựng'!C80="","","Media Dựng")</f>
        <v/>
      </c>
      <c r="B676" s="52" t="str">
        <f>IF('Media Dựng'!B80="","",'Media Dựng'!B80)</f>
        <v/>
      </c>
      <c r="C676" s="52" t="str">
        <f>IF('Media Dựng'!C80="","",'Media Dựng'!C80)</f>
        <v/>
      </c>
      <c r="D676" s="52" t="str">
        <f>IF('Media Dựng'!D80="","",'Media Dựng'!D80)</f>
        <v/>
      </c>
      <c r="E676" s="52" t="str">
        <f>IF('Media Dựng'!E80="","",'Media Dựng'!E80)</f>
        <v/>
      </c>
      <c r="F676" s="52" t="str">
        <f>IF('Media Dựng'!F80="","",'Media Dựng'!F80)</f>
        <v/>
      </c>
      <c r="G676" s="52" t="str">
        <f>IF('Media Dựng'!G80="","",'Media Dựng'!G80)</f>
        <v/>
      </c>
      <c r="H676" s="52" t="str">
        <f>IF('Media Dựng'!J80="","",'Media Dựng'!J80)</f>
        <v/>
      </c>
      <c r="I676" s="52" t="str">
        <f>IF('Media Dựng'!M80="","",'Media Dựng'!M80)</f>
        <v/>
      </c>
      <c r="J676" s="52" t="str">
        <f>IF('Media Dựng'!R80="","",'Media Dựng'!R80)</f>
        <v/>
      </c>
      <c r="K676" s="52" t="str">
        <f t="array" ref="K676">IF(COUNTA('Media Dựng'!T80:AE80)=0,"",INDEX('Media Dựng'!T80:AE80,1,SUMPRODUCT(MAX(('Media Dựng'!T80:AE80&lt;&gt;"")*(COLUMN('Media Dựng'!T80:AE80)-COLUMN('Media Dựng'!T80)+1)))))</f>
        <v/>
      </c>
      <c r="L676" s="52" t="str">
        <f>IF(AND(G676&lt;&gt;"",G676='Tổng hợp'!$C$4),MAX(L$1:L675)+1,"")</f>
        <v/>
      </c>
    </row>
    <row r="677" ht="15.75" customHeight="1">
      <c r="A677" s="52" t="str">
        <f>IF('Media Dựng'!C81="","","Media Dựng")</f>
        <v/>
      </c>
      <c r="B677" s="52" t="str">
        <f>IF('Media Dựng'!B81="","",'Media Dựng'!B81)</f>
        <v/>
      </c>
      <c r="C677" s="52" t="str">
        <f>IF('Media Dựng'!C81="","",'Media Dựng'!C81)</f>
        <v/>
      </c>
      <c r="D677" s="52" t="str">
        <f>IF('Media Dựng'!D81="","",'Media Dựng'!D81)</f>
        <v/>
      </c>
      <c r="E677" s="52" t="str">
        <f>IF('Media Dựng'!E81="","",'Media Dựng'!E81)</f>
        <v/>
      </c>
      <c r="F677" s="52" t="str">
        <f>IF('Media Dựng'!F81="","",'Media Dựng'!F81)</f>
        <v/>
      </c>
      <c r="G677" s="52" t="str">
        <f>IF('Media Dựng'!G81="","",'Media Dựng'!G81)</f>
        <v/>
      </c>
      <c r="H677" s="52" t="str">
        <f>IF('Media Dựng'!J81="","",'Media Dựng'!J81)</f>
        <v/>
      </c>
      <c r="I677" s="52" t="str">
        <f>IF('Media Dựng'!M81="","",'Media Dựng'!M81)</f>
        <v/>
      </c>
      <c r="J677" s="52" t="str">
        <f>IF('Media Dựng'!R81="","",'Media Dựng'!R81)</f>
        <v/>
      </c>
      <c r="K677" s="52" t="str">
        <f t="array" ref="K677">IF(COUNTA('Media Dựng'!T81:AE81)=0,"",INDEX('Media Dựng'!T81:AE81,1,SUMPRODUCT(MAX(('Media Dựng'!T81:AE81&lt;&gt;"")*(COLUMN('Media Dựng'!T81:AE81)-COLUMN('Media Dựng'!T81)+1)))))</f>
        <v/>
      </c>
      <c r="L677" s="52" t="str">
        <f>IF(AND(G677&lt;&gt;"",G677='Tổng hợp'!$C$4),MAX(L$1:L676)+1,"")</f>
        <v/>
      </c>
    </row>
    <row r="678" ht="15.75" customHeight="1">
      <c r="A678" s="52" t="str">
        <f>IF('Media Dựng'!C82="","","Media Dựng")</f>
        <v/>
      </c>
      <c r="B678" s="52" t="str">
        <f>IF('Media Dựng'!B82="","",'Media Dựng'!B82)</f>
        <v/>
      </c>
      <c r="C678" s="52" t="str">
        <f>IF('Media Dựng'!C82="","",'Media Dựng'!C82)</f>
        <v/>
      </c>
      <c r="D678" s="52" t="str">
        <f>IF('Media Dựng'!D82="","",'Media Dựng'!D82)</f>
        <v/>
      </c>
      <c r="E678" s="52" t="str">
        <f>IF('Media Dựng'!E82="","",'Media Dựng'!E82)</f>
        <v/>
      </c>
      <c r="F678" s="52" t="str">
        <f>IF('Media Dựng'!F82="","",'Media Dựng'!F82)</f>
        <v/>
      </c>
      <c r="G678" s="52" t="str">
        <f>IF('Media Dựng'!G82="","",'Media Dựng'!G82)</f>
        <v/>
      </c>
      <c r="H678" s="52" t="str">
        <f>IF('Media Dựng'!J82="","",'Media Dựng'!J82)</f>
        <v/>
      </c>
      <c r="I678" s="52" t="str">
        <f>IF('Media Dựng'!M82="","",'Media Dựng'!M82)</f>
        <v/>
      </c>
      <c r="J678" s="52" t="str">
        <f>IF('Media Dựng'!R82="","",'Media Dựng'!R82)</f>
        <v/>
      </c>
      <c r="K678" s="52" t="str">
        <f t="array" ref="K678">IF(COUNTA('Media Dựng'!T82:AE82)=0,"",INDEX('Media Dựng'!T82:AE82,1,SUMPRODUCT(MAX(('Media Dựng'!T82:AE82&lt;&gt;"")*(COLUMN('Media Dựng'!T82:AE82)-COLUMN('Media Dựng'!T82)+1)))))</f>
        <v/>
      </c>
      <c r="L678" s="52" t="str">
        <f>IF(AND(G678&lt;&gt;"",G678='Tổng hợp'!$C$4),MAX(L$1:L677)+1,"")</f>
        <v/>
      </c>
    </row>
    <row r="679" ht="15.75" customHeight="1">
      <c r="A679" s="52" t="str">
        <f>IF('Media Dựng'!C83="","","Media Dựng")</f>
        <v/>
      </c>
      <c r="B679" s="52" t="str">
        <f>IF('Media Dựng'!B83="","",'Media Dựng'!B83)</f>
        <v/>
      </c>
      <c r="C679" s="52" t="str">
        <f>IF('Media Dựng'!C83="","",'Media Dựng'!C83)</f>
        <v/>
      </c>
      <c r="D679" s="52" t="str">
        <f>IF('Media Dựng'!D83="","",'Media Dựng'!D83)</f>
        <v/>
      </c>
      <c r="E679" s="52" t="str">
        <f>IF('Media Dựng'!E83="","",'Media Dựng'!E83)</f>
        <v/>
      </c>
      <c r="F679" s="52" t="str">
        <f>IF('Media Dựng'!F83="","",'Media Dựng'!F83)</f>
        <v/>
      </c>
      <c r="G679" s="52" t="str">
        <f>IF('Media Dựng'!G83="","",'Media Dựng'!G83)</f>
        <v/>
      </c>
      <c r="H679" s="52" t="str">
        <f>IF('Media Dựng'!J83="","",'Media Dựng'!J83)</f>
        <v/>
      </c>
      <c r="I679" s="52" t="str">
        <f>IF('Media Dựng'!M83="","",'Media Dựng'!M83)</f>
        <v/>
      </c>
      <c r="J679" s="52" t="str">
        <f>IF('Media Dựng'!R83="","",'Media Dựng'!R83)</f>
        <v/>
      </c>
      <c r="K679" s="52" t="str">
        <f t="array" ref="K679">IF(COUNTA('Media Dựng'!T83:AE83)=0,"",INDEX('Media Dựng'!T83:AE83,1,SUMPRODUCT(MAX(('Media Dựng'!T83:AE83&lt;&gt;"")*(COLUMN('Media Dựng'!T83:AE83)-COLUMN('Media Dựng'!T83)+1)))))</f>
        <v/>
      </c>
      <c r="L679" s="52" t="str">
        <f>IF(AND(G679&lt;&gt;"",G679='Tổng hợp'!$C$4),MAX(L$1:L678)+1,"")</f>
        <v/>
      </c>
    </row>
    <row r="680" ht="15.75" customHeight="1">
      <c r="A680" s="52" t="str">
        <f>IF('Media Dựng'!C84="","","Media Dựng")</f>
        <v/>
      </c>
      <c r="B680" s="52" t="str">
        <f>IF('Media Dựng'!B84="","",'Media Dựng'!B84)</f>
        <v/>
      </c>
      <c r="C680" s="52" t="str">
        <f>IF('Media Dựng'!C84="","",'Media Dựng'!C84)</f>
        <v/>
      </c>
      <c r="D680" s="52" t="str">
        <f>IF('Media Dựng'!D84="","",'Media Dựng'!D84)</f>
        <v/>
      </c>
      <c r="E680" s="52" t="str">
        <f>IF('Media Dựng'!E84="","",'Media Dựng'!E84)</f>
        <v/>
      </c>
      <c r="F680" s="52" t="str">
        <f>IF('Media Dựng'!F84="","",'Media Dựng'!F84)</f>
        <v/>
      </c>
      <c r="G680" s="52" t="str">
        <f>IF('Media Dựng'!G84="","",'Media Dựng'!G84)</f>
        <v/>
      </c>
      <c r="H680" s="52" t="str">
        <f>IF('Media Dựng'!J84="","",'Media Dựng'!J84)</f>
        <v/>
      </c>
      <c r="I680" s="52" t="str">
        <f>IF('Media Dựng'!M84="","",'Media Dựng'!M84)</f>
        <v/>
      </c>
      <c r="J680" s="52" t="str">
        <f>IF('Media Dựng'!R84="","",'Media Dựng'!R84)</f>
        <v/>
      </c>
      <c r="K680" s="52" t="str">
        <f t="array" ref="K680">IF(COUNTA('Media Dựng'!T84:AE84)=0,"",INDEX('Media Dựng'!T84:AE84,1,SUMPRODUCT(MAX(('Media Dựng'!T84:AE84&lt;&gt;"")*(COLUMN('Media Dựng'!T84:AE84)-COLUMN('Media Dựng'!T84)+1)))))</f>
        <v/>
      </c>
      <c r="L680" s="52" t="str">
        <f>IF(AND(G680&lt;&gt;"",G680='Tổng hợp'!$C$4),MAX(L$1:L679)+1,"")</f>
        <v/>
      </c>
    </row>
    <row r="681" ht="15.75" customHeight="1">
      <c r="A681" s="52" t="str">
        <f>IF('Media Dựng'!C85="","","Media Dựng")</f>
        <v/>
      </c>
      <c r="B681" s="52" t="str">
        <f>IF('Media Dựng'!B85="","",'Media Dựng'!B85)</f>
        <v/>
      </c>
      <c r="C681" s="52" t="str">
        <f>IF('Media Dựng'!C85="","",'Media Dựng'!C85)</f>
        <v/>
      </c>
      <c r="D681" s="52" t="str">
        <f>IF('Media Dựng'!D85="","",'Media Dựng'!D85)</f>
        <v/>
      </c>
      <c r="E681" s="52" t="str">
        <f>IF('Media Dựng'!E85="","",'Media Dựng'!E85)</f>
        <v/>
      </c>
      <c r="F681" s="52" t="str">
        <f>IF('Media Dựng'!F85="","",'Media Dựng'!F85)</f>
        <v/>
      </c>
      <c r="G681" s="52" t="str">
        <f>IF('Media Dựng'!G85="","",'Media Dựng'!G85)</f>
        <v/>
      </c>
      <c r="H681" s="52" t="str">
        <f>IF('Media Dựng'!J85="","",'Media Dựng'!J85)</f>
        <v/>
      </c>
      <c r="I681" s="52" t="str">
        <f>IF('Media Dựng'!M85="","",'Media Dựng'!M85)</f>
        <v/>
      </c>
      <c r="J681" s="52" t="str">
        <f>IF('Media Dựng'!R85="","",'Media Dựng'!R85)</f>
        <v/>
      </c>
      <c r="K681" s="52" t="str">
        <f t="array" ref="K681">IF(COUNTA('Media Dựng'!T85:AE85)=0,"",INDEX('Media Dựng'!T85:AE85,1,SUMPRODUCT(MAX(('Media Dựng'!T85:AE85&lt;&gt;"")*(COLUMN('Media Dựng'!T85:AE85)-COLUMN('Media Dựng'!T85)+1)))))</f>
        <v/>
      </c>
      <c r="L681" s="52" t="str">
        <f>IF(AND(G681&lt;&gt;"",G681='Tổng hợp'!$C$4),MAX(L$1:L680)+1,"")</f>
        <v/>
      </c>
    </row>
    <row r="682" ht="15.75" customHeight="1">
      <c r="A682" s="52" t="str">
        <f>IF('Media Dựng'!C86="","","Media Dựng")</f>
        <v/>
      </c>
      <c r="B682" s="52" t="str">
        <f>IF('Media Dựng'!B86="","",'Media Dựng'!B86)</f>
        <v/>
      </c>
      <c r="C682" s="52" t="str">
        <f>IF('Media Dựng'!C86="","",'Media Dựng'!C86)</f>
        <v/>
      </c>
      <c r="D682" s="52" t="str">
        <f>IF('Media Dựng'!D86="","",'Media Dựng'!D86)</f>
        <v/>
      </c>
      <c r="E682" s="52" t="str">
        <f>IF('Media Dựng'!E86="","",'Media Dựng'!E86)</f>
        <v/>
      </c>
      <c r="F682" s="52" t="str">
        <f>IF('Media Dựng'!F86="","",'Media Dựng'!F86)</f>
        <v/>
      </c>
      <c r="G682" s="52" t="str">
        <f>IF('Media Dựng'!G86="","",'Media Dựng'!G86)</f>
        <v/>
      </c>
      <c r="H682" s="52" t="str">
        <f>IF('Media Dựng'!J86="","",'Media Dựng'!J86)</f>
        <v/>
      </c>
      <c r="I682" s="52" t="str">
        <f>IF('Media Dựng'!M86="","",'Media Dựng'!M86)</f>
        <v/>
      </c>
      <c r="J682" s="52" t="str">
        <f>IF('Media Dựng'!R86="","",'Media Dựng'!R86)</f>
        <v/>
      </c>
      <c r="K682" s="52" t="str">
        <f t="array" ref="K682">IF(COUNTA('Media Dựng'!T86:AE86)=0,"",INDEX('Media Dựng'!T86:AE86,1,SUMPRODUCT(MAX(('Media Dựng'!T86:AE86&lt;&gt;"")*(COLUMN('Media Dựng'!T86:AE86)-COLUMN('Media Dựng'!T86)+1)))))</f>
        <v/>
      </c>
      <c r="L682" s="52" t="str">
        <f>IF(AND(G682&lt;&gt;"",G682='Tổng hợp'!$C$4),MAX(L$1:L681)+1,"")</f>
        <v/>
      </c>
    </row>
    <row r="683" ht="15.75" customHeight="1">
      <c r="A683" s="52" t="str">
        <f>IF('Media Dựng'!C87="","","Media Dựng")</f>
        <v/>
      </c>
      <c r="B683" s="52" t="str">
        <f>IF('Media Dựng'!B87="","",'Media Dựng'!B87)</f>
        <v/>
      </c>
      <c r="C683" s="52" t="str">
        <f>IF('Media Dựng'!C87="","",'Media Dựng'!C87)</f>
        <v/>
      </c>
      <c r="D683" s="52" t="str">
        <f>IF('Media Dựng'!D87="","",'Media Dựng'!D87)</f>
        <v/>
      </c>
      <c r="E683" s="52" t="str">
        <f>IF('Media Dựng'!E87="","",'Media Dựng'!E87)</f>
        <v/>
      </c>
      <c r="F683" s="52" t="str">
        <f>IF('Media Dựng'!F87="","",'Media Dựng'!F87)</f>
        <v/>
      </c>
      <c r="G683" s="52" t="str">
        <f>IF('Media Dựng'!G87="","",'Media Dựng'!G87)</f>
        <v/>
      </c>
      <c r="H683" s="52" t="str">
        <f>IF('Media Dựng'!J87="","",'Media Dựng'!J87)</f>
        <v/>
      </c>
      <c r="I683" s="52" t="str">
        <f>IF('Media Dựng'!M87="","",'Media Dựng'!M87)</f>
        <v/>
      </c>
      <c r="J683" s="52" t="str">
        <f>IF('Media Dựng'!R87="","",'Media Dựng'!R87)</f>
        <v/>
      </c>
      <c r="K683" s="52" t="str">
        <f t="array" ref="K683">IF(COUNTA('Media Dựng'!T87:AE87)=0,"",INDEX('Media Dựng'!T87:AE87,1,SUMPRODUCT(MAX(('Media Dựng'!T87:AE87&lt;&gt;"")*(COLUMN('Media Dựng'!T87:AE87)-COLUMN('Media Dựng'!T87)+1)))))</f>
        <v/>
      </c>
      <c r="L683" s="52" t="str">
        <f>IF(AND(G683&lt;&gt;"",G683='Tổng hợp'!$C$4),MAX(L$1:L682)+1,"")</f>
        <v/>
      </c>
    </row>
    <row r="684" ht="15.75" customHeight="1">
      <c r="A684" s="52" t="str">
        <f>IF('Media Dựng'!C88="","","Media Dựng")</f>
        <v/>
      </c>
      <c r="B684" s="52" t="str">
        <f>IF('Media Dựng'!B88="","",'Media Dựng'!B88)</f>
        <v/>
      </c>
      <c r="C684" s="52" t="str">
        <f>IF('Media Dựng'!C88="","",'Media Dựng'!C88)</f>
        <v/>
      </c>
      <c r="D684" s="52" t="str">
        <f>IF('Media Dựng'!D88="","",'Media Dựng'!D88)</f>
        <v/>
      </c>
      <c r="E684" s="52" t="str">
        <f>IF('Media Dựng'!E88="","",'Media Dựng'!E88)</f>
        <v/>
      </c>
      <c r="F684" s="52" t="str">
        <f>IF('Media Dựng'!F88="","",'Media Dựng'!F88)</f>
        <v/>
      </c>
      <c r="G684" s="52" t="str">
        <f>IF('Media Dựng'!G88="","",'Media Dựng'!G88)</f>
        <v/>
      </c>
      <c r="H684" s="52" t="str">
        <f>IF('Media Dựng'!J88="","",'Media Dựng'!J88)</f>
        <v/>
      </c>
      <c r="I684" s="52" t="str">
        <f>IF('Media Dựng'!M88="","",'Media Dựng'!M88)</f>
        <v/>
      </c>
      <c r="J684" s="52" t="str">
        <f>IF('Media Dựng'!R88="","",'Media Dựng'!R88)</f>
        <v/>
      </c>
      <c r="K684" s="52" t="str">
        <f t="array" ref="K684">IF(COUNTA('Media Dựng'!T88:AE88)=0,"",INDEX('Media Dựng'!T88:AE88,1,SUMPRODUCT(MAX(('Media Dựng'!T88:AE88&lt;&gt;"")*(COLUMN('Media Dựng'!T88:AE88)-COLUMN('Media Dựng'!T88)+1)))))</f>
        <v/>
      </c>
      <c r="L684" s="52" t="str">
        <f>IF(AND(G684&lt;&gt;"",G684='Tổng hợp'!$C$4),MAX(L$1:L683)+1,"")</f>
        <v/>
      </c>
    </row>
    <row r="685" ht="15.75" customHeight="1">
      <c r="A685" s="52" t="str">
        <f>IF('Media Dựng'!C89="","","Media Dựng")</f>
        <v/>
      </c>
      <c r="B685" s="52" t="str">
        <f>IF('Media Dựng'!B89="","",'Media Dựng'!B89)</f>
        <v/>
      </c>
      <c r="C685" s="52" t="str">
        <f>IF('Media Dựng'!C89="","",'Media Dựng'!C89)</f>
        <v/>
      </c>
      <c r="D685" s="52" t="str">
        <f>IF('Media Dựng'!D89="","",'Media Dựng'!D89)</f>
        <v/>
      </c>
      <c r="E685" s="52" t="str">
        <f>IF('Media Dựng'!E89="","",'Media Dựng'!E89)</f>
        <v/>
      </c>
      <c r="F685" s="52" t="str">
        <f>IF('Media Dựng'!F89="","",'Media Dựng'!F89)</f>
        <v/>
      </c>
      <c r="G685" s="52" t="str">
        <f>IF('Media Dựng'!G89="","",'Media Dựng'!G89)</f>
        <v/>
      </c>
      <c r="H685" s="52" t="str">
        <f>IF('Media Dựng'!J89="","",'Media Dựng'!J89)</f>
        <v/>
      </c>
      <c r="I685" s="52" t="str">
        <f>IF('Media Dựng'!M89="","",'Media Dựng'!M89)</f>
        <v/>
      </c>
      <c r="J685" s="52" t="str">
        <f>IF('Media Dựng'!R89="","",'Media Dựng'!R89)</f>
        <v/>
      </c>
      <c r="K685" s="52" t="str">
        <f t="array" ref="K685">IF(COUNTA('Media Dựng'!T89:AE89)=0,"",INDEX('Media Dựng'!T89:AE89,1,SUMPRODUCT(MAX(('Media Dựng'!T89:AE89&lt;&gt;"")*(COLUMN('Media Dựng'!T89:AE89)-COLUMN('Media Dựng'!T89)+1)))))</f>
        <v/>
      </c>
      <c r="L685" s="52" t="str">
        <f>IF(AND(G685&lt;&gt;"",G685='Tổng hợp'!$C$4),MAX(L$1:L684)+1,"")</f>
        <v/>
      </c>
    </row>
    <row r="686" ht="15.75" customHeight="1">
      <c r="A686" s="52" t="str">
        <f>IF('Media Dựng'!C90="","","Media Dựng")</f>
        <v/>
      </c>
      <c r="B686" s="52" t="str">
        <f>IF('Media Dựng'!B90="","",'Media Dựng'!B90)</f>
        <v/>
      </c>
      <c r="C686" s="52" t="str">
        <f>IF('Media Dựng'!C90="","",'Media Dựng'!C90)</f>
        <v/>
      </c>
      <c r="D686" s="52" t="str">
        <f>IF('Media Dựng'!D90="","",'Media Dựng'!D90)</f>
        <v/>
      </c>
      <c r="E686" s="52" t="str">
        <f>IF('Media Dựng'!E90="","",'Media Dựng'!E90)</f>
        <v/>
      </c>
      <c r="F686" s="52" t="str">
        <f>IF('Media Dựng'!F90="","",'Media Dựng'!F90)</f>
        <v/>
      </c>
      <c r="G686" s="52" t="str">
        <f>IF('Media Dựng'!G90="","",'Media Dựng'!G90)</f>
        <v/>
      </c>
      <c r="H686" s="52" t="str">
        <f>IF('Media Dựng'!J90="","",'Media Dựng'!J90)</f>
        <v/>
      </c>
      <c r="I686" s="52" t="str">
        <f>IF('Media Dựng'!M90="","",'Media Dựng'!M90)</f>
        <v/>
      </c>
      <c r="J686" s="52" t="str">
        <f>IF('Media Dựng'!R90="","",'Media Dựng'!R90)</f>
        <v/>
      </c>
      <c r="K686" s="52" t="str">
        <f t="array" ref="K686">IF(COUNTA('Media Dựng'!T90:AE90)=0,"",INDEX('Media Dựng'!T90:AE90,1,SUMPRODUCT(MAX(('Media Dựng'!T90:AE90&lt;&gt;"")*(COLUMN('Media Dựng'!T90:AE90)-COLUMN('Media Dựng'!T90)+1)))))</f>
        <v/>
      </c>
      <c r="L686" s="52" t="str">
        <f>IF(AND(G686&lt;&gt;"",G686='Tổng hợp'!$C$4),MAX(L$1:L685)+1,"")</f>
        <v/>
      </c>
    </row>
    <row r="687" ht="15.75" customHeight="1">
      <c r="A687" s="52" t="str">
        <f>IF('Media Dựng'!C91="","","Media Dựng")</f>
        <v/>
      </c>
      <c r="B687" s="52" t="str">
        <f>IF('Media Dựng'!B91="","",'Media Dựng'!B91)</f>
        <v/>
      </c>
      <c r="C687" s="52" t="str">
        <f>IF('Media Dựng'!C91="","",'Media Dựng'!C91)</f>
        <v/>
      </c>
      <c r="D687" s="52" t="str">
        <f>IF('Media Dựng'!D91="","",'Media Dựng'!D91)</f>
        <v/>
      </c>
      <c r="E687" s="52" t="str">
        <f>IF('Media Dựng'!E91="","",'Media Dựng'!E91)</f>
        <v/>
      </c>
      <c r="F687" s="52" t="str">
        <f>IF('Media Dựng'!F91="","",'Media Dựng'!F91)</f>
        <v/>
      </c>
      <c r="G687" s="52" t="str">
        <f>IF('Media Dựng'!G91="","",'Media Dựng'!G91)</f>
        <v/>
      </c>
      <c r="H687" s="52" t="str">
        <f>IF('Media Dựng'!J91="","",'Media Dựng'!J91)</f>
        <v/>
      </c>
      <c r="I687" s="52" t="str">
        <f>IF('Media Dựng'!M91="","",'Media Dựng'!M91)</f>
        <v/>
      </c>
      <c r="J687" s="52" t="str">
        <f>IF('Media Dựng'!R91="","",'Media Dựng'!R91)</f>
        <v/>
      </c>
      <c r="K687" s="52" t="str">
        <f t="array" ref="K687">IF(COUNTA('Media Dựng'!T91:AE91)=0,"",INDEX('Media Dựng'!T91:AE91,1,SUMPRODUCT(MAX(('Media Dựng'!T91:AE91&lt;&gt;"")*(COLUMN('Media Dựng'!T91:AE91)-COLUMN('Media Dựng'!T91)+1)))))</f>
        <v/>
      </c>
      <c r="L687" s="52" t="str">
        <f>IF(AND(G687&lt;&gt;"",G687='Tổng hợp'!$C$4),MAX(L$1:L686)+1,"")</f>
        <v/>
      </c>
    </row>
    <row r="688" ht="15.75" customHeight="1">
      <c r="A688" s="52" t="str">
        <f>IF('Media Dựng'!C92="","","Media Dựng")</f>
        <v/>
      </c>
      <c r="B688" s="52" t="str">
        <f>IF('Media Dựng'!B92="","",'Media Dựng'!B92)</f>
        <v/>
      </c>
      <c r="C688" s="52" t="str">
        <f>IF('Media Dựng'!C92="","",'Media Dựng'!C92)</f>
        <v/>
      </c>
      <c r="D688" s="52" t="str">
        <f>IF('Media Dựng'!D92="","",'Media Dựng'!D92)</f>
        <v/>
      </c>
      <c r="E688" s="52" t="str">
        <f>IF('Media Dựng'!E92="","",'Media Dựng'!E92)</f>
        <v/>
      </c>
      <c r="F688" s="52" t="str">
        <f>IF('Media Dựng'!F92="","",'Media Dựng'!F92)</f>
        <v/>
      </c>
      <c r="G688" s="52" t="str">
        <f>IF('Media Dựng'!G92="","",'Media Dựng'!G92)</f>
        <v/>
      </c>
      <c r="H688" s="52" t="str">
        <f>IF('Media Dựng'!J92="","",'Media Dựng'!J92)</f>
        <v/>
      </c>
      <c r="I688" s="52" t="str">
        <f>IF('Media Dựng'!M92="","",'Media Dựng'!M92)</f>
        <v/>
      </c>
      <c r="J688" s="52" t="str">
        <f>IF('Media Dựng'!R92="","",'Media Dựng'!R92)</f>
        <v/>
      </c>
      <c r="K688" s="52" t="str">
        <f t="array" ref="K688">IF(COUNTA('Media Dựng'!T92:AE92)=0,"",INDEX('Media Dựng'!T92:AE92,1,SUMPRODUCT(MAX(('Media Dựng'!T92:AE92&lt;&gt;"")*(COLUMN('Media Dựng'!T92:AE92)-COLUMN('Media Dựng'!T92)+1)))))</f>
        <v/>
      </c>
      <c r="L688" s="52" t="str">
        <f>IF(AND(G688&lt;&gt;"",G688='Tổng hợp'!$C$4),MAX(L$1:L687)+1,"")</f>
        <v/>
      </c>
    </row>
    <row r="689" ht="15.75" customHeight="1">
      <c r="A689" s="52" t="str">
        <f>IF('Media Dựng'!C93="","","Media Dựng")</f>
        <v/>
      </c>
      <c r="B689" s="52" t="str">
        <f>IF('Media Dựng'!B93="","",'Media Dựng'!B93)</f>
        <v/>
      </c>
      <c r="C689" s="52" t="str">
        <f>IF('Media Dựng'!C93="","",'Media Dựng'!C93)</f>
        <v/>
      </c>
      <c r="D689" s="52" t="str">
        <f>IF('Media Dựng'!D93="","",'Media Dựng'!D93)</f>
        <v/>
      </c>
      <c r="E689" s="52" t="str">
        <f>IF('Media Dựng'!E93="","",'Media Dựng'!E93)</f>
        <v/>
      </c>
      <c r="F689" s="52" t="str">
        <f>IF('Media Dựng'!F93="","",'Media Dựng'!F93)</f>
        <v/>
      </c>
      <c r="G689" s="52" t="str">
        <f>IF('Media Dựng'!G93="","",'Media Dựng'!G93)</f>
        <v/>
      </c>
      <c r="H689" s="52" t="str">
        <f>IF('Media Dựng'!J93="","",'Media Dựng'!J93)</f>
        <v/>
      </c>
      <c r="I689" s="52" t="str">
        <f>IF('Media Dựng'!M93="","",'Media Dựng'!M93)</f>
        <v/>
      </c>
      <c r="J689" s="52" t="str">
        <f>IF('Media Dựng'!R93="","",'Media Dựng'!R93)</f>
        <v/>
      </c>
      <c r="K689" s="52" t="str">
        <f t="array" ref="K689">IF(COUNTA('Media Dựng'!T93:AE93)=0,"",INDEX('Media Dựng'!T93:AE93,1,SUMPRODUCT(MAX(('Media Dựng'!T93:AE93&lt;&gt;"")*(COLUMN('Media Dựng'!T93:AE93)-COLUMN('Media Dựng'!T93)+1)))))</f>
        <v/>
      </c>
      <c r="L689" s="52" t="str">
        <f>IF(AND(G689&lt;&gt;"",G689='Tổng hợp'!$C$4),MAX(L$1:L688)+1,"")</f>
        <v/>
      </c>
    </row>
    <row r="690" ht="15.75" customHeight="1">
      <c r="A690" s="52" t="str">
        <f>IF('Media Dựng'!C94="","","Media Dựng")</f>
        <v/>
      </c>
      <c r="B690" s="52" t="str">
        <f>IF('Media Dựng'!B94="","",'Media Dựng'!B94)</f>
        <v/>
      </c>
      <c r="C690" s="52" t="str">
        <f>IF('Media Dựng'!C94="","",'Media Dựng'!C94)</f>
        <v/>
      </c>
      <c r="D690" s="52" t="str">
        <f>IF('Media Dựng'!D94="","",'Media Dựng'!D94)</f>
        <v/>
      </c>
      <c r="E690" s="52" t="str">
        <f>IF('Media Dựng'!E94="","",'Media Dựng'!E94)</f>
        <v/>
      </c>
      <c r="F690" s="52" t="str">
        <f>IF('Media Dựng'!F94="","",'Media Dựng'!F94)</f>
        <v/>
      </c>
      <c r="G690" s="52" t="str">
        <f>IF('Media Dựng'!G94="","",'Media Dựng'!G94)</f>
        <v/>
      </c>
      <c r="H690" s="52" t="str">
        <f>IF('Media Dựng'!J94="","",'Media Dựng'!J94)</f>
        <v/>
      </c>
      <c r="I690" s="52" t="str">
        <f>IF('Media Dựng'!M94="","",'Media Dựng'!M94)</f>
        <v/>
      </c>
      <c r="J690" s="52" t="str">
        <f>IF('Media Dựng'!R94="","",'Media Dựng'!R94)</f>
        <v/>
      </c>
      <c r="K690" s="52" t="str">
        <f t="array" ref="K690">IF(COUNTA('Media Dựng'!T94:AE94)=0,"",INDEX('Media Dựng'!T94:AE94,1,SUMPRODUCT(MAX(('Media Dựng'!T94:AE94&lt;&gt;"")*(COLUMN('Media Dựng'!T94:AE94)-COLUMN('Media Dựng'!T94)+1)))))</f>
        <v/>
      </c>
      <c r="L690" s="52" t="str">
        <f>IF(AND(G690&lt;&gt;"",G690='Tổng hợp'!$C$4),MAX(L$1:L689)+1,"")</f>
        <v/>
      </c>
    </row>
    <row r="691" ht="15.75" customHeight="1">
      <c r="A691" s="52" t="str">
        <f>IF('Media Dựng'!C95="","","Media Dựng")</f>
        <v/>
      </c>
      <c r="B691" s="52" t="str">
        <f>IF('Media Dựng'!B95="","",'Media Dựng'!B95)</f>
        <v/>
      </c>
      <c r="C691" s="52" t="str">
        <f>IF('Media Dựng'!C95="","",'Media Dựng'!C95)</f>
        <v/>
      </c>
      <c r="D691" s="52" t="str">
        <f>IF('Media Dựng'!D95="","",'Media Dựng'!D95)</f>
        <v/>
      </c>
      <c r="E691" s="52" t="str">
        <f>IF('Media Dựng'!E95="","",'Media Dựng'!E95)</f>
        <v/>
      </c>
      <c r="F691" s="52" t="str">
        <f>IF('Media Dựng'!F95="","",'Media Dựng'!F95)</f>
        <v/>
      </c>
      <c r="G691" s="52" t="str">
        <f>IF('Media Dựng'!G95="","",'Media Dựng'!G95)</f>
        <v/>
      </c>
      <c r="H691" s="52" t="str">
        <f>IF('Media Dựng'!J95="","",'Media Dựng'!J95)</f>
        <v/>
      </c>
      <c r="I691" s="52" t="str">
        <f>IF('Media Dựng'!M95="","",'Media Dựng'!M95)</f>
        <v/>
      </c>
      <c r="J691" s="52" t="str">
        <f>IF('Media Dựng'!R95="","",'Media Dựng'!R95)</f>
        <v/>
      </c>
      <c r="K691" s="52" t="str">
        <f t="array" ref="K691">IF(COUNTA('Media Dựng'!T95:AE95)=0,"",INDEX('Media Dựng'!T95:AE95,1,SUMPRODUCT(MAX(('Media Dựng'!T95:AE95&lt;&gt;"")*(COLUMN('Media Dựng'!T95:AE95)-COLUMN('Media Dựng'!T95)+1)))))</f>
        <v/>
      </c>
      <c r="L691" s="52" t="str">
        <f>IF(AND(G691&lt;&gt;"",G691='Tổng hợp'!$C$4),MAX(L$1:L690)+1,"")</f>
        <v/>
      </c>
    </row>
    <row r="692" ht="15.75" customHeight="1">
      <c r="A692" s="52" t="str">
        <f>IF('Media Dựng'!C96="","","Media Dựng")</f>
        <v/>
      </c>
      <c r="B692" s="52" t="str">
        <f>IF('Media Dựng'!B96="","",'Media Dựng'!B96)</f>
        <v/>
      </c>
      <c r="C692" s="52" t="str">
        <f>IF('Media Dựng'!C96="","",'Media Dựng'!C96)</f>
        <v/>
      </c>
      <c r="D692" s="52" t="str">
        <f>IF('Media Dựng'!D96="","",'Media Dựng'!D96)</f>
        <v/>
      </c>
      <c r="E692" s="52" t="str">
        <f>IF('Media Dựng'!E96="","",'Media Dựng'!E96)</f>
        <v/>
      </c>
      <c r="F692" s="52" t="str">
        <f>IF('Media Dựng'!F96="","",'Media Dựng'!F96)</f>
        <v/>
      </c>
      <c r="G692" s="52" t="str">
        <f>IF('Media Dựng'!G96="","",'Media Dựng'!G96)</f>
        <v/>
      </c>
      <c r="H692" s="52" t="str">
        <f>IF('Media Dựng'!J96="","",'Media Dựng'!J96)</f>
        <v/>
      </c>
      <c r="I692" s="52" t="str">
        <f>IF('Media Dựng'!M96="","",'Media Dựng'!M96)</f>
        <v/>
      </c>
      <c r="J692" s="52" t="str">
        <f>IF('Media Dựng'!R96="","",'Media Dựng'!R96)</f>
        <v/>
      </c>
      <c r="K692" s="52" t="str">
        <f t="array" ref="K692">IF(COUNTA('Media Dựng'!T96:AE96)=0,"",INDEX('Media Dựng'!T96:AE96,1,SUMPRODUCT(MAX(('Media Dựng'!T96:AE96&lt;&gt;"")*(COLUMN('Media Dựng'!T96:AE96)-COLUMN('Media Dựng'!T96)+1)))))</f>
        <v/>
      </c>
      <c r="L692" s="52" t="str">
        <f>IF(AND(G692&lt;&gt;"",G692='Tổng hợp'!$C$4),MAX(L$1:L691)+1,"")</f>
        <v/>
      </c>
    </row>
    <row r="693" ht="15.75" customHeight="1">
      <c r="A693" s="52" t="str">
        <f>IF('Media Dựng'!C97="","","Media Dựng")</f>
        <v/>
      </c>
      <c r="B693" s="52" t="str">
        <f>IF('Media Dựng'!B97="","",'Media Dựng'!B97)</f>
        <v/>
      </c>
      <c r="C693" s="52" t="str">
        <f>IF('Media Dựng'!C97="","",'Media Dựng'!C97)</f>
        <v/>
      </c>
      <c r="D693" s="52" t="str">
        <f>IF('Media Dựng'!D97="","",'Media Dựng'!D97)</f>
        <v/>
      </c>
      <c r="E693" s="52" t="str">
        <f>IF('Media Dựng'!E97="","",'Media Dựng'!E97)</f>
        <v/>
      </c>
      <c r="F693" s="52" t="str">
        <f>IF('Media Dựng'!F97="","",'Media Dựng'!F97)</f>
        <v/>
      </c>
      <c r="G693" s="52" t="str">
        <f>IF('Media Dựng'!G97="","",'Media Dựng'!G97)</f>
        <v/>
      </c>
      <c r="H693" s="52" t="str">
        <f>IF('Media Dựng'!J97="","",'Media Dựng'!J97)</f>
        <v/>
      </c>
      <c r="I693" s="52" t="str">
        <f>IF('Media Dựng'!M97="","",'Media Dựng'!M97)</f>
        <v/>
      </c>
      <c r="J693" s="52" t="str">
        <f>IF('Media Dựng'!R97="","",'Media Dựng'!R97)</f>
        <v/>
      </c>
      <c r="K693" s="52" t="str">
        <f t="array" ref="K693">IF(COUNTA('Media Dựng'!T97:AE97)=0,"",INDEX('Media Dựng'!T97:AE97,1,SUMPRODUCT(MAX(('Media Dựng'!T97:AE97&lt;&gt;"")*(COLUMN('Media Dựng'!T97:AE97)-COLUMN('Media Dựng'!T97)+1)))))</f>
        <v/>
      </c>
      <c r="L693" s="52" t="str">
        <f>IF(AND(G693&lt;&gt;"",G693='Tổng hợp'!$C$4),MAX(L$1:L692)+1,"")</f>
        <v/>
      </c>
    </row>
    <row r="694" ht="15.75" customHeight="1">
      <c r="A694" s="52" t="str">
        <f>IF('Media Dựng'!C98="","","Media Dựng")</f>
        <v/>
      </c>
      <c r="B694" s="52" t="str">
        <f>IF('Media Dựng'!B98="","",'Media Dựng'!B98)</f>
        <v/>
      </c>
      <c r="C694" s="52" t="str">
        <f>IF('Media Dựng'!C98="","",'Media Dựng'!C98)</f>
        <v/>
      </c>
      <c r="D694" s="52" t="str">
        <f>IF('Media Dựng'!D98="","",'Media Dựng'!D98)</f>
        <v/>
      </c>
      <c r="E694" s="52" t="str">
        <f>IF('Media Dựng'!E98="","",'Media Dựng'!E98)</f>
        <v/>
      </c>
      <c r="F694" s="52" t="str">
        <f>IF('Media Dựng'!F98="","",'Media Dựng'!F98)</f>
        <v/>
      </c>
      <c r="G694" s="52" t="str">
        <f>IF('Media Dựng'!G98="","",'Media Dựng'!G98)</f>
        <v/>
      </c>
      <c r="H694" s="52" t="str">
        <f>IF('Media Dựng'!J98="","",'Media Dựng'!J98)</f>
        <v/>
      </c>
      <c r="I694" s="52" t="str">
        <f>IF('Media Dựng'!M98="","",'Media Dựng'!M98)</f>
        <v/>
      </c>
      <c r="J694" s="52" t="str">
        <f>IF('Media Dựng'!R98="","",'Media Dựng'!R98)</f>
        <v/>
      </c>
      <c r="K694" s="52" t="str">
        <f t="array" ref="K694">IF(COUNTA('Media Dựng'!T98:AE98)=0,"",INDEX('Media Dựng'!T98:AE98,1,SUMPRODUCT(MAX(('Media Dựng'!T98:AE98&lt;&gt;"")*(COLUMN('Media Dựng'!T98:AE98)-COLUMN('Media Dựng'!T98)+1)))))</f>
        <v/>
      </c>
      <c r="L694" s="52" t="str">
        <f>IF(AND(G694&lt;&gt;"",G694='Tổng hợp'!$C$4),MAX(L$1:L693)+1,"")</f>
        <v/>
      </c>
    </row>
    <row r="695" ht="15.75" customHeight="1">
      <c r="A695" s="52" t="str">
        <f>IF('Media Dựng'!C99="","","Media Dựng")</f>
        <v/>
      </c>
      <c r="B695" s="52" t="str">
        <f>IF('Media Dựng'!B99="","",'Media Dựng'!B99)</f>
        <v/>
      </c>
      <c r="C695" s="52" t="str">
        <f>IF('Media Dựng'!C99="","",'Media Dựng'!C99)</f>
        <v/>
      </c>
      <c r="D695" s="52" t="str">
        <f>IF('Media Dựng'!D99="","",'Media Dựng'!D99)</f>
        <v/>
      </c>
      <c r="E695" s="52" t="str">
        <f>IF('Media Dựng'!E99="","",'Media Dựng'!E99)</f>
        <v/>
      </c>
      <c r="F695" s="52" t="str">
        <f>IF('Media Dựng'!F99="","",'Media Dựng'!F99)</f>
        <v/>
      </c>
      <c r="G695" s="52" t="str">
        <f>IF('Media Dựng'!G99="","",'Media Dựng'!G99)</f>
        <v/>
      </c>
      <c r="H695" s="52" t="str">
        <f>IF('Media Dựng'!J99="","",'Media Dựng'!J99)</f>
        <v/>
      </c>
      <c r="I695" s="52" t="str">
        <f>IF('Media Dựng'!M99="","",'Media Dựng'!M99)</f>
        <v/>
      </c>
      <c r="J695" s="52" t="str">
        <f>IF('Media Dựng'!R99="","",'Media Dựng'!R99)</f>
        <v/>
      </c>
      <c r="K695" s="52" t="str">
        <f t="array" ref="K695">IF(COUNTA('Media Dựng'!T99:AE99)=0,"",INDEX('Media Dựng'!T99:AE99,1,SUMPRODUCT(MAX(('Media Dựng'!T99:AE99&lt;&gt;"")*(COLUMN('Media Dựng'!T99:AE99)-COLUMN('Media Dựng'!T99)+1)))))</f>
        <v/>
      </c>
      <c r="L695" s="52" t="str">
        <f>IF(AND(G695&lt;&gt;"",G695='Tổng hợp'!$C$4),MAX(L$1:L694)+1,"")</f>
        <v/>
      </c>
    </row>
    <row r="696" ht="15.75" customHeight="1">
      <c r="A696" s="52" t="str">
        <f>IF('Media Dựng'!C100="","","Media Dựng")</f>
        <v/>
      </c>
      <c r="B696" s="52" t="str">
        <f>IF('Media Dựng'!B100="","",'Media Dựng'!B100)</f>
        <v/>
      </c>
      <c r="C696" s="52" t="str">
        <f>IF('Media Dựng'!C100="","",'Media Dựng'!C100)</f>
        <v/>
      </c>
      <c r="D696" s="52" t="str">
        <f>IF('Media Dựng'!D100="","",'Media Dựng'!D100)</f>
        <v/>
      </c>
      <c r="E696" s="52" t="str">
        <f>IF('Media Dựng'!E100="","",'Media Dựng'!E100)</f>
        <v/>
      </c>
      <c r="F696" s="52" t="str">
        <f>IF('Media Dựng'!F100="","",'Media Dựng'!F100)</f>
        <v/>
      </c>
      <c r="G696" s="52" t="str">
        <f>IF('Media Dựng'!G100="","",'Media Dựng'!G100)</f>
        <v/>
      </c>
      <c r="H696" s="52" t="str">
        <f>IF('Media Dựng'!J100="","",'Media Dựng'!J100)</f>
        <v/>
      </c>
      <c r="I696" s="52" t="str">
        <f>IF('Media Dựng'!M100="","",'Media Dựng'!M100)</f>
        <v/>
      </c>
      <c r="J696" s="52" t="str">
        <f>IF('Media Dựng'!R100="","",'Media Dựng'!R100)</f>
        <v/>
      </c>
      <c r="K696" s="52" t="str">
        <f t="array" ref="K696">IF(COUNTA('Media Dựng'!T100:AE100)=0,"",INDEX('Media Dựng'!T100:AE100,1,SUMPRODUCT(MAX(('Media Dựng'!T100:AE100&lt;&gt;"")*(COLUMN('Media Dựng'!T100:AE100)-COLUMN('Media Dựng'!T100)+1)))))</f>
        <v/>
      </c>
      <c r="L696" s="52" t="str">
        <f>IF(AND(G696&lt;&gt;"",G696='Tổng hợp'!$C$4),MAX(L$1:L695)+1,"")</f>
        <v/>
      </c>
    </row>
    <row r="697" ht="15.75" customHeight="1">
      <c r="A697" s="52" t="str">
        <f>IF('Media Dựng'!C101="","","Media Dựng")</f>
        <v/>
      </c>
      <c r="B697" s="52" t="str">
        <f>IF('Media Dựng'!B101="","",'Media Dựng'!B101)</f>
        <v/>
      </c>
      <c r="C697" s="52" t="str">
        <f>IF('Media Dựng'!C101="","",'Media Dựng'!C101)</f>
        <v/>
      </c>
      <c r="D697" s="52" t="str">
        <f>IF('Media Dựng'!D101="","",'Media Dựng'!D101)</f>
        <v/>
      </c>
      <c r="E697" s="52" t="str">
        <f>IF('Media Dựng'!E101="","",'Media Dựng'!E101)</f>
        <v/>
      </c>
      <c r="F697" s="52" t="str">
        <f>IF('Media Dựng'!F101="","",'Media Dựng'!F101)</f>
        <v/>
      </c>
      <c r="G697" s="52" t="str">
        <f>IF('Media Dựng'!G101="","",'Media Dựng'!G101)</f>
        <v/>
      </c>
      <c r="H697" s="52" t="str">
        <f>IF('Media Dựng'!J101="","",'Media Dựng'!J101)</f>
        <v/>
      </c>
      <c r="I697" s="52" t="str">
        <f>IF('Media Dựng'!M101="","",'Media Dựng'!M101)</f>
        <v/>
      </c>
      <c r="J697" s="52" t="str">
        <f>IF('Media Dựng'!R101="","",'Media Dựng'!R101)</f>
        <v/>
      </c>
      <c r="K697" s="52" t="str">
        <f t="array" ref="K697">IF(COUNTA('Media Dựng'!T101:AE101)=0,"",INDEX('Media Dựng'!T101:AE101,1,SUMPRODUCT(MAX(('Media Dựng'!T101:AE101&lt;&gt;"")*(COLUMN('Media Dựng'!T101:AE101)-COLUMN('Media Dựng'!T101)+1)))))</f>
        <v/>
      </c>
      <c r="L697" s="52" t="str">
        <f>IF(AND(G697&lt;&gt;"",G697='Tổng hợp'!$C$4),MAX(L$1:L696)+1,"")</f>
        <v/>
      </c>
    </row>
    <row r="698" ht="15.75" customHeight="1">
      <c r="A698" s="52" t="str">
        <f>IF('Media Dựng'!C102="","","Media Dựng")</f>
        <v/>
      </c>
      <c r="B698" s="52" t="str">
        <f>IF('Media Dựng'!B102="","",'Media Dựng'!B102)</f>
        <v/>
      </c>
      <c r="C698" s="52" t="str">
        <f>IF('Media Dựng'!C102="","",'Media Dựng'!C102)</f>
        <v/>
      </c>
      <c r="D698" s="52" t="str">
        <f>IF('Media Dựng'!D102="","",'Media Dựng'!D102)</f>
        <v/>
      </c>
      <c r="E698" s="52" t="str">
        <f>IF('Media Dựng'!E102="","",'Media Dựng'!E102)</f>
        <v/>
      </c>
      <c r="F698" s="52" t="str">
        <f>IF('Media Dựng'!F102="","",'Media Dựng'!F102)</f>
        <v/>
      </c>
      <c r="G698" s="52" t="str">
        <f>IF('Media Dựng'!G102="","",'Media Dựng'!G102)</f>
        <v/>
      </c>
      <c r="H698" s="52" t="str">
        <f>IF('Media Dựng'!J102="","",'Media Dựng'!J102)</f>
        <v/>
      </c>
      <c r="I698" s="52" t="str">
        <f>IF('Media Dựng'!M102="","",'Media Dựng'!M102)</f>
        <v/>
      </c>
      <c r="J698" s="52" t="str">
        <f>IF('Media Dựng'!R102="","",'Media Dựng'!R102)</f>
        <v/>
      </c>
      <c r="K698" s="52" t="str">
        <f t="array" ref="K698">IF(COUNTA('Media Dựng'!T102:AE102)=0,"",INDEX('Media Dựng'!T102:AE102,1,SUMPRODUCT(MAX(('Media Dựng'!T102:AE102&lt;&gt;"")*(COLUMN('Media Dựng'!T102:AE102)-COLUMN('Media Dựng'!T102)+1)))))</f>
        <v/>
      </c>
      <c r="L698" s="52" t="str">
        <f>IF(AND(G698&lt;&gt;"",G698='Tổng hợp'!$C$4),MAX(L$1:L697)+1,"")</f>
        <v/>
      </c>
    </row>
    <row r="699" ht="15.75" customHeight="1">
      <c r="A699" s="52" t="str">
        <f>IF('Media Dựng'!C103="","","Media Dựng")</f>
        <v/>
      </c>
      <c r="B699" s="52" t="str">
        <f>IF('Media Dựng'!B103="","",'Media Dựng'!B103)</f>
        <v/>
      </c>
      <c r="C699" s="52" t="str">
        <f>IF('Media Dựng'!C103="","",'Media Dựng'!C103)</f>
        <v/>
      </c>
      <c r="D699" s="52" t="str">
        <f>IF('Media Dựng'!D103="","",'Media Dựng'!D103)</f>
        <v/>
      </c>
      <c r="E699" s="52" t="str">
        <f>IF('Media Dựng'!E103="","",'Media Dựng'!E103)</f>
        <v/>
      </c>
      <c r="F699" s="52" t="str">
        <f>IF('Media Dựng'!F103="","",'Media Dựng'!F103)</f>
        <v/>
      </c>
      <c r="G699" s="52" t="str">
        <f>IF('Media Dựng'!G103="","",'Media Dựng'!G103)</f>
        <v/>
      </c>
      <c r="H699" s="52" t="str">
        <f>IF('Media Dựng'!J103="","",'Media Dựng'!J103)</f>
        <v/>
      </c>
      <c r="I699" s="52" t="str">
        <f>IF('Media Dựng'!M103="","",'Media Dựng'!M103)</f>
        <v/>
      </c>
      <c r="J699" s="52" t="str">
        <f>IF('Media Dựng'!R103="","",'Media Dựng'!R103)</f>
        <v/>
      </c>
      <c r="K699" s="52" t="str">
        <f t="array" ref="K699">IF(COUNTA('Media Dựng'!T103:AE103)=0,"",INDEX('Media Dựng'!T103:AE103,1,SUMPRODUCT(MAX(('Media Dựng'!T103:AE103&lt;&gt;"")*(COLUMN('Media Dựng'!T103:AE103)-COLUMN('Media Dựng'!T103)+1)))))</f>
        <v/>
      </c>
      <c r="L699" s="52" t="str">
        <f>IF(AND(G699&lt;&gt;"",G699='Tổng hợp'!$C$4),MAX(L$1:L698)+1,"")</f>
        <v/>
      </c>
    </row>
    <row r="700" ht="15.75" customHeight="1">
      <c r="A700" s="52" t="str">
        <f>IF('Media Dựng'!C104="","","Media Dựng")</f>
        <v/>
      </c>
      <c r="B700" s="52" t="str">
        <f>IF('Media Dựng'!B104="","",'Media Dựng'!B104)</f>
        <v/>
      </c>
      <c r="C700" s="52" t="str">
        <f>IF('Media Dựng'!C104="","",'Media Dựng'!C104)</f>
        <v/>
      </c>
      <c r="D700" s="52" t="str">
        <f>IF('Media Dựng'!D104="","",'Media Dựng'!D104)</f>
        <v/>
      </c>
      <c r="E700" s="52" t="str">
        <f>IF('Media Dựng'!E104="","",'Media Dựng'!E104)</f>
        <v/>
      </c>
      <c r="F700" s="52" t="str">
        <f>IF('Media Dựng'!F104="","",'Media Dựng'!F104)</f>
        <v/>
      </c>
      <c r="G700" s="52" t="str">
        <f>IF('Media Dựng'!G104="","",'Media Dựng'!G104)</f>
        <v/>
      </c>
      <c r="H700" s="52" t="str">
        <f>IF('Media Dựng'!J104="","",'Media Dựng'!J104)</f>
        <v/>
      </c>
      <c r="I700" s="52" t="str">
        <f>IF('Media Dựng'!M104="","",'Media Dựng'!M104)</f>
        <v/>
      </c>
      <c r="J700" s="52" t="str">
        <f>IF('Media Dựng'!R104="","",'Media Dựng'!R104)</f>
        <v/>
      </c>
      <c r="K700" s="52" t="str">
        <f t="array" ref="K700">IF(COUNTA('Media Dựng'!T104:AE104)=0,"",INDEX('Media Dựng'!T104:AE104,1,SUMPRODUCT(MAX(('Media Dựng'!T104:AE104&lt;&gt;"")*(COLUMN('Media Dựng'!T104:AE104)-COLUMN('Media Dựng'!T104)+1)))))</f>
        <v/>
      </c>
      <c r="L700" s="52" t="str">
        <f>IF(AND(G700&lt;&gt;"",G700='Tổng hợp'!$C$4),MAX(L$1:L699)+1,"")</f>
        <v/>
      </c>
    </row>
    <row r="701" ht="15.75" customHeight="1">
      <c r="A701" s="52" t="str">
        <f>IF('Media Dựng'!C105="","","Media Dựng")</f>
        <v/>
      </c>
      <c r="B701" s="52" t="str">
        <f>IF('Media Dựng'!B105="","",'Media Dựng'!B105)</f>
        <v/>
      </c>
      <c r="C701" s="52" t="str">
        <f>IF('Media Dựng'!C105="","",'Media Dựng'!C105)</f>
        <v/>
      </c>
      <c r="D701" s="52" t="str">
        <f>IF('Media Dựng'!D105="","",'Media Dựng'!D105)</f>
        <v/>
      </c>
      <c r="E701" s="52" t="str">
        <f>IF('Media Dựng'!E105="","",'Media Dựng'!E105)</f>
        <v/>
      </c>
      <c r="F701" s="52" t="str">
        <f>IF('Media Dựng'!F105="","",'Media Dựng'!F105)</f>
        <v/>
      </c>
      <c r="G701" s="52" t="str">
        <f>IF('Media Dựng'!G105="","",'Media Dựng'!G105)</f>
        <v/>
      </c>
      <c r="H701" s="52" t="str">
        <f>IF('Media Dựng'!J105="","",'Media Dựng'!J105)</f>
        <v/>
      </c>
      <c r="I701" s="52" t="str">
        <f>IF('Media Dựng'!M105="","",'Media Dựng'!M105)</f>
        <v/>
      </c>
      <c r="J701" s="52" t="str">
        <f>IF('Media Dựng'!R105="","",'Media Dựng'!R105)</f>
        <v/>
      </c>
      <c r="K701" s="52" t="str">
        <f t="array" ref="K701">IF(COUNTA('Media Dựng'!T105:AE105)=0,"",INDEX('Media Dựng'!T105:AE105,1,SUMPRODUCT(MAX(('Media Dựng'!T105:AE105&lt;&gt;"")*(COLUMN('Media Dựng'!T105:AE105)-COLUMN('Media Dựng'!T105)+1)))))</f>
        <v/>
      </c>
      <c r="L701" s="52" t="str">
        <f>IF(AND(G701&lt;&gt;"",G701='Tổng hợp'!$C$4),MAX(L$1:L700)+1,"")</f>
        <v/>
      </c>
    </row>
    <row r="702" ht="15.75" customHeight="1">
      <c r="A702" s="52" t="str">
        <f>IF('Media Dựng'!C106="","","Media Dựng")</f>
        <v/>
      </c>
      <c r="B702" s="52" t="str">
        <f>IF('Media Dựng'!B106="","",'Media Dựng'!B106)</f>
        <v/>
      </c>
      <c r="C702" s="52" t="str">
        <f>IF('Media Dựng'!C106="","",'Media Dựng'!C106)</f>
        <v/>
      </c>
      <c r="D702" s="52" t="str">
        <f>IF('Media Dựng'!D106="","",'Media Dựng'!D106)</f>
        <v/>
      </c>
      <c r="E702" s="52" t="str">
        <f>IF('Media Dựng'!E106="","",'Media Dựng'!E106)</f>
        <v/>
      </c>
      <c r="F702" s="52" t="str">
        <f>IF('Media Dựng'!F106="","",'Media Dựng'!F106)</f>
        <v/>
      </c>
      <c r="G702" s="52" t="str">
        <f>IF('Media Dựng'!G106="","",'Media Dựng'!G106)</f>
        <v/>
      </c>
      <c r="H702" s="52" t="str">
        <f>IF('Media Dựng'!J106="","",'Media Dựng'!J106)</f>
        <v/>
      </c>
      <c r="I702" s="52" t="str">
        <f>IF('Media Dựng'!M106="","",'Media Dựng'!M106)</f>
        <v/>
      </c>
      <c r="J702" s="52" t="str">
        <f>IF('Media Dựng'!R106="","",'Media Dựng'!R106)</f>
        <v/>
      </c>
      <c r="K702" s="52" t="str">
        <f t="array" ref="K702">IF(COUNTA('Media Dựng'!T106:AE106)=0,"",INDEX('Media Dựng'!T106:AE106,1,SUMPRODUCT(MAX(('Media Dựng'!T106:AE106&lt;&gt;"")*(COLUMN('Media Dựng'!T106:AE106)-COLUMN('Media Dựng'!T106)+1)))))</f>
        <v/>
      </c>
      <c r="L702" s="52" t="str">
        <f>IF(AND(G702&lt;&gt;"",G702='Tổng hợp'!$C$4),MAX(L$1:L701)+1,"")</f>
        <v/>
      </c>
    </row>
    <row r="703" ht="15.75" customHeight="1">
      <c r="A703" s="52" t="str">
        <f>IF('Media Dựng'!C107="","","Media Dựng")</f>
        <v/>
      </c>
      <c r="B703" s="52" t="str">
        <f>IF('Media Dựng'!B107="","",'Media Dựng'!B107)</f>
        <v/>
      </c>
      <c r="C703" s="52" t="str">
        <f>IF('Media Dựng'!C107="","",'Media Dựng'!C107)</f>
        <v/>
      </c>
      <c r="D703" s="52" t="str">
        <f>IF('Media Dựng'!D107="","",'Media Dựng'!D107)</f>
        <v/>
      </c>
      <c r="E703" s="52" t="str">
        <f>IF('Media Dựng'!E107="","",'Media Dựng'!E107)</f>
        <v/>
      </c>
      <c r="F703" s="52" t="str">
        <f>IF('Media Dựng'!F107="","",'Media Dựng'!F107)</f>
        <v/>
      </c>
      <c r="G703" s="52" t="str">
        <f>IF('Media Dựng'!G107="","",'Media Dựng'!G107)</f>
        <v/>
      </c>
      <c r="H703" s="52" t="str">
        <f>IF('Media Dựng'!J107="","",'Media Dựng'!J107)</f>
        <v/>
      </c>
      <c r="I703" s="52" t="str">
        <f>IF('Media Dựng'!M107="","",'Media Dựng'!M107)</f>
        <v/>
      </c>
      <c r="J703" s="52" t="str">
        <f>IF('Media Dựng'!R107="","",'Media Dựng'!R107)</f>
        <v/>
      </c>
      <c r="K703" s="52" t="str">
        <f t="array" ref="K703">IF(COUNTA('Media Dựng'!T107:AE107)=0,"",INDEX('Media Dựng'!T107:AE107,1,SUMPRODUCT(MAX(('Media Dựng'!T107:AE107&lt;&gt;"")*(COLUMN('Media Dựng'!T107:AE107)-COLUMN('Media Dựng'!T107)+1)))))</f>
        <v/>
      </c>
      <c r="L703" s="52" t="str">
        <f>IF(AND(G703&lt;&gt;"",G703='Tổng hợp'!$C$4),MAX(L$1:L702)+1,"")</f>
        <v/>
      </c>
    </row>
    <row r="704" ht="15.75" customHeight="1">
      <c r="A704" s="52" t="str">
        <f>IF('Media Dựng'!C108="","","Media Dựng")</f>
        <v/>
      </c>
      <c r="B704" s="52" t="str">
        <f>IF('Media Dựng'!B108="","",'Media Dựng'!B108)</f>
        <v/>
      </c>
      <c r="C704" s="52" t="str">
        <f>IF('Media Dựng'!C108="","",'Media Dựng'!C108)</f>
        <v/>
      </c>
      <c r="D704" s="52" t="str">
        <f>IF('Media Dựng'!D108="","",'Media Dựng'!D108)</f>
        <v/>
      </c>
      <c r="E704" s="52" t="str">
        <f>IF('Media Dựng'!E108="","",'Media Dựng'!E108)</f>
        <v/>
      </c>
      <c r="F704" s="52" t="str">
        <f>IF('Media Dựng'!F108="","",'Media Dựng'!F108)</f>
        <v/>
      </c>
      <c r="G704" s="52" t="str">
        <f>IF('Media Dựng'!G108="","",'Media Dựng'!G108)</f>
        <v/>
      </c>
      <c r="H704" s="52" t="str">
        <f>IF('Media Dựng'!J108="","",'Media Dựng'!J108)</f>
        <v/>
      </c>
      <c r="I704" s="52" t="str">
        <f>IF('Media Dựng'!M108="","",'Media Dựng'!M108)</f>
        <v/>
      </c>
      <c r="J704" s="52" t="str">
        <f>IF('Media Dựng'!R108="","",'Media Dựng'!R108)</f>
        <v/>
      </c>
      <c r="K704" s="52" t="str">
        <f t="array" ref="K704">IF(COUNTA('Media Dựng'!T108:AE108)=0,"",INDEX('Media Dựng'!T108:AE108,1,SUMPRODUCT(MAX(('Media Dựng'!T108:AE108&lt;&gt;"")*(COLUMN('Media Dựng'!T108:AE108)-COLUMN('Media Dựng'!T108)+1)))))</f>
        <v/>
      </c>
      <c r="L704" s="52" t="str">
        <f>IF(AND(G704&lt;&gt;"",G704='Tổng hợp'!$C$4),MAX(L$1:L703)+1,"")</f>
        <v/>
      </c>
    </row>
    <row r="705" ht="15.75" customHeight="1">
      <c r="A705" s="52" t="str">
        <f>IF('Media Dựng'!C109="","","Media Dựng")</f>
        <v/>
      </c>
      <c r="B705" s="52" t="str">
        <f>IF('Media Dựng'!B109="","",'Media Dựng'!B109)</f>
        <v/>
      </c>
      <c r="C705" s="52" t="str">
        <f>IF('Media Dựng'!C109="","",'Media Dựng'!C109)</f>
        <v/>
      </c>
      <c r="D705" s="52" t="str">
        <f>IF('Media Dựng'!D109="","",'Media Dựng'!D109)</f>
        <v/>
      </c>
      <c r="E705" s="52" t="str">
        <f>IF('Media Dựng'!E109="","",'Media Dựng'!E109)</f>
        <v/>
      </c>
      <c r="F705" s="52" t="str">
        <f>IF('Media Dựng'!F109="","",'Media Dựng'!F109)</f>
        <v/>
      </c>
      <c r="G705" s="52" t="str">
        <f>IF('Media Dựng'!G109="","",'Media Dựng'!G109)</f>
        <v/>
      </c>
      <c r="H705" s="52" t="str">
        <f>IF('Media Dựng'!J109="","",'Media Dựng'!J109)</f>
        <v/>
      </c>
      <c r="I705" s="52" t="str">
        <f>IF('Media Dựng'!M109="","",'Media Dựng'!M109)</f>
        <v/>
      </c>
      <c r="J705" s="52" t="str">
        <f>IF('Media Dựng'!R109="","",'Media Dựng'!R109)</f>
        <v/>
      </c>
      <c r="K705" s="52" t="str">
        <f t="array" ref="K705">IF(COUNTA('Media Dựng'!T109:AE109)=0,"",INDEX('Media Dựng'!T109:AE109,1,SUMPRODUCT(MAX(('Media Dựng'!T109:AE109&lt;&gt;"")*(COLUMN('Media Dựng'!T109:AE109)-COLUMN('Media Dựng'!T109)+1)))))</f>
        <v/>
      </c>
      <c r="L705" s="52" t="str">
        <f>IF(AND(G705&lt;&gt;"",G705='Tổng hợp'!$C$4),MAX(L$1:L704)+1,"")</f>
        <v/>
      </c>
    </row>
    <row r="706" ht="15.75" customHeight="1">
      <c r="A706" s="52" t="str">
        <f>IF('Media Dựng'!C110="","","Media Dựng")</f>
        <v/>
      </c>
      <c r="B706" s="52" t="str">
        <f>IF('Media Dựng'!B110="","",'Media Dựng'!B110)</f>
        <v/>
      </c>
      <c r="C706" s="52" t="str">
        <f>IF('Media Dựng'!C110="","",'Media Dựng'!C110)</f>
        <v/>
      </c>
      <c r="D706" s="52" t="str">
        <f>IF('Media Dựng'!D110="","",'Media Dựng'!D110)</f>
        <v/>
      </c>
      <c r="E706" s="52" t="str">
        <f>IF('Media Dựng'!E110="","",'Media Dựng'!E110)</f>
        <v/>
      </c>
      <c r="F706" s="52" t="str">
        <f>IF('Media Dựng'!F110="","",'Media Dựng'!F110)</f>
        <v/>
      </c>
      <c r="G706" s="52" t="str">
        <f>IF('Media Dựng'!G110="","",'Media Dựng'!G110)</f>
        <v/>
      </c>
      <c r="H706" s="52" t="str">
        <f>IF('Media Dựng'!J110="","",'Media Dựng'!J110)</f>
        <v/>
      </c>
      <c r="I706" s="52" t="str">
        <f>IF('Media Dựng'!M110="","",'Media Dựng'!M110)</f>
        <v/>
      </c>
      <c r="J706" s="52" t="str">
        <f>IF('Media Dựng'!R110="","",'Media Dựng'!R110)</f>
        <v/>
      </c>
      <c r="K706" s="52" t="str">
        <f t="array" ref="K706">IF(COUNTA('Media Dựng'!T110:AE110)=0,"",INDEX('Media Dựng'!T110:AE110,1,SUMPRODUCT(MAX(('Media Dựng'!T110:AE110&lt;&gt;"")*(COLUMN('Media Dựng'!T110:AE110)-COLUMN('Media Dựng'!T110)+1)))))</f>
        <v/>
      </c>
      <c r="L706" s="52" t="str">
        <f>IF(AND(G706&lt;&gt;"",G706='Tổng hợp'!$C$4),MAX(L$1:L705)+1,"")</f>
        <v/>
      </c>
    </row>
    <row r="707" ht="15.75" customHeight="1">
      <c r="A707" s="52" t="str">
        <f>IF('Media Dựng'!C111="","","Media Dựng")</f>
        <v/>
      </c>
      <c r="B707" s="52" t="str">
        <f>IF('Media Dựng'!B111="","",'Media Dựng'!B111)</f>
        <v/>
      </c>
      <c r="C707" s="52" t="str">
        <f>IF('Media Dựng'!C111="","",'Media Dựng'!C111)</f>
        <v/>
      </c>
      <c r="D707" s="52" t="str">
        <f>IF('Media Dựng'!D111="","",'Media Dựng'!D111)</f>
        <v/>
      </c>
      <c r="E707" s="52" t="str">
        <f>IF('Media Dựng'!E111="","",'Media Dựng'!E111)</f>
        <v/>
      </c>
      <c r="F707" s="52" t="str">
        <f>IF('Media Dựng'!F111="","",'Media Dựng'!F111)</f>
        <v/>
      </c>
      <c r="G707" s="52" t="str">
        <f>IF('Media Dựng'!G111="","",'Media Dựng'!G111)</f>
        <v/>
      </c>
      <c r="H707" s="52" t="str">
        <f>IF('Media Dựng'!J111="","",'Media Dựng'!J111)</f>
        <v/>
      </c>
      <c r="I707" s="52" t="str">
        <f>IF('Media Dựng'!M111="","",'Media Dựng'!M111)</f>
        <v/>
      </c>
      <c r="J707" s="52" t="str">
        <f>IF('Media Dựng'!R111="","",'Media Dựng'!R111)</f>
        <v/>
      </c>
      <c r="K707" s="52" t="str">
        <f t="array" ref="K707">IF(COUNTA('Media Dựng'!T111:AE111)=0,"",INDEX('Media Dựng'!T111:AE111,1,SUMPRODUCT(MAX(('Media Dựng'!T111:AE111&lt;&gt;"")*(COLUMN('Media Dựng'!T111:AE111)-COLUMN('Media Dựng'!T111)+1)))))</f>
        <v/>
      </c>
      <c r="L707" s="52" t="str">
        <f>IF(AND(G707&lt;&gt;"",G707='Tổng hợp'!$C$4),MAX(L$1:L706)+1,"")</f>
        <v/>
      </c>
    </row>
    <row r="708" ht="15.75" customHeight="1">
      <c r="A708" s="52" t="str">
        <f>IF('Media Dựng'!C112="","","Media Dựng")</f>
        <v/>
      </c>
      <c r="B708" s="52" t="str">
        <f>IF('Media Dựng'!B112="","",'Media Dựng'!B112)</f>
        <v/>
      </c>
      <c r="C708" s="52" t="str">
        <f>IF('Media Dựng'!C112="","",'Media Dựng'!C112)</f>
        <v/>
      </c>
      <c r="D708" s="52" t="str">
        <f>IF('Media Dựng'!D112="","",'Media Dựng'!D112)</f>
        <v/>
      </c>
      <c r="E708" s="52" t="str">
        <f>IF('Media Dựng'!E112="","",'Media Dựng'!E112)</f>
        <v/>
      </c>
      <c r="F708" s="52" t="str">
        <f>IF('Media Dựng'!F112="","",'Media Dựng'!F112)</f>
        <v/>
      </c>
      <c r="G708" s="52" t="str">
        <f>IF('Media Dựng'!G112="","",'Media Dựng'!G112)</f>
        <v/>
      </c>
      <c r="H708" s="52" t="str">
        <f>IF('Media Dựng'!J112="","",'Media Dựng'!J112)</f>
        <v/>
      </c>
      <c r="I708" s="52" t="str">
        <f>IF('Media Dựng'!M112="","",'Media Dựng'!M112)</f>
        <v/>
      </c>
      <c r="J708" s="52" t="str">
        <f>IF('Media Dựng'!R112="","",'Media Dựng'!R112)</f>
        <v/>
      </c>
      <c r="K708" s="52" t="str">
        <f t="array" ref="K708">IF(COUNTA('Media Dựng'!T112:AE112)=0,"",INDEX('Media Dựng'!T112:AE112,1,SUMPRODUCT(MAX(('Media Dựng'!T112:AE112&lt;&gt;"")*(COLUMN('Media Dựng'!T112:AE112)-COLUMN('Media Dựng'!T112)+1)))))</f>
        <v/>
      </c>
      <c r="L708" s="52" t="str">
        <f>IF(AND(G708&lt;&gt;"",G708='Tổng hợp'!$C$4),MAX(L$1:L707)+1,"")</f>
        <v/>
      </c>
    </row>
    <row r="709" ht="15.75" customHeight="1">
      <c r="A709" s="52" t="str">
        <f>IF('Media Dựng'!C113="","","Media Dựng")</f>
        <v/>
      </c>
      <c r="B709" s="52" t="str">
        <f>IF('Media Dựng'!B113="","",'Media Dựng'!B113)</f>
        <v/>
      </c>
      <c r="C709" s="52" t="str">
        <f>IF('Media Dựng'!C113="","",'Media Dựng'!C113)</f>
        <v/>
      </c>
      <c r="D709" s="52" t="str">
        <f>IF('Media Dựng'!D113="","",'Media Dựng'!D113)</f>
        <v/>
      </c>
      <c r="E709" s="52" t="str">
        <f>IF('Media Dựng'!E113="","",'Media Dựng'!E113)</f>
        <v/>
      </c>
      <c r="F709" s="52" t="str">
        <f>IF('Media Dựng'!F113="","",'Media Dựng'!F113)</f>
        <v/>
      </c>
      <c r="G709" s="52" t="str">
        <f>IF('Media Dựng'!G113="","",'Media Dựng'!G113)</f>
        <v/>
      </c>
      <c r="H709" s="52" t="str">
        <f>IF('Media Dựng'!J113="","",'Media Dựng'!J113)</f>
        <v/>
      </c>
      <c r="I709" s="52" t="str">
        <f>IF('Media Dựng'!M113="","",'Media Dựng'!M113)</f>
        <v/>
      </c>
      <c r="J709" s="52" t="str">
        <f>IF('Media Dựng'!R113="","",'Media Dựng'!R113)</f>
        <v/>
      </c>
      <c r="K709" s="52" t="str">
        <f t="array" ref="K709">IF(COUNTA('Media Dựng'!T113:AE113)=0,"",INDEX('Media Dựng'!T113:AE113,1,SUMPRODUCT(MAX(('Media Dựng'!T113:AE113&lt;&gt;"")*(COLUMN('Media Dựng'!T113:AE113)-COLUMN('Media Dựng'!T113)+1)))))</f>
        <v/>
      </c>
      <c r="L709" s="52" t="str">
        <f>IF(AND(G709&lt;&gt;"",G709='Tổng hợp'!$C$4),MAX(L$1:L708)+1,"")</f>
        <v/>
      </c>
    </row>
    <row r="710" ht="15.75" customHeight="1">
      <c r="A710" s="52" t="str">
        <f>IF('Media Dựng'!C114="","","Media Dựng")</f>
        <v/>
      </c>
      <c r="B710" s="52" t="str">
        <f>IF('Media Dựng'!B114="","",'Media Dựng'!B114)</f>
        <v/>
      </c>
      <c r="C710" s="52" t="str">
        <f>IF('Media Dựng'!C114="","",'Media Dựng'!C114)</f>
        <v/>
      </c>
      <c r="D710" s="52" t="str">
        <f>IF('Media Dựng'!D114="","",'Media Dựng'!D114)</f>
        <v/>
      </c>
      <c r="E710" s="52" t="str">
        <f>IF('Media Dựng'!E114="","",'Media Dựng'!E114)</f>
        <v/>
      </c>
      <c r="F710" s="52" t="str">
        <f>IF('Media Dựng'!F114="","",'Media Dựng'!F114)</f>
        <v/>
      </c>
      <c r="G710" s="52" t="str">
        <f>IF('Media Dựng'!G114="","",'Media Dựng'!G114)</f>
        <v/>
      </c>
      <c r="H710" s="52" t="str">
        <f>IF('Media Dựng'!J114="","",'Media Dựng'!J114)</f>
        <v/>
      </c>
      <c r="I710" s="52" t="str">
        <f>IF('Media Dựng'!M114="","",'Media Dựng'!M114)</f>
        <v/>
      </c>
      <c r="J710" s="52" t="str">
        <f>IF('Media Dựng'!R114="","",'Media Dựng'!R114)</f>
        <v/>
      </c>
      <c r="K710" s="52" t="str">
        <f t="array" ref="K710">IF(COUNTA('Media Dựng'!T114:AE114)=0,"",INDEX('Media Dựng'!T114:AE114,1,SUMPRODUCT(MAX(('Media Dựng'!T114:AE114&lt;&gt;"")*(COLUMN('Media Dựng'!T114:AE114)-COLUMN('Media Dựng'!T114)+1)))))</f>
        <v/>
      </c>
      <c r="L710" s="52" t="str">
        <f>IF(AND(G710&lt;&gt;"",G710='Tổng hợp'!$C$4),MAX(L$1:L709)+1,"")</f>
        <v/>
      </c>
    </row>
    <row r="711" ht="15.75" customHeight="1">
      <c r="A711" s="52" t="str">
        <f>IF('Media Dựng'!C115="","","Media Dựng")</f>
        <v/>
      </c>
      <c r="B711" s="52" t="str">
        <f>IF('Media Dựng'!B115="","",'Media Dựng'!B115)</f>
        <v/>
      </c>
      <c r="C711" s="52" t="str">
        <f>IF('Media Dựng'!C115="","",'Media Dựng'!C115)</f>
        <v/>
      </c>
      <c r="D711" s="52" t="str">
        <f>IF('Media Dựng'!D115="","",'Media Dựng'!D115)</f>
        <v/>
      </c>
      <c r="E711" s="52" t="str">
        <f>IF('Media Dựng'!E115="","",'Media Dựng'!E115)</f>
        <v/>
      </c>
      <c r="F711" s="52" t="str">
        <f>IF('Media Dựng'!F115="","",'Media Dựng'!F115)</f>
        <v/>
      </c>
      <c r="G711" s="52" t="str">
        <f>IF('Media Dựng'!G115="","",'Media Dựng'!G115)</f>
        <v/>
      </c>
      <c r="H711" s="52" t="str">
        <f>IF('Media Dựng'!J115="","",'Media Dựng'!J115)</f>
        <v/>
      </c>
      <c r="I711" s="52" t="str">
        <f>IF('Media Dựng'!M115="","",'Media Dựng'!M115)</f>
        <v/>
      </c>
      <c r="J711" s="52" t="str">
        <f>IF('Media Dựng'!R115="","",'Media Dựng'!R115)</f>
        <v/>
      </c>
      <c r="K711" s="52" t="str">
        <f t="array" ref="K711">IF(COUNTA('Media Dựng'!T115:AE115)=0,"",INDEX('Media Dựng'!T115:AE115,1,SUMPRODUCT(MAX(('Media Dựng'!T115:AE115&lt;&gt;"")*(COLUMN('Media Dựng'!T115:AE115)-COLUMN('Media Dựng'!T115)+1)))))</f>
        <v/>
      </c>
      <c r="L711" s="52" t="str">
        <f>IF(AND(G711&lt;&gt;"",G711='Tổng hợp'!$C$4),MAX(L$1:L710)+1,"")</f>
        <v/>
      </c>
    </row>
    <row r="712" ht="15.75" customHeight="1">
      <c r="A712" s="52" t="str">
        <f>IF('Media Dựng'!C116="","","Media Dựng")</f>
        <v/>
      </c>
      <c r="B712" s="52" t="str">
        <f>IF('Media Dựng'!B116="","",'Media Dựng'!B116)</f>
        <v/>
      </c>
      <c r="C712" s="52" t="str">
        <f>IF('Media Dựng'!C116="","",'Media Dựng'!C116)</f>
        <v/>
      </c>
      <c r="D712" s="52" t="str">
        <f>IF('Media Dựng'!D116="","",'Media Dựng'!D116)</f>
        <v/>
      </c>
      <c r="E712" s="52" t="str">
        <f>IF('Media Dựng'!E116="","",'Media Dựng'!E116)</f>
        <v/>
      </c>
      <c r="F712" s="52" t="str">
        <f>IF('Media Dựng'!F116="","",'Media Dựng'!F116)</f>
        <v/>
      </c>
      <c r="G712" s="52" t="str">
        <f>IF('Media Dựng'!G116="","",'Media Dựng'!G116)</f>
        <v/>
      </c>
      <c r="H712" s="52" t="str">
        <f>IF('Media Dựng'!J116="","",'Media Dựng'!J116)</f>
        <v/>
      </c>
      <c r="I712" s="52" t="str">
        <f>IF('Media Dựng'!M116="","",'Media Dựng'!M116)</f>
        <v/>
      </c>
      <c r="J712" s="52" t="str">
        <f>IF('Media Dựng'!R116="","",'Media Dựng'!R116)</f>
        <v/>
      </c>
      <c r="K712" s="52" t="str">
        <f t="array" ref="K712">IF(COUNTA('Media Dựng'!T116:AE116)=0,"",INDEX('Media Dựng'!T116:AE116,1,SUMPRODUCT(MAX(('Media Dựng'!T116:AE116&lt;&gt;"")*(COLUMN('Media Dựng'!T116:AE116)-COLUMN('Media Dựng'!T116)+1)))))</f>
        <v/>
      </c>
      <c r="L712" s="52" t="str">
        <f>IF(AND(G712&lt;&gt;"",G712='Tổng hợp'!$C$4),MAX(L$1:L711)+1,"")</f>
        <v/>
      </c>
    </row>
    <row r="713" ht="15.75" customHeight="1">
      <c r="A713" s="52" t="str">
        <f>IF('Media Dựng'!C117="","","Media Dựng")</f>
        <v/>
      </c>
      <c r="B713" s="52" t="str">
        <f>IF('Media Dựng'!B117="","",'Media Dựng'!B117)</f>
        <v/>
      </c>
      <c r="C713" s="52" t="str">
        <f>IF('Media Dựng'!C117="","",'Media Dựng'!C117)</f>
        <v/>
      </c>
      <c r="D713" s="52" t="str">
        <f>IF('Media Dựng'!D117="","",'Media Dựng'!D117)</f>
        <v/>
      </c>
      <c r="E713" s="52" t="str">
        <f>IF('Media Dựng'!E117="","",'Media Dựng'!E117)</f>
        <v/>
      </c>
      <c r="F713" s="52" t="str">
        <f>IF('Media Dựng'!F117="","",'Media Dựng'!F117)</f>
        <v/>
      </c>
      <c r="G713" s="52" t="str">
        <f>IF('Media Dựng'!G117="","",'Media Dựng'!G117)</f>
        <v/>
      </c>
      <c r="H713" s="52" t="str">
        <f>IF('Media Dựng'!J117="","",'Media Dựng'!J117)</f>
        <v/>
      </c>
      <c r="I713" s="52" t="str">
        <f>IF('Media Dựng'!M117="","",'Media Dựng'!M117)</f>
        <v/>
      </c>
      <c r="J713" s="52" t="str">
        <f>IF('Media Dựng'!R117="","",'Media Dựng'!R117)</f>
        <v/>
      </c>
      <c r="K713" s="52" t="str">
        <f t="array" ref="K713">IF(COUNTA('Media Dựng'!T117:AE117)=0,"",INDEX('Media Dựng'!T117:AE117,1,SUMPRODUCT(MAX(('Media Dựng'!T117:AE117&lt;&gt;"")*(COLUMN('Media Dựng'!T117:AE117)-COLUMN('Media Dựng'!T117)+1)))))</f>
        <v/>
      </c>
      <c r="L713" s="52" t="str">
        <f>IF(AND(G713&lt;&gt;"",G713='Tổng hợp'!$C$4),MAX(L$1:L712)+1,"")</f>
        <v/>
      </c>
    </row>
    <row r="714" ht="15.75" customHeight="1">
      <c r="A714" s="52" t="str">
        <f>IF('Media Dựng'!C118="","","Media Dựng")</f>
        <v/>
      </c>
      <c r="B714" s="52" t="str">
        <f>IF('Media Dựng'!B118="","",'Media Dựng'!B118)</f>
        <v/>
      </c>
      <c r="C714" s="52" t="str">
        <f>IF('Media Dựng'!C118="","",'Media Dựng'!C118)</f>
        <v/>
      </c>
      <c r="D714" s="52" t="str">
        <f>IF('Media Dựng'!D118="","",'Media Dựng'!D118)</f>
        <v/>
      </c>
      <c r="E714" s="52" t="str">
        <f>IF('Media Dựng'!E118="","",'Media Dựng'!E118)</f>
        <v/>
      </c>
      <c r="F714" s="52" t="str">
        <f>IF('Media Dựng'!F118="","",'Media Dựng'!F118)</f>
        <v/>
      </c>
      <c r="G714" s="52" t="str">
        <f>IF('Media Dựng'!G118="","",'Media Dựng'!G118)</f>
        <v/>
      </c>
      <c r="H714" s="52" t="str">
        <f>IF('Media Dựng'!J118="","",'Media Dựng'!J118)</f>
        <v/>
      </c>
      <c r="I714" s="52" t="str">
        <f>IF('Media Dựng'!M118="","",'Media Dựng'!M118)</f>
        <v/>
      </c>
      <c r="J714" s="52" t="str">
        <f>IF('Media Dựng'!R118="","",'Media Dựng'!R118)</f>
        <v/>
      </c>
      <c r="K714" s="52" t="str">
        <f t="array" ref="K714">IF(COUNTA('Media Dựng'!T118:AE118)=0,"",INDEX('Media Dựng'!T118:AE118,1,SUMPRODUCT(MAX(('Media Dựng'!T118:AE118&lt;&gt;"")*(COLUMN('Media Dựng'!T118:AE118)-COLUMN('Media Dựng'!T118)+1)))))</f>
        <v/>
      </c>
      <c r="L714" s="52" t="str">
        <f>IF(AND(G714&lt;&gt;"",G714='Tổng hợp'!$C$4),MAX(L$1:L713)+1,"")</f>
        <v/>
      </c>
    </row>
    <row r="715" ht="15.75" customHeight="1">
      <c r="A715" s="52" t="str">
        <f>IF('Media Dựng'!C119="","","Media Dựng")</f>
        <v/>
      </c>
      <c r="B715" s="52" t="str">
        <f>IF('Media Dựng'!B119="","",'Media Dựng'!B119)</f>
        <v/>
      </c>
      <c r="C715" s="52" t="str">
        <f>IF('Media Dựng'!C119="","",'Media Dựng'!C119)</f>
        <v/>
      </c>
      <c r="D715" s="52" t="str">
        <f>IF('Media Dựng'!D119="","",'Media Dựng'!D119)</f>
        <v/>
      </c>
      <c r="E715" s="52" t="str">
        <f>IF('Media Dựng'!E119="","",'Media Dựng'!E119)</f>
        <v/>
      </c>
      <c r="F715" s="52" t="str">
        <f>IF('Media Dựng'!F119="","",'Media Dựng'!F119)</f>
        <v/>
      </c>
      <c r="G715" s="52" t="str">
        <f>IF('Media Dựng'!G119="","",'Media Dựng'!G119)</f>
        <v/>
      </c>
      <c r="H715" s="52" t="str">
        <f>IF('Media Dựng'!J119="","",'Media Dựng'!J119)</f>
        <v/>
      </c>
      <c r="I715" s="52" t="str">
        <f>IF('Media Dựng'!M119="","",'Media Dựng'!M119)</f>
        <v/>
      </c>
      <c r="J715" s="52" t="str">
        <f>IF('Media Dựng'!R119="","",'Media Dựng'!R119)</f>
        <v/>
      </c>
      <c r="K715" s="52" t="str">
        <f t="array" ref="K715">IF(COUNTA('Media Dựng'!T119:AE119)=0,"",INDEX('Media Dựng'!T119:AE119,1,SUMPRODUCT(MAX(('Media Dựng'!T119:AE119&lt;&gt;"")*(COLUMN('Media Dựng'!T119:AE119)-COLUMN('Media Dựng'!T119)+1)))))</f>
        <v/>
      </c>
      <c r="L715" s="52" t="str">
        <f>IF(AND(G715&lt;&gt;"",G715='Tổng hợp'!$C$4),MAX(L$1:L714)+1,"")</f>
        <v/>
      </c>
    </row>
    <row r="716" ht="15.75" customHeight="1">
      <c r="A716" s="52" t="str">
        <f>IF('Media Dựng'!C120="","","Media Dựng")</f>
        <v/>
      </c>
      <c r="B716" s="52" t="str">
        <f>IF('Media Dựng'!B120="","",'Media Dựng'!B120)</f>
        <v/>
      </c>
      <c r="C716" s="52" t="str">
        <f>IF('Media Dựng'!C120="","",'Media Dựng'!C120)</f>
        <v/>
      </c>
      <c r="D716" s="52" t="str">
        <f>IF('Media Dựng'!D120="","",'Media Dựng'!D120)</f>
        <v/>
      </c>
      <c r="E716" s="52" t="str">
        <f>IF('Media Dựng'!E120="","",'Media Dựng'!E120)</f>
        <v/>
      </c>
      <c r="F716" s="52" t="str">
        <f>IF('Media Dựng'!F120="","",'Media Dựng'!F120)</f>
        <v/>
      </c>
      <c r="G716" s="52" t="str">
        <f>IF('Media Dựng'!G120="","",'Media Dựng'!G120)</f>
        <v/>
      </c>
      <c r="H716" s="52" t="str">
        <f>IF('Media Dựng'!J120="","",'Media Dựng'!J120)</f>
        <v/>
      </c>
      <c r="I716" s="52" t="str">
        <f>IF('Media Dựng'!M120="","",'Media Dựng'!M120)</f>
        <v/>
      </c>
      <c r="J716" s="52" t="str">
        <f>IF('Media Dựng'!R120="","",'Media Dựng'!R120)</f>
        <v/>
      </c>
      <c r="K716" s="52" t="str">
        <f t="array" ref="K716">IF(COUNTA('Media Dựng'!T120:AE120)=0,"",INDEX('Media Dựng'!T120:AE120,1,SUMPRODUCT(MAX(('Media Dựng'!T120:AE120&lt;&gt;"")*(COLUMN('Media Dựng'!T120:AE120)-COLUMN('Media Dựng'!T120)+1)))))</f>
        <v/>
      </c>
      <c r="L716" s="52" t="str">
        <f>IF(AND(G716&lt;&gt;"",G716='Tổng hợp'!$C$4),MAX(L$1:L715)+1,"")</f>
        <v/>
      </c>
    </row>
    <row r="717" ht="15.75" customHeight="1">
      <c r="A717" s="52" t="str">
        <f>IF('Media Dựng'!C121="","","Media Dựng")</f>
        <v/>
      </c>
      <c r="B717" s="52" t="str">
        <f>IF('Media Dựng'!B121="","",'Media Dựng'!B121)</f>
        <v/>
      </c>
      <c r="C717" s="52" t="str">
        <f>IF('Media Dựng'!C121="","",'Media Dựng'!C121)</f>
        <v/>
      </c>
      <c r="D717" s="52" t="str">
        <f>IF('Media Dựng'!D121="","",'Media Dựng'!D121)</f>
        <v/>
      </c>
      <c r="E717" s="52" t="str">
        <f>IF('Media Dựng'!E121="","",'Media Dựng'!E121)</f>
        <v/>
      </c>
      <c r="F717" s="52" t="str">
        <f>IF('Media Dựng'!F121="","",'Media Dựng'!F121)</f>
        <v/>
      </c>
      <c r="G717" s="52" t="str">
        <f>IF('Media Dựng'!G121="","",'Media Dựng'!G121)</f>
        <v/>
      </c>
      <c r="H717" s="52" t="str">
        <f>IF('Media Dựng'!J121="","",'Media Dựng'!J121)</f>
        <v/>
      </c>
      <c r="I717" s="52" t="str">
        <f>IF('Media Dựng'!M121="","",'Media Dựng'!M121)</f>
        <v/>
      </c>
      <c r="J717" s="52" t="str">
        <f>IF('Media Dựng'!R121="","",'Media Dựng'!R121)</f>
        <v/>
      </c>
      <c r="K717" s="52" t="str">
        <f t="array" ref="K717">IF(COUNTA('Media Dựng'!T121:AE121)=0,"",INDEX('Media Dựng'!T121:AE121,1,SUMPRODUCT(MAX(('Media Dựng'!T121:AE121&lt;&gt;"")*(COLUMN('Media Dựng'!T121:AE121)-COLUMN('Media Dựng'!T121)+1)))))</f>
        <v/>
      </c>
      <c r="L717" s="52" t="str">
        <f>IF(AND(G717&lt;&gt;"",G717='Tổng hợp'!$C$4),MAX(L$1:L716)+1,"")</f>
        <v/>
      </c>
    </row>
    <row r="718" ht="15.75" customHeight="1">
      <c r="A718" s="52" t="str">
        <f>IF('Media Dựng'!C122="","","Media Dựng")</f>
        <v/>
      </c>
      <c r="B718" s="52" t="str">
        <f>IF('Media Dựng'!B122="","",'Media Dựng'!B122)</f>
        <v/>
      </c>
      <c r="C718" s="52" t="str">
        <f>IF('Media Dựng'!C122="","",'Media Dựng'!C122)</f>
        <v/>
      </c>
      <c r="D718" s="52" t="str">
        <f>IF('Media Dựng'!D122="","",'Media Dựng'!D122)</f>
        <v/>
      </c>
      <c r="E718" s="52" t="str">
        <f>IF('Media Dựng'!E122="","",'Media Dựng'!E122)</f>
        <v/>
      </c>
      <c r="F718" s="52" t="str">
        <f>IF('Media Dựng'!F122="","",'Media Dựng'!F122)</f>
        <v/>
      </c>
      <c r="G718" s="52" t="str">
        <f>IF('Media Dựng'!G122="","",'Media Dựng'!G122)</f>
        <v/>
      </c>
      <c r="H718" s="52" t="str">
        <f>IF('Media Dựng'!J122="","",'Media Dựng'!J122)</f>
        <v/>
      </c>
      <c r="I718" s="52" t="str">
        <f>IF('Media Dựng'!M122="","",'Media Dựng'!M122)</f>
        <v/>
      </c>
      <c r="J718" s="52" t="str">
        <f>IF('Media Dựng'!R122="","",'Media Dựng'!R122)</f>
        <v/>
      </c>
      <c r="K718" s="52" t="str">
        <f t="array" ref="K718">IF(COUNTA('Media Dựng'!T122:AE122)=0,"",INDEX('Media Dựng'!T122:AE122,1,SUMPRODUCT(MAX(('Media Dựng'!T122:AE122&lt;&gt;"")*(COLUMN('Media Dựng'!T122:AE122)-COLUMN('Media Dựng'!T122)+1)))))</f>
        <v/>
      </c>
      <c r="L718" s="52" t="str">
        <f>IF(AND(G718&lt;&gt;"",G718='Tổng hợp'!$C$4),MAX(L$1:L717)+1,"")</f>
        <v/>
      </c>
    </row>
    <row r="719" ht="15.75" customHeight="1">
      <c r="A719" s="52" t="str">
        <f>IF('Media Dựng'!C123="","","Media Dựng")</f>
        <v/>
      </c>
      <c r="B719" s="52" t="str">
        <f>IF('Media Dựng'!B123="","",'Media Dựng'!B123)</f>
        <v/>
      </c>
      <c r="C719" s="52" t="str">
        <f>IF('Media Dựng'!C123="","",'Media Dựng'!C123)</f>
        <v/>
      </c>
      <c r="D719" s="52" t="str">
        <f>IF('Media Dựng'!D123="","",'Media Dựng'!D123)</f>
        <v/>
      </c>
      <c r="E719" s="52" t="str">
        <f>IF('Media Dựng'!E123="","",'Media Dựng'!E123)</f>
        <v/>
      </c>
      <c r="F719" s="52" t="str">
        <f>IF('Media Dựng'!F123="","",'Media Dựng'!F123)</f>
        <v/>
      </c>
      <c r="G719" s="52" t="str">
        <f>IF('Media Dựng'!G123="","",'Media Dựng'!G123)</f>
        <v/>
      </c>
      <c r="H719" s="52" t="str">
        <f>IF('Media Dựng'!J123="","",'Media Dựng'!J123)</f>
        <v/>
      </c>
      <c r="I719" s="52" t="str">
        <f>IF('Media Dựng'!M123="","",'Media Dựng'!M123)</f>
        <v/>
      </c>
      <c r="J719" s="52" t="str">
        <f>IF('Media Dựng'!R123="","",'Media Dựng'!R123)</f>
        <v/>
      </c>
      <c r="K719" s="52" t="str">
        <f t="array" ref="K719">IF(COUNTA('Media Dựng'!T123:AE123)=0,"",INDEX('Media Dựng'!T123:AE123,1,SUMPRODUCT(MAX(('Media Dựng'!T123:AE123&lt;&gt;"")*(COLUMN('Media Dựng'!T123:AE123)-COLUMN('Media Dựng'!T123)+1)))))</f>
        <v/>
      </c>
      <c r="L719" s="52" t="str">
        <f>IF(AND(G719&lt;&gt;"",G719='Tổng hợp'!$C$4),MAX(L$1:L718)+1,"")</f>
        <v/>
      </c>
    </row>
    <row r="720" ht="15.75" customHeight="1">
      <c r="A720" s="52" t="str">
        <f>IF('Media Dựng'!C124="","","Media Dựng")</f>
        <v/>
      </c>
      <c r="B720" s="52" t="str">
        <f>IF('Media Dựng'!B124="","",'Media Dựng'!B124)</f>
        <v/>
      </c>
      <c r="C720" s="52" t="str">
        <f>IF('Media Dựng'!C124="","",'Media Dựng'!C124)</f>
        <v/>
      </c>
      <c r="D720" s="52" t="str">
        <f>IF('Media Dựng'!D124="","",'Media Dựng'!D124)</f>
        <v/>
      </c>
      <c r="E720" s="52" t="str">
        <f>IF('Media Dựng'!E124="","",'Media Dựng'!E124)</f>
        <v/>
      </c>
      <c r="F720" s="52" t="str">
        <f>IF('Media Dựng'!F124="","",'Media Dựng'!F124)</f>
        <v/>
      </c>
      <c r="G720" s="52" t="str">
        <f>IF('Media Dựng'!G124="","",'Media Dựng'!G124)</f>
        <v/>
      </c>
      <c r="H720" s="52" t="str">
        <f>IF('Media Dựng'!J124="","",'Media Dựng'!J124)</f>
        <v/>
      </c>
      <c r="I720" s="52" t="str">
        <f>IF('Media Dựng'!M124="","",'Media Dựng'!M124)</f>
        <v/>
      </c>
      <c r="J720" s="52" t="str">
        <f>IF('Media Dựng'!R124="","",'Media Dựng'!R124)</f>
        <v/>
      </c>
      <c r="K720" s="52" t="str">
        <f t="array" ref="K720">IF(COUNTA('Media Dựng'!T124:AE124)=0,"",INDEX('Media Dựng'!T124:AE124,1,SUMPRODUCT(MAX(('Media Dựng'!T124:AE124&lt;&gt;"")*(COLUMN('Media Dựng'!T124:AE124)-COLUMN('Media Dựng'!T124)+1)))))</f>
        <v/>
      </c>
      <c r="L720" s="52" t="str">
        <f>IF(AND(G720&lt;&gt;"",G720='Tổng hợp'!$C$4),MAX(L$1:L719)+1,"")</f>
        <v/>
      </c>
    </row>
    <row r="721" ht="15.75" customHeight="1">
      <c r="A721" s="52" t="str">
        <f>IF('Media Dựng'!C125="","","Media Dựng")</f>
        <v/>
      </c>
      <c r="B721" s="52" t="str">
        <f>IF('Media Dựng'!B125="","",'Media Dựng'!B125)</f>
        <v/>
      </c>
      <c r="C721" s="52" t="str">
        <f>IF('Media Dựng'!C125="","",'Media Dựng'!C125)</f>
        <v/>
      </c>
      <c r="D721" s="52" t="str">
        <f>IF('Media Dựng'!D125="","",'Media Dựng'!D125)</f>
        <v/>
      </c>
      <c r="E721" s="52" t="str">
        <f>IF('Media Dựng'!E125="","",'Media Dựng'!E125)</f>
        <v/>
      </c>
      <c r="F721" s="52" t="str">
        <f>IF('Media Dựng'!F125="","",'Media Dựng'!F125)</f>
        <v/>
      </c>
      <c r="G721" s="52" t="str">
        <f>IF('Media Dựng'!G125="","",'Media Dựng'!G125)</f>
        <v/>
      </c>
      <c r="H721" s="52" t="str">
        <f>IF('Media Dựng'!J125="","",'Media Dựng'!J125)</f>
        <v/>
      </c>
      <c r="I721" s="52" t="str">
        <f>IF('Media Dựng'!M125="","",'Media Dựng'!M125)</f>
        <v/>
      </c>
      <c r="J721" s="52" t="str">
        <f>IF('Media Dựng'!R125="","",'Media Dựng'!R125)</f>
        <v/>
      </c>
      <c r="K721" s="52" t="str">
        <f t="array" ref="K721">IF(COUNTA('Media Dựng'!T125:AE125)=0,"",INDEX('Media Dựng'!T125:AE125,1,SUMPRODUCT(MAX(('Media Dựng'!T125:AE125&lt;&gt;"")*(COLUMN('Media Dựng'!T125:AE125)-COLUMN('Media Dựng'!T125)+1)))))</f>
        <v/>
      </c>
      <c r="L721" s="52" t="str">
        <f>IF(AND(G721&lt;&gt;"",G721='Tổng hợp'!$C$4),MAX(L$1:L720)+1,"")</f>
        <v/>
      </c>
    </row>
    <row r="722" ht="15.75" customHeight="1">
      <c r="A722" s="52" t="str">
        <f>IF('Media Dựng'!C126="","","Media Dựng")</f>
        <v/>
      </c>
      <c r="B722" s="52" t="str">
        <f>IF('Media Dựng'!B126="","",'Media Dựng'!B126)</f>
        <v/>
      </c>
      <c r="C722" s="52" t="str">
        <f>IF('Media Dựng'!C126="","",'Media Dựng'!C126)</f>
        <v/>
      </c>
      <c r="D722" s="52" t="str">
        <f>IF('Media Dựng'!D126="","",'Media Dựng'!D126)</f>
        <v/>
      </c>
      <c r="E722" s="52" t="str">
        <f>IF('Media Dựng'!E126="","",'Media Dựng'!E126)</f>
        <v/>
      </c>
      <c r="F722" s="52" t="str">
        <f>IF('Media Dựng'!F126="","",'Media Dựng'!F126)</f>
        <v/>
      </c>
      <c r="G722" s="52" t="str">
        <f>IF('Media Dựng'!G126="","",'Media Dựng'!G126)</f>
        <v/>
      </c>
      <c r="H722" s="52" t="str">
        <f>IF('Media Dựng'!J126="","",'Media Dựng'!J126)</f>
        <v/>
      </c>
      <c r="I722" s="52" t="str">
        <f>IF('Media Dựng'!M126="","",'Media Dựng'!M126)</f>
        <v/>
      </c>
      <c r="J722" s="52" t="str">
        <f>IF('Media Dựng'!R126="","",'Media Dựng'!R126)</f>
        <v/>
      </c>
      <c r="K722" s="52" t="str">
        <f t="array" ref="K722">IF(COUNTA('Media Dựng'!T126:AE126)=0,"",INDEX('Media Dựng'!T126:AE126,1,SUMPRODUCT(MAX(('Media Dựng'!T126:AE126&lt;&gt;"")*(COLUMN('Media Dựng'!T126:AE126)-COLUMN('Media Dựng'!T126)+1)))))</f>
        <v/>
      </c>
      <c r="L722" s="52" t="str">
        <f>IF(AND(G722&lt;&gt;"",G722='Tổng hợp'!$C$4),MAX(L$1:L721)+1,"")</f>
        <v/>
      </c>
    </row>
    <row r="723" ht="15.75" customHeight="1">
      <c r="A723" s="52" t="str">
        <f>IF('Media Dựng'!C127="","","Media Dựng")</f>
        <v/>
      </c>
      <c r="B723" s="52" t="str">
        <f>IF('Media Dựng'!B127="","",'Media Dựng'!B127)</f>
        <v/>
      </c>
      <c r="C723" s="52" t="str">
        <f>IF('Media Dựng'!C127="","",'Media Dựng'!C127)</f>
        <v/>
      </c>
      <c r="D723" s="52" t="str">
        <f>IF('Media Dựng'!D127="","",'Media Dựng'!D127)</f>
        <v/>
      </c>
      <c r="E723" s="52" t="str">
        <f>IF('Media Dựng'!E127="","",'Media Dựng'!E127)</f>
        <v/>
      </c>
      <c r="F723" s="52" t="str">
        <f>IF('Media Dựng'!F127="","",'Media Dựng'!F127)</f>
        <v/>
      </c>
      <c r="G723" s="52" t="str">
        <f>IF('Media Dựng'!G127="","",'Media Dựng'!G127)</f>
        <v/>
      </c>
      <c r="H723" s="52" t="str">
        <f>IF('Media Dựng'!J127="","",'Media Dựng'!J127)</f>
        <v/>
      </c>
      <c r="I723" s="52" t="str">
        <f>IF('Media Dựng'!M127="","",'Media Dựng'!M127)</f>
        <v/>
      </c>
      <c r="J723" s="52" t="str">
        <f>IF('Media Dựng'!R127="","",'Media Dựng'!R127)</f>
        <v/>
      </c>
      <c r="K723" s="52" t="str">
        <f t="array" ref="K723">IF(COUNTA('Media Dựng'!T127:AE127)=0,"",INDEX('Media Dựng'!T127:AE127,1,SUMPRODUCT(MAX(('Media Dựng'!T127:AE127&lt;&gt;"")*(COLUMN('Media Dựng'!T127:AE127)-COLUMN('Media Dựng'!T127)+1)))))</f>
        <v/>
      </c>
      <c r="L723" s="52" t="str">
        <f>IF(AND(G723&lt;&gt;"",G723='Tổng hợp'!$C$4),MAX(L$1:L722)+1,"")</f>
        <v/>
      </c>
    </row>
    <row r="724" ht="15.75" customHeight="1">
      <c r="A724" s="52" t="str">
        <f>IF('Media Dựng'!C128="","","Media Dựng")</f>
        <v/>
      </c>
      <c r="B724" s="52" t="str">
        <f>IF('Media Dựng'!B128="","",'Media Dựng'!B128)</f>
        <v/>
      </c>
      <c r="C724" s="52" t="str">
        <f>IF('Media Dựng'!C128="","",'Media Dựng'!C128)</f>
        <v/>
      </c>
      <c r="D724" s="52" t="str">
        <f>IF('Media Dựng'!D128="","",'Media Dựng'!D128)</f>
        <v/>
      </c>
      <c r="E724" s="52" t="str">
        <f>IF('Media Dựng'!E128="","",'Media Dựng'!E128)</f>
        <v/>
      </c>
      <c r="F724" s="52" t="str">
        <f>IF('Media Dựng'!F128="","",'Media Dựng'!F128)</f>
        <v/>
      </c>
      <c r="G724" s="52" t="str">
        <f>IF('Media Dựng'!G128="","",'Media Dựng'!G128)</f>
        <v/>
      </c>
      <c r="H724" s="52" t="str">
        <f>IF('Media Dựng'!J128="","",'Media Dựng'!J128)</f>
        <v/>
      </c>
      <c r="I724" s="52" t="str">
        <f>IF('Media Dựng'!M128="","",'Media Dựng'!M128)</f>
        <v/>
      </c>
      <c r="J724" s="52" t="str">
        <f>IF('Media Dựng'!R128="","",'Media Dựng'!R128)</f>
        <v/>
      </c>
      <c r="K724" s="52" t="str">
        <f t="array" ref="K724">IF(COUNTA('Media Dựng'!T128:AE128)=0,"",INDEX('Media Dựng'!T128:AE128,1,SUMPRODUCT(MAX(('Media Dựng'!T128:AE128&lt;&gt;"")*(COLUMN('Media Dựng'!T128:AE128)-COLUMN('Media Dựng'!T128)+1)))))</f>
        <v/>
      </c>
      <c r="L724" s="52" t="str">
        <f>IF(AND(G724&lt;&gt;"",G724='Tổng hợp'!$C$4),MAX(L$1:L723)+1,"")</f>
        <v/>
      </c>
    </row>
    <row r="725" ht="15.75" customHeight="1">
      <c r="A725" s="52" t="str">
        <f>IF('Media Dựng'!C129="","","Media Dựng")</f>
        <v/>
      </c>
      <c r="B725" s="52" t="str">
        <f>IF('Media Dựng'!B129="","",'Media Dựng'!B129)</f>
        <v/>
      </c>
      <c r="C725" s="52" t="str">
        <f>IF('Media Dựng'!C129="","",'Media Dựng'!C129)</f>
        <v/>
      </c>
      <c r="D725" s="52" t="str">
        <f>IF('Media Dựng'!D129="","",'Media Dựng'!D129)</f>
        <v/>
      </c>
      <c r="E725" s="52" t="str">
        <f>IF('Media Dựng'!E129="","",'Media Dựng'!E129)</f>
        <v/>
      </c>
      <c r="F725" s="52" t="str">
        <f>IF('Media Dựng'!F129="","",'Media Dựng'!F129)</f>
        <v/>
      </c>
      <c r="G725" s="52" t="str">
        <f>IF('Media Dựng'!G129="","",'Media Dựng'!G129)</f>
        <v/>
      </c>
      <c r="H725" s="52" t="str">
        <f>IF('Media Dựng'!J129="","",'Media Dựng'!J129)</f>
        <v/>
      </c>
      <c r="I725" s="52" t="str">
        <f>IF('Media Dựng'!M129="","",'Media Dựng'!M129)</f>
        <v/>
      </c>
      <c r="J725" s="52" t="str">
        <f>IF('Media Dựng'!R129="","",'Media Dựng'!R129)</f>
        <v/>
      </c>
      <c r="K725" s="52" t="str">
        <f t="array" ref="K725">IF(COUNTA('Media Dựng'!T129:AE129)=0,"",INDEX('Media Dựng'!T129:AE129,1,SUMPRODUCT(MAX(('Media Dựng'!T129:AE129&lt;&gt;"")*(COLUMN('Media Dựng'!T129:AE129)-COLUMN('Media Dựng'!T129)+1)))))</f>
        <v/>
      </c>
      <c r="L725" s="52" t="str">
        <f>IF(AND(G725&lt;&gt;"",G725='Tổng hợp'!$C$4),MAX(L$1:L724)+1,"")</f>
        <v/>
      </c>
    </row>
    <row r="726" ht="15.75" customHeight="1">
      <c r="A726" s="52" t="str">
        <f>IF('Media Dựng'!C130="","","Media Dựng")</f>
        <v/>
      </c>
      <c r="B726" s="52" t="str">
        <f>IF('Media Dựng'!B130="","",'Media Dựng'!B130)</f>
        <v/>
      </c>
      <c r="C726" s="52" t="str">
        <f>IF('Media Dựng'!C130="","",'Media Dựng'!C130)</f>
        <v/>
      </c>
      <c r="D726" s="52" t="str">
        <f>IF('Media Dựng'!D130="","",'Media Dựng'!D130)</f>
        <v/>
      </c>
      <c r="E726" s="52" t="str">
        <f>IF('Media Dựng'!E130="","",'Media Dựng'!E130)</f>
        <v/>
      </c>
      <c r="F726" s="52" t="str">
        <f>IF('Media Dựng'!F130="","",'Media Dựng'!F130)</f>
        <v/>
      </c>
      <c r="G726" s="52" t="str">
        <f>IF('Media Dựng'!G130="","",'Media Dựng'!G130)</f>
        <v/>
      </c>
      <c r="H726" s="52" t="str">
        <f>IF('Media Dựng'!J130="","",'Media Dựng'!J130)</f>
        <v/>
      </c>
      <c r="I726" s="52" t="str">
        <f>IF('Media Dựng'!M130="","",'Media Dựng'!M130)</f>
        <v/>
      </c>
      <c r="J726" s="52" t="str">
        <f>IF('Media Dựng'!R130="","",'Media Dựng'!R130)</f>
        <v/>
      </c>
      <c r="K726" s="52" t="str">
        <f t="array" ref="K726">IF(COUNTA('Media Dựng'!T130:AE130)=0,"",INDEX('Media Dựng'!T130:AE130,1,SUMPRODUCT(MAX(('Media Dựng'!T130:AE130&lt;&gt;"")*(COLUMN('Media Dựng'!T130:AE130)-COLUMN('Media Dựng'!T130)+1)))))</f>
        <v/>
      </c>
      <c r="L726" s="52" t="str">
        <f>IF(AND(G726&lt;&gt;"",G726='Tổng hợp'!$C$4),MAX(L$1:L725)+1,"")</f>
        <v/>
      </c>
    </row>
    <row r="727" ht="15.75" customHeight="1">
      <c r="A727" s="52" t="str">
        <f>IF('Media Dựng'!C131="","","Media Dựng")</f>
        <v/>
      </c>
      <c r="B727" s="52" t="str">
        <f>IF('Media Dựng'!B131="","",'Media Dựng'!B131)</f>
        <v/>
      </c>
      <c r="C727" s="52" t="str">
        <f>IF('Media Dựng'!C131="","",'Media Dựng'!C131)</f>
        <v/>
      </c>
      <c r="D727" s="52" t="str">
        <f>IF('Media Dựng'!D131="","",'Media Dựng'!D131)</f>
        <v/>
      </c>
      <c r="E727" s="52" t="str">
        <f>IF('Media Dựng'!E131="","",'Media Dựng'!E131)</f>
        <v/>
      </c>
      <c r="F727" s="52" t="str">
        <f>IF('Media Dựng'!F131="","",'Media Dựng'!F131)</f>
        <v/>
      </c>
      <c r="G727" s="52" t="str">
        <f>IF('Media Dựng'!G131="","",'Media Dựng'!G131)</f>
        <v/>
      </c>
      <c r="H727" s="52" t="str">
        <f>IF('Media Dựng'!J131="","",'Media Dựng'!J131)</f>
        <v/>
      </c>
      <c r="I727" s="52" t="str">
        <f>IF('Media Dựng'!M131="","",'Media Dựng'!M131)</f>
        <v/>
      </c>
      <c r="J727" s="52" t="str">
        <f>IF('Media Dựng'!R131="","",'Media Dựng'!R131)</f>
        <v/>
      </c>
      <c r="K727" s="52" t="str">
        <f t="array" ref="K727">IF(COUNTA('Media Dựng'!T131:AE131)=0,"",INDEX('Media Dựng'!T131:AE131,1,SUMPRODUCT(MAX(('Media Dựng'!T131:AE131&lt;&gt;"")*(COLUMN('Media Dựng'!T131:AE131)-COLUMN('Media Dựng'!T131)+1)))))</f>
        <v/>
      </c>
      <c r="L727" s="52" t="str">
        <f>IF(AND(G727&lt;&gt;"",G727='Tổng hợp'!$C$4),MAX(L$1:L726)+1,"")</f>
        <v/>
      </c>
    </row>
    <row r="728" ht="15.75" customHeight="1">
      <c r="A728" s="52" t="str">
        <f>IF('Media Dựng'!C132="","","Media Dựng")</f>
        <v/>
      </c>
      <c r="B728" s="52" t="str">
        <f>IF('Media Dựng'!B132="","",'Media Dựng'!B132)</f>
        <v/>
      </c>
      <c r="C728" s="52" t="str">
        <f>IF('Media Dựng'!C132="","",'Media Dựng'!C132)</f>
        <v/>
      </c>
      <c r="D728" s="52" t="str">
        <f>IF('Media Dựng'!D132="","",'Media Dựng'!D132)</f>
        <v/>
      </c>
      <c r="E728" s="52" t="str">
        <f>IF('Media Dựng'!E132="","",'Media Dựng'!E132)</f>
        <v/>
      </c>
      <c r="F728" s="52" t="str">
        <f>IF('Media Dựng'!F132="","",'Media Dựng'!F132)</f>
        <v/>
      </c>
      <c r="G728" s="52" t="str">
        <f>IF('Media Dựng'!G132="","",'Media Dựng'!G132)</f>
        <v/>
      </c>
      <c r="H728" s="52" t="str">
        <f>IF('Media Dựng'!J132="","",'Media Dựng'!J132)</f>
        <v/>
      </c>
      <c r="I728" s="52" t="str">
        <f>IF('Media Dựng'!M132="","",'Media Dựng'!M132)</f>
        <v/>
      </c>
      <c r="J728" s="52" t="str">
        <f>IF('Media Dựng'!R132="","",'Media Dựng'!R132)</f>
        <v/>
      </c>
      <c r="K728" s="52" t="str">
        <f t="array" ref="K728">IF(COUNTA('Media Dựng'!T132:AE132)=0,"",INDEX('Media Dựng'!T132:AE132,1,SUMPRODUCT(MAX(('Media Dựng'!T132:AE132&lt;&gt;"")*(COLUMN('Media Dựng'!T132:AE132)-COLUMN('Media Dựng'!T132)+1)))))</f>
        <v/>
      </c>
      <c r="L728" s="52" t="str">
        <f>IF(AND(G728&lt;&gt;"",G728='Tổng hợp'!$C$4),MAX(L$1:L727)+1,"")</f>
        <v/>
      </c>
    </row>
    <row r="729" ht="15.75" customHeight="1">
      <c r="A729" s="52" t="str">
        <f>IF('Media Dựng'!C133="","","Media Dựng")</f>
        <v/>
      </c>
      <c r="B729" s="52" t="str">
        <f>IF('Media Dựng'!B133="","",'Media Dựng'!B133)</f>
        <v/>
      </c>
      <c r="C729" s="52" t="str">
        <f>IF('Media Dựng'!C133="","",'Media Dựng'!C133)</f>
        <v/>
      </c>
      <c r="D729" s="52" t="str">
        <f>IF('Media Dựng'!D133="","",'Media Dựng'!D133)</f>
        <v/>
      </c>
      <c r="E729" s="52" t="str">
        <f>IF('Media Dựng'!E133="","",'Media Dựng'!E133)</f>
        <v/>
      </c>
      <c r="F729" s="52" t="str">
        <f>IF('Media Dựng'!F133="","",'Media Dựng'!F133)</f>
        <v/>
      </c>
      <c r="G729" s="52" t="str">
        <f>IF('Media Dựng'!G133="","",'Media Dựng'!G133)</f>
        <v/>
      </c>
      <c r="H729" s="52" t="str">
        <f>IF('Media Dựng'!J133="","",'Media Dựng'!J133)</f>
        <v/>
      </c>
      <c r="I729" s="52" t="str">
        <f>IF('Media Dựng'!M133="","",'Media Dựng'!M133)</f>
        <v/>
      </c>
      <c r="J729" s="52" t="str">
        <f>IF('Media Dựng'!R133="","",'Media Dựng'!R133)</f>
        <v/>
      </c>
      <c r="K729" s="52" t="str">
        <f t="array" ref="K729">IF(COUNTA('Media Dựng'!T133:AE133)=0,"",INDEX('Media Dựng'!T133:AE133,1,SUMPRODUCT(MAX(('Media Dựng'!T133:AE133&lt;&gt;"")*(COLUMN('Media Dựng'!T133:AE133)-COLUMN('Media Dựng'!T133)+1)))))</f>
        <v/>
      </c>
      <c r="L729" s="52" t="str">
        <f>IF(AND(G729&lt;&gt;"",G729='Tổng hợp'!$C$4),MAX(L$1:L728)+1,"")</f>
        <v/>
      </c>
    </row>
    <row r="730" ht="15.75" customHeight="1">
      <c r="A730" s="52" t="str">
        <f>IF('Media Dựng'!C134="","","Media Dựng")</f>
        <v/>
      </c>
      <c r="B730" s="52" t="str">
        <f>IF('Media Dựng'!B134="","",'Media Dựng'!B134)</f>
        <v/>
      </c>
      <c r="C730" s="52" t="str">
        <f>IF('Media Dựng'!C134="","",'Media Dựng'!C134)</f>
        <v/>
      </c>
      <c r="D730" s="52" t="str">
        <f>IF('Media Dựng'!D134="","",'Media Dựng'!D134)</f>
        <v/>
      </c>
      <c r="E730" s="52" t="str">
        <f>IF('Media Dựng'!E134="","",'Media Dựng'!E134)</f>
        <v/>
      </c>
      <c r="F730" s="52" t="str">
        <f>IF('Media Dựng'!F134="","",'Media Dựng'!F134)</f>
        <v/>
      </c>
      <c r="G730" s="52" t="str">
        <f>IF('Media Dựng'!G134="","",'Media Dựng'!G134)</f>
        <v/>
      </c>
      <c r="H730" s="52" t="str">
        <f>IF('Media Dựng'!J134="","",'Media Dựng'!J134)</f>
        <v/>
      </c>
      <c r="I730" s="52" t="str">
        <f>IF('Media Dựng'!M134="","",'Media Dựng'!M134)</f>
        <v/>
      </c>
      <c r="J730" s="52" t="str">
        <f>IF('Media Dựng'!R134="","",'Media Dựng'!R134)</f>
        <v/>
      </c>
      <c r="K730" s="52" t="str">
        <f t="array" ref="K730">IF(COUNTA('Media Dựng'!T134:AE134)=0,"",INDEX('Media Dựng'!T134:AE134,1,SUMPRODUCT(MAX(('Media Dựng'!T134:AE134&lt;&gt;"")*(COLUMN('Media Dựng'!T134:AE134)-COLUMN('Media Dựng'!T134)+1)))))</f>
        <v/>
      </c>
      <c r="L730" s="52" t="str">
        <f>IF(AND(G730&lt;&gt;"",G730='Tổng hợp'!$C$4),MAX(L$1:L729)+1,"")</f>
        <v/>
      </c>
    </row>
    <row r="731" ht="15.75" customHeight="1">
      <c r="A731" s="52" t="str">
        <f>IF('Media Dựng'!C135="","","Media Dựng")</f>
        <v/>
      </c>
      <c r="B731" s="52" t="str">
        <f>IF('Media Dựng'!B135="","",'Media Dựng'!B135)</f>
        <v/>
      </c>
      <c r="C731" s="52" t="str">
        <f>IF('Media Dựng'!C135="","",'Media Dựng'!C135)</f>
        <v/>
      </c>
      <c r="D731" s="52" t="str">
        <f>IF('Media Dựng'!D135="","",'Media Dựng'!D135)</f>
        <v/>
      </c>
      <c r="E731" s="52" t="str">
        <f>IF('Media Dựng'!E135="","",'Media Dựng'!E135)</f>
        <v/>
      </c>
      <c r="F731" s="52" t="str">
        <f>IF('Media Dựng'!F135="","",'Media Dựng'!F135)</f>
        <v/>
      </c>
      <c r="G731" s="52" t="str">
        <f>IF('Media Dựng'!G135="","",'Media Dựng'!G135)</f>
        <v/>
      </c>
      <c r="H731" s="52" t="str">
        <f>IF('Media Dựng'!J135="","",'Media Dựng'!J135)</f>
        <v/>
      </c>
      <c r="I731" s="52" t="str">
        <f>IF('Media Dựng'!M135="","",'Media Dựng'!M135)</f>
        <v/>
      </c>
      <c r="J731" s="52" t="str">
        <f>IF('Media Dựng'!R135="","",'Media Dựng'!R135)</f>
        <v/>
      </c>
      <c r="K731" s="52" t="str">
        <f t="array" ref="K731">IF(COUNTA('Media Dựng'!T135:AE135)=0,"",INDEX('Media Dựng'!T135:AE135,1,SUMPRODUCT(MAX(('Media Dựng'!T135:AE135&lt;&gt;"")*(COLUMN('Media Dựng'!T135:AE135)-COLUMN('Media Dựng'!T135)+1)))))</f>
        <v/>
      </c>
      <c r="L731" s="52" t="str">
        <f>IF(AND(G731&lt;&gt;"",G731='Tổng hợp'!$C$4),MAX(L$1:L730)+1,"")</f>
        <v/>
      </c>
    </row>
    <row r="732" ht="15.75" customHeight="1">
      <c r="A732" s="52" t="str">
        <f>IF('Media Dựng'!C136="","","Media Dựng")</f>
        <v/>
      </c>
      <c r="B732" s="52" t="str">
        <f>IF('Media Dựng'!B136="","",'Media Dựng'!B136)</f>
        <v/>
      </c>
      <c r="C732" s="52" t="str">
        <f>IF('Media Dựng'!C136="","",'Media Dựng'!C136)</f>
        <v/>
      </c>
      <c r="D732" s="52" t="str">
        <f>IF('Media Dựng'!D136="","",'Media Dựng'!D136)</f>
        <v/>
      </c>
      <c r="E732" s="52" t="str">
        <f>IF('Media Dựng'!E136="","",'Media Dựng'!E136)</f>
        <v/>
      </c>
      <c r="F732" s="52" t="str">
        <f>IF('Media Dựng'!F136="","",'Media Dựng'!F136)</f>
        <v/>
      </c>
      <c r="G732" s="52" t="str">
        <f>IF('Media Dựng'!G136="","",'Media Dựng'!G136)</f>
        <v/>
      </c>
      <c r="H732" s="52" t="str">
        <f>IF('Media Dựng'!J136="","",'Media Dựng'!J136)</f>
        <v/>
      </c>
      <c r="I732" s="52" t="str">
        <f>IF('Media Dựng'!M136="","",'Media Dựng'!M136)</f>
        <v/>
      </c>
      <c r="J732" s="52" t="str">
        <f>IF('Media Dựng'!R136="","",'Media Dựng'!R136)</f>
        <v/>
      </c>
      <c r="K732" s="52" t="str">
        <f t="array" ref="K732">IF(COUNTA('Media Dựng'!T136:AE136)=0,"",INDEX('Media Dựng'!T136:AE136,1,SUMPRODUCT(MAX(('Media Dựng'!T136:AE136&lt;&gt;"")*(COLUMN('Media Dựng'!T136:AE136)-COLUMN('Media Dựng'!T136)+1)))))</f>
        <v/>
      </c>
      <c r="L732" s="52" t="str">
        <f>IF(AND(G732&lt;&gt;"",G732='Tổng hợp'!$C$4),MAX(L$1:L731)+1,"")</f>
        <v/>
      </c>
    </row>
    <row r="733" ht="15.75" customHeight="1">
      <c r="A733" s="52" t="str">
        <f>IF('Media Dựng'!C137="","","Media Dựng")</f>
        <v/>
      </c>
      <c r="B733" s="52" t="str">
        <f>IF('Media Dựng'!B137="","",'Media Dựng'!B137)</f>
        <v/>
      </c>
      <c r="C733" s="52" t="str">
        <f>IF('Media Dựng'!C137="","",'Media Dựng'!C137)</f>
        <v/>
      </c>
      <c r="D733" s="52" t="str">
        <f>IF('Media Dựng'!D137="","",'Media Dựng'!D137)</f>
        <v/>
      </c>
      <c r="E733" s="52" t="str">
        <f>IF('Media Dựng'!E137="","",'Media Dựng'!E137)</f>
        <v/>
      </c>
      <c r="F733" s="52" t="str">
        <f>IF('Media Dựng'!F137="","",'Media Dựng'!F137)</f>
        <v/>
      </c>
      <c r="G733" s="52" t="str">
        <f>IF('Media Dựng'!G137="","",'Media Dựng'!G137)</f>
        <v/>
      </c>
      <c r="H733" s="52" t="str">
        <f>IF('Media Dựng'!J137="","",'Media Dựng'!J137)</f>
        <v/>
      </c>
      <c r="I733" s="52" t="str">
        <f>IF('Media Dựng'!M137="","",'Media Dựng'!M137)</f>
        <v/>
      </c>
      <c r="J733" s="52" t="str">
        <f>IF('Media Dựng'!R137="","",'Media Dựng'!R137)</f>
        <v/>
      </c>
      <c r="K733" s="52" t="str">
        <f t="array" ref="K733">IF(COUNTA('Media Dựng'!T137:AE137)=0,"",INDEX('Media Dựng'!T137:AE137,1,SUMPRODUCT(MAX(('Media Dựng'!T137:AE137&lt;&gt;"")*(COLUMN('Media Dựng'!T137:AE137)-COLUMN('Media Dựng'!T137)+1)))))</f>
        <v/>
      </c>
      <c r="L733" s="52" t="str">
        <f>IF(AND(G733&lt;&gt;"",G733='Tổng hợp'!$C$4),MAX(L$1:L732)+1,"")</f>
        <v/>
      </c>
    </row>
    <row r="734" ht="15.75" customHeight="1">
      <c r="A734" s="52" t="str">
        <f>IF('Media Dựng'!C138="","","Media Dựng")</f>
        <v/>
      </c>
      <c r="B734" s="52" t="str">
        <f>IF('Media Dựng'!B138="","",'Media Dựng'!B138)</f>
        <v/>
      </c>
      <c r="C734" s="52" t="str">
        <f>IF('Media Dựng'!C138="","",'Media Dựng'!C138)</f>
        <v/>
      </c>
      <c r="D734" s="52" t="str">
        <f>IF('Media Dựng'!D138="","",'Media Dựng'!D138)</f>
        <v/>
      </c>
      <c r="E734" s="52" t="str">
        <f>IF('Media Dựng'!E138="","",'Media Dựng'!E138)</f>
        <v/>
      </c>
      <c r="F734" s="52" t="str">
        <f>IF('Media Dựng'!F138="","",'Media Dựng'!F138)</f>
        <v/>
      </c>
      <c r="G734" s="52" t="str">
        <f>IF('Media Dựng'!G138="","",'Media Dựng'!G138)</f>
        <v/>
      </c>
      <c r="H734" s="52" t="str">
        <f>IF('Media Dựng'!J138="","",'Media Dựng'!J138)</f>
        <v/>
      </c>
      <c r="I734" s="52" t="str">
        <f>IF('Media Dựng'!M138="","",'Media Dựng'!M138)</f>
        <v/>
      </c>
      <c r="J734" s="52" t="str">
        <f>IF('Media Dựng'!R138="","",'Media Dựng'!R138)</f>
        <v/>
      </c>
      <c r="K734" s="52" t="str">
        <f t="array" ref="K734">IF(COUNTA('Media Dựng'!T138:AE138)=0,"",INDEX('Media Dựng'!T138:AE138,1,SUMPRODUCT(MAX(('Media Dựng'!T138:AE138&lt;&gt;"")*(COLUMN('Media Dựng'!T138:AE138)-COLUMN('Media Dựng'!T138)+1)))))</f>
        <v/>
      </c>
      <c r="L734" s="52" t="str">
        <f>IF(AND(G734&lt;&gt;"",G734='Tổng hợp'!$C$4),MAX(L$1:L733)+1,"")</f>
        <v/>
      </c>
    </row>
    <row r="735" ht="15.75" customHeight="1">
      <c r="A735" s="52" t="str">
        <f>IF('Media Dựng'!C139="","","Media Dựng")</f>
        <v/>
      </c>
      <c r="B735" s="52" t="str">
        <f>IF('Media Dựng'!B139="","",'Media Dựng'!B139)</f>
        <v/>
      </c>
      <c r="C735" s="52" t="str">
        <f>IF('Media Dựng'!C139="","",'Media Dựng'!C139)</f>
        <v/>
      </c>
      <c r="D735" s="52" t="str">
        <f>IF('Media Dựng'!D139="","",'Media Dựng'!D139)</f>
        <v/>
      </c>
      <c r="E735" s="52" t="str">
        <f>IF('Media Dựng'!E139="","",'Media Dựng'!E139)</f>
        <v/>
      </c>
      <c r="F735" s="52" t="str">
        <f>IF('Media Dựng'!F139="","",'Media Dựng'!F139)</f>
        <v/>
      </c>
      <c r="G735" s="52" t="str">
        <f>IF('Media Dựng'!G139="","",'Media Dựng'!G139)</f>
        <v/>
      </c>
      <c r="H735" s="52" t="str">
        <f>IF('Media Dựng'!J139="","",'Media Dựng'!J139)</f>
        <v/>
      </c>
      <c r="I735" s="52" t="str">
        <f>IF('Media Dựng'!M139="","",'Media Dựng'!M139)</f>
        <v/>
      </c>
      <c r="J735" s="52" t="str">
        <f>IF('Media Dựng'!R139="","",'Media Dựng'!R139)</f>
        <v/>
      </c>
      <c r="K735" s="52" t="str">
        <f t="array" ref="K735">IF(COUNTA('Media Dựng'!T139:AE139)=0,"",INDEX('Media Dựng'!T139:AE139,1,SUMPRODUCT(MAX(('Media Dựng'!T139:AE139&lt;&gt;"")*(COLUMN('Media Dựng'!T139:AE139)-COLUMN('Media Dựng'!T139)+1)))))</f>
        <v/>
      </c>
      <c r="L735" s="52" t="str">
        <f>IF(AND(G735&lt;&gt;"",G735='Tổng hợp'!$C$4),MAX(L$1:L734)+1,"")</f>
        <v/>
      </c>
    </row>
    <row r="736" ht="15.75" customHeight="1">
      <c r="A736" s="52" t="str">
        <f>IF('Media Dựng'!C140="","","Media Dựng")</f>
        <v/>
      </c>
      <c r="B736" s="52" t="str">
        <f>IF('Media Dựng'!B140="","",'Media Dựng'!B140)</f>
        <v/>
      </c>
      <c r="C736" s="52" t="str">
        <f>IF('Media Dựng'!C140="","",'Media Dựng'!C140)</f>
        <v/>
      </c>
      <c r="D736" s="52" t="str">
        <f>IF('Media Dựng'!D140="","",'Media Dựng'!D140)</f>
        <v/>
      </c>
      <c r="E736" s="52" t="str">
        <f>IF('Media Dựng'!E140="","",'Media Dựng'!E140)</f>
        <v/>
      </c>
      <c r="F736" s="52" t="str">
        <f>IF('Media Dựng'!F140="","",'Media Dựng'!F140)</f>
        <v/>
      </c>
      <c r="G736" s="52" t="str">
        <f>IF('Media Dựng'!G140="","",'Media Dựng'!G140)</f>
        <v/>
      </c>
      <c r="H736" s="52" t="str">
        <f>IF('Media Dựng'!J140="","",'Media Dựng'!J140)</f>
        <v/>
      </c>
      <c r="I736" s="52" t="str">
        <f>IF('Media Dựng'!M140="","",'Media Dựng'!M140)</f>
        <v/>
      </c>
      <c r="J736" s="52" t="str">
        <f>IF('Media Dựng'!R140="","",'Media Dựng'!R140)</f>
        <v/>
      </c>
      <c r="K736" s="52" t="str">
        <f t="array" ref="K736">IF(COUNTA('Media Dựng'!T140:AE140)=0,"",INDEX('Media Dựng'!T140:AE140,1,SUMPRODUCT(MAX(('Media Dựng'!T140:AE140&lt;&gt;"")*(COLUMN('Media Dựng'!T140:AE140)-COLUMN('Media Dựng'!T140)+1)))))</f>
        <v/>
      </c>
      <c r="L736" s="52" t="str">
        <f>IF(AND(G736&lt;&gt;"",G736='Tổng hợp'!$C$4),MAX(L$1:L735)+1,"")</f>
        <v/>
      </c>
    </row>
    <row r="737" ht="15.75" customHeight="1">
      <c r="A737" s="52" t="str">
        <f>IF('Media Dựng'!C141="","","Media Dựng")</f>
        <v/>
      </c>
      <c r="B737" s="52" t="str">
        <f>IF('Media Dựng'!B141="","",'Media Dựng'!B141)</f>
        <v/>
      </c>
      <c r="C737" s="52" t="str">
        <f>IF('Media Dựng'!C141="","",'Media Dựng'!C141)</f>
        <v/>
      </c>
      <c r="D737" s="52" t="str">
        <f>IF('Media Dựng'!D141="","",'Media Dựng'!D141)</f>
        <v/>
      </c>
      <c r="E737" s="52" t="str">
        <f>IF('Media Dựng'!E141="","",'Media Dựng'!E141)</f>
        <v/>
      </c>
      <c r="F737" s="52" t="str">
        <f>IF('Media Dựng'!F141="","",'Media Dựng'!F141)</f>
        <v/>
      </c>
      <c r="G737" s="52" t="str">
        <f>IF('Media Dựng'!G141="","",'Media Dựng'!G141)</f>
        <v/>
      </c>
      <c r="H737" s="52" t="str">
        <f>IF('Media Dựng'!J141="","",'Media Dựng'!J141)</f>
        <v/>
      </c>
      <c r="I737" s="52" t="str">
        <f>IF('Media Dựng'!M141="","",'Media Dựng'!M141)</f>
        <v/>
      </c>
      <c r="J737" s="52" t="str">
        <f>IF('Media Dựng'!R141="","",'Media Dựng'!R141)</f>
        <v/>
      </c>
      <c r="K737" s="52" t="str">
        <f t="array" ref="K737">IF(COUNTA('Media Dựng'!T141:AE141)=0,"",INDEX('Media Dựng'!T141:AE141,1,SUMPRODUCT(MAX(('Media Dựng'!T141:AE141&lt;&gt;"")*(COLUMN('Media Dựng'!T141:AE141)-COLUMN('Media Dựng'!T141)+1)))))</f>
        <v/>
      </c>
      <c r="L737" s="52" t="str">
        <f>IF(AND(G737&lt;&gt;"",G737='Tổng hợp'!$C$4),MAX(L$1:L736)+1,"")</f>
        <v/>
      </c>
    </row>
    <row r="738" ht="15.75" customHeight="1">
      <c r="A738" s="52" t="str">
        <f>IF('Media Dựng'!C142="","","Media Dựng")</f>
        <v/>
      </c>
      <c r="B738" s="52" t="str">
        <f>IF('Media Dựng'!B142="","",'Media Dựng'!B142)</f>
        <v/>
      </c>
      <c r="C738" s="52" t="str">
        <f>IF('Media Dựng'!C142="","",'Media Dựng'!C142)</f>
        <v/>
      </c>
      <c r="D738" s="52" t="str">
        <f>IF('Media Dựng'!D142="","",'Media Dựng'!D142)</f>
        <v/>
      </c>
      <c r="E738" s="52" t="str">
        <f>IF('Media Dựng'!E142="","",'Media Dựng'!E142)</f>
        <v/>
      </c>
      <c r="F738" s="52" t="str">
        <f>IF('Media Dựng'!F142="","",'Media Dựng'!F142)</f>
        <v/>
      </c>
      <c r="G738" s="52" t="str">
        <f>IF('Media Dựng'!G142="","",'Media Dựng'!G142)</f>
        <v/>
      </c>
      <c r="H738" s="52" t="str">
        <f>IF('Media Dựng'!J142="","",'Media Dựng'!J142)</f>
        <v/>
      </c>
      <c r="I738" s="52" t="str">
        <f>IF('Media Dựng'!M142="","",'Media Dựng'!M142)</f>
        <v/>
      </c>
      <c r="J738" s="52" t="str">
        <f>IF('Media Dựng'!R142="","",'Media Dựng'!R142)</f>
        <v/>
      </c>
      <c r="K738" s="52" t="str">
        <f t="array" ref="K738">IF(COUNTA('Media Dựng'!T142:AE142)=0,"",INDEX('Media Dựng'!T142:AE142,1,SUMPRODUCT(MAX(('Media Dựng'!T142:AE142&lt;&gt;"")*(COLUMN('Media Dựng'!T142:AE142)-COLUMN('Media Dựng'!T142)+1)))))</f>
        <v/>
      </c>
      <c r="L738" s="52" t="str">
        <f>IF(AND(G738&lt;&gt;"",G738='Tổng hợp'!$C$4),MAX(L$1:L737)+1,"")</f>
        <v/>
      </c>
    </row>
    <row r="739" ht="15.75" customHeight="1">
      <c r="A739" s="52" t="str">
        <f>IF('Media Dựng'!C143="","","Media Dựng")</f>
        <v/>
      </c>
      <c r="B739" s="52" t="str">
        <f>IF('Media Dựng'!B143="","",'Media Dựng'!B143)</f>
        <v/>
      </c>
      <c r="C739" s="52" t="str">
        <f>IF('Media Dựng'!C143="","",'Media Dựng'!C143)</f>
        <v/>
      </c>
      <c r="D739" s="52" t="str">
        <f>IF('Media Dựng'!D143="","",'Media Dựng'!D143)</f>
        <v/>
      </c>
      <c r="E739" s="52" t="str">
        <f>IF('Media Dựng'!E143="","",'Media Dựng'!E143)</f>
        <v/>
      </c>
      <c r="F739" s="52" t="str">
        <f>IF('Media Dựng'!F143="","",'Media Dựng'!F143)</f>
        <v/>
      </c>
      <c r="G739" s="52" t="str">
        <f>IF('Media Dựng'!G143="","",'Media Dựng'!G143)</f>
        <v/>
      </c>
      <c r="H739" s="52" t="str">
        <f>IF('Media Dựng'!J143="","",'Media Dựng'!J143)</f>
        <v/>
      </c>
      <c r="I739" s="52" t="str">
        <f>IF('Media Dựng'!M143="","",'Media Dựng'!M143)</f>
        <v/>
      </c>
      <c r="J739" s="52" t="str">
        <f>IF('Media Dựng'!R143="","",'Media Dựng'!R143)</f>
        <v/>
      </c>
      <c r="K739" s="52" t="str">
        <f t="array" ref="K739">IF(COUNTA('Media Dựng'!T143:AE143)=0,"",INDEX('Media Dựng'!T143:AE143,1,SUMPRODUCT(MAX(('Media Dựng'!T143:AE143&lt;&gt;"")*(COLUMN('Media Dựng'!T143:AE143)-COLUMN('Media Dựng'!T143)+1)))))</f>
        <v/>
      </c>
      <c r="L739" s="52" t="str">
        <f>IF(AND(G739&lt;&gt;"",G739='Tổng hợp'!$C$4),MAX(L$1:L738)+1,"")</f>
        <v/>
      </c>
    </row>
    <row r="740" ht="15.75" customHeight="1">
      <c r="A740" s="52" t="str">
        <f>IF('Media Dựng'!C144="","","Media Dựng")</f>
        <v/>
      </c>
      <c r="B740" s="52" t="str">
        <f>IF('Media Dựng'!B144="","",'Media Dựng'!B144)</f>
        <v/>
      </c>
      <c r="C740" s="52" t="str">
        <f>IF('Media Dựng'!C144="","",'Media Dựng'!C144)</f>
        <v/>
      </c>
      <c r="D740" s="52" t="str">
        <f>IF('Media Dựng'!D144="","",'Media Dựng'!D144)</f>
        <v/>
      </c>
      <c r="E740" s="52" t="str">
        <f>IF('Media Dựng'!E144="","",'Media Dựng'!E144)</f>
        <v/>
      </c>
      <c r="F740" s="52" t="str">
        <f>IF('Media Dựng'!F144="","",'Media Dựng'!F144)</f>
        <v/>
      </c>
      <c r="G740" s="52" t="str">
        <f>IF('Media Dựng'!G144="","",'Media Dựng'!G144)</f>
        <v/>
      </c>
      <c r="H740" s="52" t="str">
        <f>IF('Media Dựng'!J144="","",'Media Dựng'!J144)</f>
        <v/>
      </c>
      <c r="I740" s="52" t="str">
        <f>IF('Media Dựng'!M144="","",'Media Dựng'!M144)</f>
        <v/>
      </c>
      <c r="J740" s="52" t="str">
        <f>IF('Media Dựng'!R144="","",'Media Dựng'!R144)</f>
        <v/>
      </c>
      <c r="K740" s="52" t="str">
        <f t="array" ref="K740">IF(COUNTA('Media Dựng'!T144:AE144)=0,"",INDEX('Media Dựng'!T144:AE144,1,SUMPRODUCT(MAX(('Media Dựng'!T144:AE144&lt;&gt;"")*(COLUMN('Media Dựng'!T144:AE144)-COLUMN('Media Dựng'!T144)+1)))))</f>
        <v/>
      </c>
      <c r="L740" s="52" t="str">
        <f>IF(AND(G740&lt;&gt;"",G740='Tổng hợp'!$C$4),MAX(L$1:L739)+1,"")</f>
        <v/>
      </c>
    </row>
    <row r="741" ht="15.75" customHeight="1">
      <c r="A741" s="52" t="str">
        <f>IF('Media Dựng'!C145="","","Media Dựng")</f>
        <v/>
      </c>
      <c r="B741" s="52" t="str">
        <f>IF('Media Dựng'!B145="","",'Media Dựng'!B145)</f>
        <v/>
      </c>
      <c r="C741" s="52" t="str">
        <f>IF('Media Dựng'!C145="","",'Media Dựng'!C145)</f>
        <v/>
      </c>
      <c r="D741" s="52" t="str">
        <f>IF('Media Dựng'!D145="","",'Media Dựng'!D145)</f>
        <v/>
      </c>
      <c r="E741" s="52" t="str">
        <f>IF('Media Dựng'!E145="","",'Media Dựng'!E145)</f>
        <v/>
      </c>
      <c r="F741" s="52" t="str">
        <f>IF('Media Dựng'!F145="","",'Media Dựng'!F145)</f>
        <v/>
      </c>
      <c r="G741" s="52" t="str">
        <f>IF('Media Dựng'!G145="","",'Media Dựng'!G145)</f>
        <v/>
      </c>
      <c r="H741" s="52" t="str">
        <f>IF('Media Dựng'!J145="","",'Media Dựng'!J145)</f>
        <v/>
      </c>
      <c r="I741" s="52" t="str">
        <f>IF('Media Dựng'!M145="","",'Media Dựng'!M145)</f>
        <v/>
      </c>
      <c r="J741" s="52" t="str">
        <f>IF('Media Dựng'!R145="","",'Media Dựng'!R145)</f>
        <v/>
      </c>
      <c r="K741" s="52" t="str">
        <f t="array" ref="K741">IF(COUNTA('Media Dựng'!T145:AE145)=0,"",INDEX('Media Dựng'!T145:AE145,1,SUMPRODUCT(MAX(('Media Dựng'!T145:AE145&lt;&gt;"")*(COLUMN('Media Dựng'!T145:AE145)-COLUMN('Media Dựng'!T145)+1)))))</f>
        <v/>
      </c>
      <c r="L741" s="52" t="str">
        <f>IF(AND(G741&lt;&gt;"",G741='Tổng hợp'!$C$4),MAX(L$1:L740)+1,"")</f>
        <v/>
      </c>
    </row>
    <row r="742" ht="15.75" customHeight="1">
      <c r="A742" s="52" t="str">
        <f>IF('Media Dựng'!C146="","","Media Dựng")</f>
        <v/>
      </c>
      <c r="B742" s="52" t="str">
        <f>IF('Media Dựng'!B146="","",'Media Dựng'!B146)</f>
        <v/>
      </c>
      <c r="C742" s="52" t="str">
        <f>IF('Media Dựng'!C146="","",'Media Dựng'!C146)</f>
        <v/>
      </c>
      <c r="D742" s="52" t="str">
        <f>IF('Media Dựng'!D146="","",'Media Dựng'!D146)</f>
        <v/>
      </c>
      <c r="E742" s="52" t="str">
        <f>IF('Media Dựng'!E146="","",'Media Dựng'!E146)</f>
        <v/>
      </c>
      <c r="F742" s="52" t="str">
        <f>IF('Media Dựng'!F146="","",'Media Dựng'!F146)</f>
        <v/>
      </c>
      <c r="G742" s="52" t="str">
        <f>IF('Media Dựng'!G146="","",'Media Dựng'!G146)</f>
        <v/>
      </c>
      <c r="H742" s="52" t="str">
        <f>IF('Media Dựng'!J146="","",'Media Dựng'!J146)</f>
        <v/>
      </c>
      <c r="I742" s="52" t="str">
        <f>IF('Media Dựng'!M146="","",'Media Dựng'!M146)</f>
        <v/>
      </c>
      <c r="J742" s="52" t="str">
        <f>IF('Media Dựng'!R146="","",'Media Dựng'!R146)</f>
        <v/>
      </c>
      <c r="K742" s="52" t="str">
        <f t="array" ref="K742">IF(COUNTA('Media Dựng'!T146:AE146)=0,"",INDEX('Media Dựng'!T146:AE146,1,SUMPRODUCT(MAX(('Media Dựng'!T146:AE146&lt;&gt;"")*(COLUMN('Media Dựng'!T146:AE146)-COLUMN('Media Dựng'!T146)+1)))))</f>
        <v/>
      </c>
      <c r="L742" s="52" t="str">
        <f>IF(AND(G742&lt;&gt;"",G742='Tổng hợp'!$C$4),MAX(L$1:L741)+1,"")</f>
        <v/>
      </c>
    </row>
    <row r="743" ht="15.75" customHeight="1">
      <c r="A743" s="52" t="str">
        <f>IF('Media Dựng'!C147="","","Media Dựng")</f>
        <v/>
      </c>
      <c r="B743" s="52" t="str">
        <f>IF('Media Dựng'!B147="","",'Media Dựng'!B147)</f>
        <v/>
      </c>
      <c r="C743" s="52" t="str">
        <f>IF('Media Dựng'!C147="","",'Media Dựng'!C147)</f>
        <v/>
      </c>
      <c r="D743" s="52" t="str">
        <f>IF('Media Dựng'!D147="","",'Media Dựng'!D147)</f>
        <v/>
      </c>
      <c r="E743" s="52" t="str">
        <f>IF('Media Dựng'!E147="","",'Media Dựng'!E147)</f>
        <v/>
      </c>
      <c r="F743" s="52" t="str">
        <f>IF('Media Dựng'!F147="","",'Media Dựng'!F147)</f>
        <v/>
      </c>
      <c r="G743" s="52" t="str">
        <f>IF('Media Dựng'!G147="","",'Media Dựng'!G147)</f>
        <v/>
      </c>
      <c r="H743" s="52" t="str">
        <f>IF('Media Dựng'!J147="","",'Media Dựng'!J147)</f>
        <v/>
      </c>
      <c r="I743" s="52" t="str">
        <f>IF('Media Dựng'!M147="","",'Media Dựng'!M147)</f>
        <v/>
      </c>
      <c r="J743" s="52" t="str">
        <f>IF('Media Dựng'!R147="","",'Media Dựng'!R147)</f>
        <v/>
      </c>
      <c r="K743" s="52" t="str">
        <f t="array" ref="K743">IF(COUNTA('Media Dựng'!T147:AE147)=0,"",INDEX('Media Dựng'!T147:AE147,1,SUMPRODUCT(MAX(('Media Dựng'!T147:AE147&lt;&gt;"")*(COLUMN('Media Dựng'!T147:AE147)-COLUMN('Media Dựng'!T147)+1)))))</f>
        <v/>
      </c>
      <c r="L743" s="52" t="str">
        <f>IF(AND(G743&lt;&gt;"",G743='Tổng hợp'!$C$4),MAX(L$1:L742)+1,"")</f>
        <v/>
      </c>
    </row>
    <row r="744" ht="15.75" customHeight="1">
      <c r="A744" s="52" t="str">
        <f>IF('Media Dựng'!C148="","","Media Dựng")</f>
        <v/>
      </c>
      <c r="B744" s="52" t="str">
        <f>IF('Media Dựng'!B148="","",'Media Dựng'!B148)</f>
        <v/>
      </c>
      <c r="C744" s="52" t="str">
        <f>IF('Media Dựng'!C148="","",'Media Dựng'!C148)</f>
        <v/>
      </c>
      <c r="D744" s="52" t="str">
        <f>IF('Media Dựng'!D148="","",'Media Dựng'!D148)</f>
        <v/>
      </c>
      <c r="E744" s="52" t="str">
        <f>IF('Media Dựng'!E148="","",'Media Dựng'!E148)</f>
        <v/>
      </c>
      <c r="F744" s="52" t="str">
        <f>IF('Media Dựng'!F148="","",'Media Dựng'!F148)</f>
        <v/>
      </c>
      <c r="G744" s="52" t="str">
        <f>IF('Media Dựng'!G148="","",'Media Dựng'!G148)</f>
        <v/>
      </c>
      <c r="H744" s="52" t="str">
        <f>IF('Media Dựng'!J148="","",'Media Dựng'!J148)</f>
        <v/>
      </c>
      <c r="I744" s="52" t="str">
        <f>IF('Media Dựng'!M148="","",'Media Dựng'!M148)</f>
        <v/>
      </c>
      <c r="J744" s="52" t="str">
        <f>IF('Media Dựng'!R148="","",'Media Dựng'!R148)</f>
        <v/>
      </c>
      <c r="K744" s="52" t="str">
        <f t="array" ref="K744">IF(COUNTA('Media Dựng'!T148:AE148)=0,"",INDEX('Media Dựng'!T148:AE148,1,SUMPRODUCT(MAX(('Media Dựng'!T148:AE148&lt;&gt;"")*(COLUMN('Media Dựng'!T148:AE148)-COLUMN('Media Dựng'!T148)+1)))))</f>
        <v/>
      </c>
      <c r="L744" s="52" t="str">
        <f>IF(AND(G744&lt;&gt;"",G744='Tổng hợp'!$C$4),MAX(L$1:L743)+1,"")</f>
        <v/>
      </c>
    </row>
    <row r="745" ht="15.75" customHeight="1">
      <c r="A745" s="52" t="str">
        <f>IF('Media Dựng'!C149="","","Media Dựng")</f>
        <v/>
      </c>
      <c r="B745" s="52" t="str">
        <f>IF('Media Dựng'!B149="","",'Media Dựng'!B149)</f>
        <v/>
      </c>
      <c r="C745" s="52" t="str">
        <f>IF('Media Dựng'!C149="","",'Media Dựng'!C149)</f>
        <v/>
      </c>
      <c r="D745" s="52" t="str">
        <f>IF('Media Dựng'!D149="","",'Media Dựng'!D149)</f>
        <v/>
      </c>
      <c r="E745" s="52" t="str">
        <f>IF('Media Dựng'!E149="","",'Media Dựng'!E149)</f>
        <v/>
      </c>
      <c r="F745" s="52" t="str">
        <f>IF('Media Dựng'!F149="","",'Media Dựng'!F149)</f>
        <v/>
      </c>
      <c r="G745" s="52" t="str">
        <f>IF('Media Dựng'!G149="","",'Media Dựng'!G149)</f>
        <v/>
      </c>
      <c r="H745" s="52" t="str">
        <f>IF('Media Dựng'!J149="","",'Media Dựng'!J149)</f>
        <v/>
      </c>
      <c r="I745" s="52" t="str">
        <f>IF('Media Dựng'!M149="","",'Media Dựng'!M149)</f>
        <v/>
      </c>
      <c r="J745" s="52" t="str">
        <f>IF('Media Dựng'!R149="","",'Media Dựng'!R149)</f>
        <v/>
      </c>
      <c r="K745" s="52" t="str">
        <f t="array" ref="K745">IF(COUNTA('Media Dựng'!T149:AE149)=0,"",INDEX('Media Dựng'!T149:AE149,1,SUMPRODUCT(MAX(('Media Dựng'!T149:AE149&lt;&gt;"")*(COLUMN('Media Dựng'!T149:AE149)-COLUMN('Media Dựng'!T149)+1)))))</f>
        <v/>
      </c>
      <c r="L745" s="52" t="str">
        <f>IF(AND(G745&lt;&gt;"",G745='Tổng hợp'!$C$4),MAX(L$1:L744)+1,"")</f>
        <v/>
      </c>
    </row>
    <row r="746" ht="15.75" customHeight="1">
      <c r="A746" s="52" t="str">
        <f>IF('Media Dựng'!C150="","","Media Dựng")</f>
        <v/>
      </c>
      <c r="B746" s="52" t="str">
        <f>IF('Media Dựng'!B150="","",'Media Dựng'!B150)</f>
        <v/>
      </c>
      <c r="C746" s="52" t="str">
        <f>IF('Media Dựng'!C150="","",'Media Dựng'!C150)</f>
        <v/>
      </c>
      <c r="D746" s="52" t="str">
        <f>IF('Media Dựng'!D150="","",'Media Dựng'!D150)</f>
        <v/>
      </c>
      <c r="E746" s="52" t="str">
        <f>IF('Media Dựng'!E150="","",'Media Dựng'!E150)</f>
        <v/>
      </c>
      <c r="F746" s="52" t="str">
        <f>IF('Media Dựng'!F150="","",'Media Dựng'!F150)</f>
        <v/>
      </c>
      <c r="G746" s="52" t="str">
        <f>IF('Media Dựng'!G150="","",'Media Dựng'!G150)</f>
        <v/>
      </c>
      <c r="H746" s="52" t="str">
        <f>IF('Media Dựng'!J150="","",'Media Dựng'!J150)</f>
        <v/>
      </c>
      <c r="I746" s="52" t="str">
        <f>IF('Media Dựng'!M150="","",'Media Dựng'!M150)</f>
        <v/>
      </c>
      <c r="J746" s="52" t="str">
        <f>IF('Media Dựng'!R150="","",'Media Dựng'!R150)</f>
        <v/>
      </c>
      <c r="K746" s="52" t="str">
        <f t="array" ref="K746">IF(COUNTA('Media Dựng'!T150:AE150)=0,"",INDEX('Media Dựng'!T150:AE150,1,SUMPRODUCT(MAX(('Media Dựng'!T150:AE150&lt;&gt;"")*(COLUMN('Media Dựng'!T150:AE150)-COLUMN('Media Dựng'!T150)+1)))))</f>
        <v/>
      </c>
      <c r="L746" s="52" t="str">
        <f>IF(AND(G746&lt;&gt;"",G746='Tổng hợp'!$C$4),MAX(L$1:L745)+1,"")</f>
        <v/>
      </c>
    </row>
    <row r="747" ht="15.75" customHeight="1">
      <c r="A747" s="52" t="str">
        <f>IF('Media Dựng'!C151="","","Media Dựng")</f>
        <v/>
      </c>
      <c r="B747" s="52" t="str">
        <f>IF('Media Dựng'!B151="","",'Media Dựng'!B151)</f>
        <v/>
      </c>
      <c r="C747" s="52" t="str">
        <f>IF('Media Dựng'!C151="","",'Media Dựng'!C151)</f>
        <v/>
      </c>
      <c r="D747" s="52" t="str">
        <f>IF('Media Dựng'!D151="","",'Media Dựng'!D151)</f>
        <v/>
      </c>
      <c r="E747" s="52" t="str">
        <f>IF('Media Dựng'!E151="","",'Media Dựng'!E151)</f>
        <v/>
      </c>
      <c r="F747" s="52" t="str">
        <f>IF('Media Dựng'!F151="","",'Media Dựng'!F151)</f>
        <v/>
      </c>
      <c r="G747" s="52" t="str">
        <f>IF('Media Dựng'!G151="","",'Media Dựng'!G151)</f>
        <v/>
      </c>
      <c r="H747" s="52" t="str">
        <f>IF('Media Dựng'!J151="","",'Media Dựng'!J151)</f>
        <v/>
      </c>
      <c r="I747" s="52" t="str">
        <f>IF('Media Dựng'!M151="","",'Media Dựng'!M151)</f>
        <v/>
      </c>
      <c r="J747" s="52" t="str">
        <f>IF('Media Dựng'!R151="","",'Media Dựng'!R151)</f>
        <v/>
      </c>
      <c r="K747" s="52" t="str">
        <f t="array" ref="K747">IF(COUNTA('Media Dựng'!T151:AE151)=0,"",INDEX('Media Dựng'!T151:AE151,1,SUMPRODUCT(MAX(('Media Dựng'!T151:AE151&lt;&gt;"")*(COLUMN('Media Dựng'!T151:AE151)-COLUMN('Media Dựng'!T151)+1)))))</f>
        <v/>
      </c>
      <c r="L747" s="52" t="str">
        <f>IF(AND(G747&lt;&gt;"",G747='Tổng hợp'!$C$4),MAX(L$1:L746)+1,"")</f>
        <v/>
      </c>
    </row>
    <row r="748" ht="15.75" customHeight="1">
      <c r="A748" s="52" t="str">
        <f>IF('Media Dựng'!C152="","","Media Dựng")</f>
        <v/>
      </c>
      <c r="B748" s="52" t="str">
        <f>IF('Media Dựng'!B152="","",'Media Dựng'!B152)</f>
        <v/>
      </c>
      <c r="C748" s="52" t="str">
        <f>IF('Media Dựng'!C152="","",'Media Dựng'!C152)</f>
        <v/>
      </c>
      <c r="D748" s="52" t="str">
        <f>IF('Media Dựng'!D152="","",'Media Dựng'!D152)</f>
        <v/>
      </c>
      <c r="E748" s="52" t="str">
        <f>IF('Media Dựng'!E152="","",'Media Dựng'!E152)</f>
        <v/>
      </c>
      <c r="F748" s="52" t="str">
        <f>IF('Media Dựng'!F152="","",'Media Dựng'!F152)</f>
        <v/>
      </c>
      <c r="G748" s="52" t="str">
        <f>IF('Media Dựng'!G152="","",'Media Dựng'!G152)</f>
        <v/>
      </c>
      <c r="H748" s="52" t="str">
        <f>IF('Media Dựng'!J152="","",'Media Dựng'!J152)</f>
        <v/>
      </c>
      <c r="I748" s="52" t="str">
        <f>IF('Media Dựng'!M152="","",'Media Dựng'!M152)</f>
        <v/>
      </c>
      <c r="J748" s="52" t="str">
        <f>IF('Media Dựng'!R152="","",'Media Dựng'!R152)</f>
        <v/>
      </c>
      <c r="K748" s="52" t="str">
        <f t="array" ref="K748">IF(COUNTA('Media Dựng'!T152:AE152)=0,"",INDEX('Media Dựng'!T152:AE152,1,SUMPRODUCT(MAX(('Media Dựng'!T152:AE152&lt;&gt;"")*(COLUMN('Media Dựng'!T152:AE152)-COLUMN('Media Dựng'!T152)+1)))))</f>
        <v/>
      </c>
      <c r="L748" s="52" t="str">
        <f>IF(AND(G748&lt;&gt;"",G748='Tổng hợp'!$C$4),MAX(L$1:L747)+1,"")</f>
        <v/>
      </c>
    </row>
    <row r="749" ht="15.75" customHeight="1">
      <c r="A749" s="52" t="str">
        <f>IF('Media Dựng'!C153="","","Media Dựng")</f>
        <v/>
      </c>
      <c r="B749" s="52" t="str">
        <f>IF('Media Dựng'!B153="","",'Media Dựng'!B153)</f>
        <v/>
      </c>
      <c r="C749" s="52" t="str">
        <f>IF('Media Dựng'!C153="","",'Media Dựng'!C153)</f>
        <v/>
      </c>
      <c r="D749" s="52" t="str">
        <f>IF('Media Dựng'!D153="","",'Media Dựng'!D153)</f>
        <v/>
      </c>
      <c r="E749" s="52" t="str">
        <f>IF('Media Dựng'!E153="","",'Media Dựng'!E153)</f>
        <v/>
      </c>
      <c r="F749" s="52" t="str">
        <f>IF('Media Dựng'!F153="","",'Media Dựng'!F153)</f>
        <v/>
      </c>
      <c r="G749" s="52" t="str">
        <f>IF('Media Dựng'!G153="","",'Media Dựng'!G153)</f>
        <v/>
      </c>
      <c r="H749" s="52" t="str">
        <f>IF('Media Dựng'!J153="","",'Media Dựng'!J153)</f>
        <v/>
      </c>
      <c r="I749" s="52" t="str">
        <f>IF('Media Dựng'!M153="","",'Media Dựng'!M153)</f>
        <v/>
      </c>
      <c r="J749" s="52" t="str">
        <f>IF('Media Dựng'!R153="","",'Media Dựng'!R153)</f>
        <v/>
      </c>
      <c r="K749" s="52" t="str">
        <f t="array" ref="K749">IF(COUNTA('Media Dựng'!T153:AE153)=0,"",INDEX('Media Dựng'!T153:AE153,1,SUMPRODUCT(MAX(('Media Dựng'!T153:AE153&lt;&gt;"")*(COLUMN('Media Dựng'!T153:AE153)-COLUMN('Media Dựng'!T153)+1)))))</f>
        <v/>
      </c>
      <c r="L749" s="52" t="str">
        <f>IF(AND(G749&lt;&gt;"",G749='Tổng hợp'!$C$4),MAX(L$1:L748)+1,"")</f>
        <v/>
      </c>
    </row>
    <row r="750" ht="15.75" customHeight="1">
      <c r="A750" s="52" t="str">
        <f>IF('Media Dựng'!C154="","","Media Dựng")</f>
        <v/>
      </c>
      <c r="B750" s="52" t="str">
        <f>IF('Media Dựng'!B154="","",'Media Dựng'!B154)</f>
        <v/>
      </c>
      <c r="C750" s="52" t="str">
        <f>IF('Media Dựng'!C154="","",'Media Dựng'!C154)</f>
        <v/>
      </c>
      <c r="D750" s="52" t="str">
        <f>IF('Media Dựng'!D154="","",'Media Dựng'!D154)</f>
        <v/>
      </c>
      <c r="E750" s="52" t="str">
        <f>IF('Media Dựng'!E154="","",'Media Dựng'!E154)</f>
        <v/>
      </c>
      <c r="F750" s="52" t="str">
        <f>IF('Media Dựng'!F154="","",'Media Dựng'!F154)</f>
        <v/>
      </c>
      <c r="G750" s="52" t="str">
        <f>IF('Media Dựng'!G154="","",'Media Dựng'!G154)</f>
        <v/>
      </c>
      <c r="H750" s="52" t="str">
        <f>IF('Media Dựng'!J154="","",'Media Dựng'!J154)</f>
        <v/>
      </c>
      <c r="I750" s="52" t="str">
        <f>IF('Media Dựng'!M154="","",'Media Dựng'!M154)</f>
        <v/>
      </c>
      <c r="J750" s="52" t="str">
        <f>IF('Media Dựng'!R154="","",'Media Dựng'!R154)</f>
        <v/>
      </c>
      <c r="K750" s="52" t="str">
        <f t="array" ref="K750">IF(COUNTA('Media Dựng'!T154:AE154)=0,"",INDEX('Media Dựng'!T154:AE154,1,SUMPRODUCT(MAX(('Media Dựng'!T154:AE154&lt;&gt;"")*(COLUMN('Media Dựng'!T154:AE154)-COLUMN('Media Dựng'!T154)+1)))))</f>
        <v/>
      </c>
      <c r="L750" s="52" t="str">
        <f>IF(AND(G750&lt;&gt;"",G750='Tổng hợp'!$C$4),MAX(L$1:L749)+1,"")</f>
        <v/>
      </c>
    </row>
    <row r="751" ht="15.75" customHeight="1">
      <c r="A751" s="52" t="str">
        <f>IF('Media Dựng'!C155="","","Media Dựng")</f>
        <v/>
      </c>
      <c r="B751" s="52" t="str">
        <f>IF('Media Dựng'!B155="","",'Media Dựng'!B155)</f>
        <v/>
      </c>
      <c r="C751" s="52" t="str">
        <f>IF('Media Dựng'!C155="","",'Media Dựng'!C155)</f>
        <v/>
      </c>
      <c r="D751" s="52" t="str">
        <f>IF('Media Dựng'!D155="","",'Media Dựng'!D155)</f>
        <v/>
      </c>
      <c r="E751" s="52" t="str">
        <f>IF('Media Dựng'!E155="","",'Media Dựng'!E155)</f>
        <v/>
      </c>
      <c r="F751" s="52" t="str">
        <f>IF('Media Dựng'!F155="","",'Media Dựng'!F155)</f>
        <v/>
      </c>
      <c r="G751" s="52" t="str">
        <f>IF('Media Dựng'!G155="","",'Media Dựng'!G155)</f>
        <v/>
      </c>
      <c r="H751" s="52" t="str">
        <f>IF('Media Dựng'!J155="","",'Media Dựng'!J155)</f>
        <v/>
      </c>
      <c r="I751" s="52" t="str">
        <f>IF('Media Dựng'!M155="","",'Media Dựng'!M155)</f>
        <v/>
      </c>
      <c r="J751" s="52" t="str">
        <f>IF('Media Dựng'!R155="","",'Media Dựng'!R155)</f>
        <v/>
      </c>
      <c r="K751" s="52" t="str">
        <f t="array" ref="K751">IF(COUNTA('Media Dựng'!T155:AE155)=0,"",INDEX('Media Dựng'!T155:AE155,1,SUMPRODUCT(MAX(('Media Dựng'!T155:AE155&lt;&gt;"")*(COLUMN('Media Dựng'!T155:AE155)-COLUMN('Media Dựng'!T155)+1)))))</f>
        <v/>
      </c>
      <c r="L751" s="52" t="str">
        <f>IF(AND(G751&lt;&gt;"",G751='Tổng hợp'!$C$4),MAX(L$1:L750)+1,"")</f>
        <v/>
      </c>
    </row>
    <row r="752" ht="15.75" customHeight="1">
      <c r="A752" s="52" t="str">
        <f>IF('Media Dựng'!C156="","","Media Dựng")</f>
        <v/>
      </c>
      <c r="B752" s="52" t="str">
        <f>IF('Media Dựng'!B156="","",'Media Dựng'!B156)</f>
        <v/>
      </c>
      <c r="C752" s="52" t="str">
        <f>IF('Media Dựng'!C156="","",'Media Dựng'!C156)</f>
        <v/>
      </c>
      <c r="D752" s="52" t="str">
        <f>IF('Media Dựng'!D156="","",'Media Dựng'!D156)</f>
        <v/>
      </c>
      <c r="E752" s="52" t="str">
        <f>IF('Media Dựng'!E156="","",'Media Dựng'!E156)</f>
        <v/>
      </c>
      <c r="F752" s="52" t="str">
        <f>IF('Media Dựng'!F156="","",'Media Dựng'!F156)</f>
        <v/>
      </c>
      <c r="G752" s="52" t="str">
        <f>IF('Media Dựng'!G156="","",'Media Dựng'!G156)</f>
        <v/>
      </c>
      <c r="H752" s="52" t="str">
        <f>IF('Media Dựng'!J156="","",'Media Dựng'!J156)</f>
        <v/>
      </c>
      <c r="I752" s="52" t="str">
        <f>IF('Media Dựng'!M156="","",'Media Dựng'!M156)</f>
        <v/>
      </c>
      <c r="J752" s="52" t="str">
        <f>IF('Media Dựng'!R156="","",'Media Dựng'!R156)</f>
        <v/>
      </c>
      <c r="K752" s="52" t="str">
        <f t="array" ref="K752">IF(COUNTA('Media Dựng'!T156:AE156)=0,"",INDEX('Media Dựng'!T156:AE156,1,SUMPRODUCT(MAX(('Media Dựng'!T156:AE156&lt;&gt;"")*(COLUMN('Media Dựng'!T156:AE156)-COLUMN('Media Dựng'!T156)+1)))))</f>
        <v/>
      </c>
      <c r="L752" s="52" t="str">
        <f>IF(AND(G752&lt;&gt;"",G752='Tổng hợp'!$C$4),MAX(L$1:L751)+1,"")</f>
        <v/>
      </c>
    </row>
    <row r="753" ht="15.75" customHeight="1">
      <c r="A753" s="52" t="str">
        <f>IF('Media Dựng'!C157="","","Media Dựng")</f>
        <v/>
      </c>
      <c r="B753" s="52" t="str">
        <f>IF('Media Dựng'!B157="","",'Media Dựng'!B157)</f>
        <v/>
      </c>
      <c r="C753" s="52" t="str">
        <f>IF('Media Dựng'!C157="","",'Media Dựng'!C157)</f>
        <v/>
      </c>
      <c r="D753" s="52" t="str">
        <f>IF('Media Dựng'!D157="","",'Media Dựng'!D157)</f>
        <v/>
      </c>
      <c r="E753" s="52" t="str">
        <f>IF('Media Dựng'!E157="","",'Media Dựng'!E157)</f>
        <v/>
      </c>
      <c r="F753" s="52" t="str">
        <f>IF('Media Dựng'!F157="","",'Media Dựng'!F157)</f>
        <v/>
      </c>
      <c r="G753" s="52" t="str">
        <f>IF('Media Dựng'!G157="","",'Media Dựng'!G157)</f>
        <v/>
      </c>
      <c r="H753" s="52" t="str">
        <f>IF('Media Dựng'!J157="","",'Media Dựng'!J157)</f>
        <v/>
      </c>
      <c r="I753" s="52" t="str">
        <f>IF('Media Dựng'!M157="","",'Media Dựng'!M157)</f>
        <v/>
      </c>
      <c r="J753" s="52" t="str">
        <f>IF('Media Dựng'!R157="","",'Media Dựng'!R157)</f>
        <v/>
      </c>
      <c r="K753" s="52" t="str">
        <f t="array" ref="K753">IF(COUNTA('Media Dựng'!T157:AE157)=0,"",INDEX('Media Dựng'!T157:AE157,1,SUMPRODUCT(MAX(('Media Dựng'!T157:AE157&lt;&gt;"")*(COLUMN('Media Dựng'!T157:AE157)-COLUMN('Media Dựng'!T157)+1)))))</f>
        <v/>
      </c>
      <c r="L753" s="52" t="str">
        <f>IF(AND(G753&lt;&gt;"",G753='Tổng hợp'!$C$4),MAX(L$1:L752)+1,"")</f>
        <v/>
      </c>
    </row>
    <row r="754" ht="15.75" customHeight="1">
      <c r="A754" s="52" t="str">
        <f>IF('Media Dựng'!C158="","","Media Dựng")</f>
        <v/>
      </c>
      <c r="B754" s="52" t="str">
        <f>IF('Media Dựng'!B158="","",'Media Dựng'!B158)</f>
        <v/>
      </c>
      <c r="C754" s="52" t="str">
        <f>IF('Media Dựng'!C158="","",'Media Dựng'!C158)</f>
        <v/>
      </c>
      <c r="D754" s="52" t="str">
        <f>IF('Media Dựng'!D158="","",'Media Dựng'!D158)</f>
        <v/>
      </c>
      <c r="E754" s="52" t="str">
        <f>IF('Media Dựng'!E158="","",'Media Dựng'!E158)</f>
        <v/>
      </c>
      <c r="F754" s="52" t="str">
        <f>IF('Media Dựng'!F158="","",'Media Dựng'!F158)</f>
        <v/>
      </c>
      <c r="G754" s="52" t="str">
        <f>IF('Media Dựng'!G158="","",'Media Dựng'!G158)</f>
        <v/>
      </c>
      <c r="H754" s="52" t="str">
        <f>IF('Media Dựng'!J158="","",'Media Dựng'!J158)</f>
        <v/>
      </c>
      <c r="I754" s="52" t="str">
        <f>IF('Media Dựng'!M158="","",'Media Dựng'!M158)</f>
        <v/>
      </c>
      <c r="J754" s="52" t="str">
        <f>IF('Media Dựng'!R158="","",'Media Dựng'!R158)</f>
        <v/>
      </c>
      <c r="K754" s="52" t="str">
        <f t="array" ref="K754">IF(COUNTA('Media Dựng'!T158:AE158)=0,"",INDEX('Media Dựng'!T158:AE158,1,SUMPRODUCT(MAX(('Media Dựng'!T158:AE158&lt;&gt;"")*(COLUMN('Media Dựng'!T158:AE158)-COLUMN('Media Dựng'!T158)+1)))))</f>
        <v/>
      </c>
      <c r="L754" s="52" t="str">
        <f>IF(AND(G754&lt;&gt;"",G754='Tổng hợp'!$C$4),MAX(L$1:L753)+1,"")</f>
        <v/>
      </c>
    </row>
    <row r="755" ht="15.75" customHeight="1">
      <c r="A755" s="52" t="str">
        <f>IF('Media Dựng'!C159="","","Media Dựng")</f>
        <v/>
      </c>
      <c r="B755" s="52" t="str">
        <f>IF('Media Dựng'!B159="","",'Media Dựng'!B159)</f>
        <v/>
      </c>
      <c r="C755" s="52" t="str">
        <f>IF('Media Dựng'!C159="","",'Media Dựng'!C159)</f>
        <v/>
      </c>
      <c r="D755" s="52" t="str">
        <f>IF('Media Dựng'!D159="","",'Media Dựng'!D159)</f>
        <v/>
      </c>
      <c r="E755" s="52" t="str">
        <f>IF('Media Dựng'!E159="","",'Media Dựng'!E159)</f>
        <v/>
      </c>
      <c r="F755" s="52" t="str">
        <f>IF('Media Dựng'!F159="","",'Media Dựng'!F159)</f>
        <v/>
      </c>
      <c r="G755" s="52" t="str">
        <f>IF('Media Dựng'!G159="","",'Media Dựng'!G159)</f>
        <v/>
      </c>
      <c r="H755" s="52" t="str">
        <f>IF('Media Dựng'!J159="","",'Media Dựng'!J159)</f>
        <v/>
      </c>
      <c r="I755" s="52" t="str">
        <f>IF('Media Dựng'!M159="","",'Media Dựng'!M159)</f>
        <v/>
      </c>
      <c r="J755" s="52" t="str">
        <f>IF('Media Dựng'!R159="","",'Media Dựng'!R159)</f>
        <v/>
      </c>
      <c r="K755" s="52" t="str">
        <f t="array" ref="K755">IF(COUNTA('Media Dựng'!T159:AE159)=0,"",INDEX('Media Dựng'!T159:AE159,1,SUMPRODUCT(MAX(('Media Dựng'!T159:AE159&lt;&gt;"")*(COLUMN('Media Dựng'!T159:AE159)-COLUMN('Media Dựng'!T159)+1)))))</f>
        <v/>
      </c>
      <c r="L755" s="52" t="str">
        <f>IF(AND(G755&lt;&gt;"",G755='Tổng hợp'!$C$4),MAX(L$1:L754)+1,"")</f>
        <v/>
      </c>
    </row>
    <row r="756" ht="15.75" customHeight="1">
      <c r="A756" s="52" t="str">
        <f>IF('Media Dựng'!C160="","","Media Dựng")</f>
        <v/>
      </c>
      <c r="B756" s="52" t="str">
        <f>IF('Media Dựng'!B160="","",'Media Dựng'!B160)</f>
        <v/>
      </c>
      <c r="C756" s="52" t="str">
        <f>IF('Media Dựng'!C160="","",'Media Dựng'!C160)</f>
        <v/>
      </c>
      <c r="D756" s="52" t="str">
        <f>IF('Media Dựng'!D160="","",'Media Dựng'!D160)</f>
        <v/>
      </c>
      <c r="E756" s="52" t="str">
        <f>IF('Media Dựng'!E160="","",'Media Dựng'!E160)</f>
        <v/>
      </c>
      <c r="F756" s="52" t="str">
        <f>IF('Media Dựng'!F160="","",'Media Dựng'!F160)</f>
        <v/>
      </c>
      <c r="G756" s="52" t="str">
        <f>IF('Media Dựng'!G160="","",'Media Dựng'!G160)</f>
        <v/>
      </c>
      <c r="H756" s="52" t="str">
        <f>IF('Media Dựng'!J160="","",'Media Dựng'!J160)</f>
        <v/>
      </c>
      <c r="I756" s="52" t="str">
        <f>IF('Media Dựng'!M160="","",'Media Dựng'!M160)</f>
        <v/>
      </c>
      <c r="J756" s="52" t="str">
        <f>IF('Media Dựng'!R160="","",'Media Dựng'!R160)</f>
        <v/>
      </c>
      <c r="K756" s="52" t="str">
        <f t="array" ref="K756">IF(COUNTA('Media Dựng'!T160:AE160)=0,"",INDEX('Media Dựng'!T160:AE160,1,SUMPRODUCT(MAX(('Media Dựng'!T160:AE160&lt;&gt;"")*(COLUMN('Media Dựng'!T160:AE160)-COLUMN('Media Dựng'!T160)+1)))))</f>
        <v/>
      </c>
      <c r="L756" s="52" t="str">
        <f>IF(AND(G756&lt;&gt;"",G756='Tổng hợp'!$C$4),MAX(L$1:L755)+1,"")</f>
        <v/>
      </c>
    </row>
    <row r="757" ht="15.75" customHeight="1">
      <c r="A757" s="52" t="str">
        <f>IF('Media Dựng'!C161="","","Media Dựng")</f>
        <v/>
      </c>
      <c r="B757" s="52" t="str">
        <f>IF('Media Dựng'!B161="","",'Media Dựng'!B161)</f>
        <v/>
      </c>
      <c r="C757" s="52" t="str">
        <f>IF('Media Dựng'!C161="","",'Media Dựng'!C161)</f>
        <v/>
      </c>
      <c r="D757" s="52" t="str">
        <f>IF('Media Dựng'!D161="","",'Media Dựng'!D161)</f>
        <v/>
      </c>
      <c r="E757" s="52" t="str">
        <f>IF('Media Dựng'!E161="","",'Media Dựng'!E161)</f>
        <v/>
      </c>
      <c r="F757" s="52" t="str">
        <f>IF('Media Dựng'!F161="","",'Media Dựng'!F161)</f>
        <v/>
      </c>
      <c r="G757" s="52" t="str">
        <f>IF('Media Dựng'!G161="","",'Media Dựng'!G161)</f>
        <v/>
      </c>
      <c r="H757" s="52" t="str">
        <f>IF('Media Dựng'!J161="","",'Media Dựng'!J161)</f>
        <v/>
      </c>
      <c r="I757" s="52" t="str">
        <f>IF('Media Dựng'!M161="","",'Media Dựng'!M161)</f>
        <v/>
      </c>
      <c r="J757" s="52" t="str">
        <f>IF('Media Dựng'!R161="","",'Media Dựng'!R161)</f>
        <v/>
      </c>
      <c r="K757" s="52" t="str">
        <f t="array" ref="K757">IF(COUNTA('Media Dựng'!T161:AE161)=0,"",INDEX('Media Dựng'!T161:AE161,1,SUMPRODUCT(MAX(('Media Dựng'!T161:AE161&lt;&gt;"")*(COLUMN('Media Dựng'!T161:AE161)-COLUMN('Media Dựng'!T161)+1)))))</f>
        <v/>
      </c>
      <c r="L757" s="52" t="str">
        <f>IF(AND(G757&lt;&gt;"",G757='Tổng hợp'!$C$4),MAX(L$1:L756)+1,"")</f>
        <v/>
      </c>
    </row>
    <row r="758" ht="15.75" customHeight="1">
      <c r="A758" s="52" t="str">
        <f>IF('Media Dựng'!C162="","","Media Dựng")</f>
        <v/>
      </c>
      <c r="B758" s="52" t="str">
        <f>IF('Media Dựng'!B162="","",'Media Dựng'!B162)</f>
        <v/>
      </c>
      <c r="C758" s="52" t="str">
        <f>IF('Media Dựng'!C162="","",'Media Dựng'!C162)</f>
        <v/>
      </c>
      <c r="D758" s="52" t="str">
        <f>IF('Media Dựng'!D162="","",'Media Dựng'!D162)</f>
        <v/>
      </c>
      <c r="E758" s="52" t="str">
        <f>IF('Media Dựng'!E162="","",'Media Dựng'!E162)</f>
        <v/>
      </c>
      <c r="F758" s="52" t="str">
        <f>IF('Media Dựng'!F162="","",'Media Dựng'!F162)</f>
        <v/>
      </c>
      <c r="G758" s="52" t="str">
        <f>IF('Media Dựng'!G162="","",'Media Dựng'!G162)</f>
        <v/>
      </c>
      <c r="H758" s="52" t="str">
        <f>IF('Media Dựng'!J162="","",'Media Dựng'!J162)</f>
        <v/>
      </c>
      <c r="I758" s="52" t="str">
        <f>IF('Media Dựng'!M162="","",'Media Dựng'!M162)</f>
        <v/>
      </c>
      <c r="J758" s="52" t="str">
        <f>IF('Media Dựng'!R162="","",'Media Dựng'!R162)</f>
        <v/>
      </c>
      <c r="K758" s="52" t="str">
        <f t="array" ref="K758">IF(COUNTA('Media Dựng'!T162:AE162)=0,"",INDEX('Media Dựng'!T162:AE162,1,SUMPRODUCT(MAX(('Media Dựng'!T162:AE162&lt;&gt;"")*(COLUMN('Media Dựng'!T162:AE162)-COLUMN('Media Dựng'!T162)+1)))))</f>
        <v/>
      </c>
      <c r="L758" s="52" t="str">
        <f>IF(AND(G758&lt;&gt;"",G758='Tổng hợp'!$C$4),MAX(L$1:L757)+1,"")</f>
        <v/>
      </c>
    </row>
    <row r="759" ht="15.75" customHeight="1">
      <c r="A759" s="52" t="str">
        <f>IF('Media Dựng'!C163="","","Media Dựng")</f>
        <v/>
      </c>
      <c r="B759" s="52" t="str">
        <f>IF('Media Dựng'!B163="","",'Media Dựng'!B163)</f>
        <v/>
      </c>
      <c r="C759" s="52" t="str">
        <f>IF('Media Dựng'!C163="","",'Media Dựng'!C163)</f>
        <v/>
      </c>
      <c r="D759" s="52" t="str">
        <f>IF('Media Dựng'!D163="","",'Media Dựng'!D163)</f>
        <v/>
      </c>
      <c r="E759" s="52" t="str">
        <f>IF('Media Dựng'!E163="","",'Media Dựng'!E163)</f>
        <v/>
      </c>
      <c r="F759" s="52" t="str">
        <f>IF('Media Dựng'!F163="","",'Media Dựng'!F163)</f>
        <v/>
      </c>
      <c r="G759" s="52" t="str">
        <f>IF('Media Dựng'!G163="","",'Media Dựng'!G163)</f>
        <v/>
      </c>
      <c r="H759" s="52" t="str">
        <f>IF('Media Dựng'!J163="","",'Media Dựng'!J163)</f>
        <v/>
      </c>
      <c r="I759" s="52" t="str">
        <f>IF('Media Dựng'!M163="","",'Media Dựng'!M163)</f>
        <v/>
      </c>
      <c r="J759" s="52" t="str">
        <f>IF('Media Dựng'!R163="","",'Media Dựng'!R163)</f>
        <v/>
      </c>
      <c r="K759" s="52" t="str">
        <f t="array" ref="K759">IF(COUNTA('Media Dựng'!T163:AE163)=0,"",INDEX('Media Dựng'!T163:AE163,1,SUMPRODUCT(MAX(('Media Dựng'!T163:AE163&lt;&gt;"")*(COLUMN('Media Dựng'!T163:AE163)-COLUMN('Media Dựng'!T163)+1)))))</f>
        <v/>
      </c>
      <c r="L759" s="52" t="str">
        <f>IF(AND(G759&lt;&gt;"",G759='Tổng hợp'!$C$4),MAX(L$1:L758)+1,"")</f>
        <v/>
      </c>
    </row>
    <row r="760" ht="15.75" customHeight="1">
      <c r="A760" s="52" t="str">
        <f>IF('Media Dựng'!C164="","","Media Dựng")</f>
        <v/>
      </c>
      <c r="B760" s="52" t="str">
        <f>IF('Media Dựng'!B164="","",'Media Dựng'!B164)</f>
        <v/>
      </c>
      <c r="C760" s="52" t="str">
        <f>IF('Media Dựng'!C164="","",'Media Dựng'!C164)</f>
        <v/>
      </c>
      <c r="D760" s="52" t="str">
        <f>IF('Media Dựng'!D164="","",'Media Dựng'!D164)</f>
        <v/>
      </c>
      <c r="E760" s="52" t="str">
        <f>IF('Media Dựng'!E164="","",'Media Dựng'!E164)</f>
        <v/>
      </c>
      <c r="F760" s="52" t="str">
        <f>IF('Media Dựng'!F164="","",'Media Dựng'!F164)</f>
        <v/>
      </c>
      <c r="G760" s="52" t="str">
        <f>IF('Media Dựng'!G164="","",'Media Dựng'!G164)</f>
        <v/>
      </c>
      <c r="H760" s="52" t="str">
        <f>IF('Media Dựng'!J164="","",'Media Dựng'!J164)</f>
        <v/>
      </c>
      <c r="I760" s="52" t="str">
        <f>IF('Media Dựng'!M164="","",'Media Dựng'!M164)</f>
        <v/>
      </c>
      <c r="J760" s="52" t="str">
        <f>IF('Media Dựng'!R164="","",'Media Dựng'!R164)</f>
        <v/>
      </c>
      <c r="K760" s="52" t="str">
        <f t="array" ref="K760">IF(COUNTA('Media Dựng'!T164:AE164)=0,"",INDEX('Media Dựng'!T164:AE164,1,SUMPRODUCT(MAX(('Media Dựng'!T164:AE164&lt;&gt;"")*(COLUMN('Media Dựng'!T164:AE164)-COLUMN('Media Dựng'!T164)+1)))))</f>
        <v/>
      </c>
      <c r="L760" s="52" t="str">
        <f>IF(AND(G760&lt;&gt;"",G760='Tổng hợp'!$C$4),MAX(L$1:L759)+1,"")</f>
        <v/>
      </c>
    </row>
    <row r="761" ht="15.75" customHeight="1">
      <c r="A761" s="52" t="str">
        <f>IF('Media Dựng'!C165="","","Media Dựng")</f>
        <v/>
      </c>
      <c r="B761" s="52" t="str">
        <f>IF('Media Dựng'!B165="","",'Media Dựng'!B165)</f>
        <v/>
      </c>
      <c r="C761" s="52" t="str">
        <f>IF('Media Dựng'!C165="","",'Media Dựng'!C165)</f>
        <v/>
      </c>
      <c r="D761" s="52" t="str">
        <f>IF('Media Dựng'!D165="","",'Media Dựng'!D165)</f>
        <v/>
      </c>
      <c r="E761" s="52" t="str">
        <f>IF('Media Dựng'!E165="","",'Media Dựng'!E165)</f>
        <v/>
      </c>
      <c r="F761" s="52" t="str">
        <f>IF('Media Dựng'!F165="","",'Media Dựng'!F165)</f>
        <v/>
      </c>
      <c r="G761" s="52" t="str">
        <f>IF('Media Dựng'!G165="","",'Media Dựng'!G165)</f>
        <v/>
      </c>
      <c r="H761" s="52" t="str">
        <f>IF('Media Dựng'!J165="","",'Media Dựng'!J165)</f>
        <v/>
      </c>
      <c r="I761" s="52" t="str">
        <f>IF('Media Dựng'!M165="","",'Media Dựng'!M165)</f>
        <v/>
      </c>
      <c r="J761" s="52" t="str">
        <f>IF('Media Dựng'!R165="","",'Media Dựng'!R165)</f>
        <v/>
      </c>
      <c r="K761" s="52" t="str">
        <f t="array" ref="K761">IF(COUNTA('Media Dựng'!T165:AE165)=0,"",INDEX('Media Dựng'!T165:AE165,1,SUMPRODUCT(MAX(('Media Dựng'!T165:AE165&lt;&gt;"")*(COLUMN('Media Dựng'!T165:AE165)-COLUMN('Media Dựng'!T165)+1)))))</f>
        <v/>
      </c>
      <c r="L761" s="52" t="str">
        <f>IF(AND(G761&lt;&gt;"",G761='Tổng hợp'!$C$4),MAX(L$1:L760)+1,"")</f>
        <v/>
      </c>
    </row>
    <row r="762" ht="15.75" customHeight="1">
      <c r="A762" s="52" t="str">
        <f>IF('Media Dựng'!C166="","","Media Dựng")</f>
        <v/>
      </c>
      <c r="B762" s="52" t="str">
        <f>IF('Media Dựng'!B166="","",'Media Dựng'!B166)</f>
        <v/>
      </c>
      <c r="C762" s="52" t="str">
        <f>IF('Media Dựng'!C166="","",'Media Dựng'!C166)</f>
        <v/>
      </c>
      <c r="D762" s="52" t="str">
        <f>IF('Media Dựng'!D166="","",'Media Dựng'!D166)</f>
        <v/>
      </c>
      <c r="E762" s="52" t="str">
        <f>IF('Media Dựng'!E166="","",'Media Dựng'!E166)</f>
        <v/>
      </c>
      <c r="F762" s="52" t="str">
        <f>IF('Media Dựng'!F166="","",'Media Dựng'!F166)</f>
        <v/>
      </c>
      <c r="G762" s="52" t="str">
        <f>IF('Media Dựng'!G166="","",'Media Dựng'!G166)</f>
        <v/>
      </c>
      <c r="H762" s="52" t="str">
        <f>IF('Media Dựng'!J166="","",'Media Dựng'!J166)</f>
        <v/>
      </c>
      <c r="I762" s="52" t="str">
        <f>IF('Media Dựng'!M166="","",'Media Dựng'!M166)</f>
        <v/>
      </c>
      <c r="J762" s="52" t="str">
        <f>IF('Media Dựng'!R166="","",'Media Dựng'!R166)</f>
        <v/>
      </c>
      <c r="K762" s="52" t="str">
        <f t="array" ref="K762">IF(COUNTA('Media Dựng'!T166:AE166)=0,"",INDEX('Media Dựng'!T166:AE166,1,SUMPRODUCT(MAX(('Media Dựng'!T166:AE166&lt;&gt;"")*(COLUMN('Media Dựng'!T166:AE166)-COLUMN('Media Dựng'!T166)+1)))))</f>
        <v/>
      </c>
      <c r="L762" s="52" t="str">
        <f>IF(AND(G762&lt;&gt;"",G762='Tổng hợp'!$C$4),MAX(L$1:L761)+1,"")</f>
        <v/>
      </c>
    </row>
    <row r="763" ht="15.75" customHeight="1">
      <c r="A763" s="52" t="str">
        <f>IF('Media Dựng'!C167="","","Media Dựng")</f>
        <v/>
      </c>
      <c r="B763" s="52" t="str">
        <f>IF('Media Dựng'!B167="","",'Media Dựng'!B167)</f>
        <v/>
      </c>
      <c r="C763" s="52" t="str">
        <f>IF('Media Dựng'!C167="","",'Media Dựng'!C167)</f>
        <v/>
      </c>
      <c r="D763" s="52" t="str">
        <f>IF('Media Dựng'!D167="","",'Media Dựng'!D167)</f>
        <v/>
      </c>
      <c r="E763" s="52" t="str">
        <f>IF('Media Dựng'!E167="","",'Media Dựng'!E167)</f>
        <v/>
      </c>
      <c r="F763" s="52" t="str">
        <f>IF('Media Dựng'!F167="","",'Media Dựng'!F167)</f>
        <v/>
      </c>
      <c r="G763" s="52" t="str">
        <f>IF('Media Dựng'!G167="","",'Media Dựng'!G167)</f>
        <v/>
      </c>
      <c r="H763" s="52" t="str">
        <f>IF('Media Dựng'!J167="","",'Media Dựng'!J167)</f>
        <v/>
      </c>
      <c r="I763" s="52" t="str">
        <f>IF('Media Dựng'!M167="","",'Media Dựng'!M167)</f>
        <v/>
      </c>
      <c r="J763" s="52" t="str">
        <f>IF('Media Dựng'!R167="","",'Media Dựng'!R167)</f>
        <v/>
      </c>
      <c r="K763" s="52" t="str">
        <f t="array" ref="K763">IF(COUNTA('Media Dựng'!T167:AE167)=0,"",INDEX('Media Dựng'!T167:AE167,1,SUMPRODUCT(MAX(('Media Dựng'!T167:AE167&lt;&gt;"")*(COLUMN('Media Dựng'!T167:AE167)-COLUMN('Media Dựng'!T167)+1)))))</f>
        <v/>
      </c>
      <c r="L763" s="52" t="str">
        <f>IF(AND(G763&lt;&gt;"",G763='Tổng hợp'!$C$4),MAX(L$1:L762)+1,"")</f>
        <v/>
      </c>
    </row>
    <row r="764" ht="15.75" customHeight="1">
      <c r="A764" s="52" t="str">
        <f>IF('Media Dựng'!C168="","","Media Dựng")</f>
        <v/>
      </c>
      <c r="B764" s="52" t="str">
        <f>IF('Media Dựng'!B168="","",'Media Dựng'!B168)</f>
        <v/>
      </c>
      <c r="C764" s="52" t="str">
        <f>IF('Media Dựng'!C168="","",'Media Dựng'!C168)</f>
        <v/>
      </c>
      <c r="D764" s="52" t="str">
        <f>IF('Media Dựng'!D168="","",'Media Dựng'!D168)</f>
        <v/>
      </c>
      <c r="E764" s="52" t="str">
        <f>IF('Media Dựng'!E168="","",'Media Dựng'!E168)</f>
        <v/>
      </c>
      <c r="F764" s="52" t="str">
        <f>IF('Media Dựng'!F168="","",'Media Dựng'!F168)</f>
        <v/>
      </c>
      <c r="G764" s="52" t="str">
        <f>IF('Media Dựng'!G168="","",'Media Dựng'!G168)</f>
        <v/>
      </c>
      <c r="H764" s="52" t="str">
        <f>IF('Media Dựng'!J168="","",'Media Dựng'!J168)</f>
        <v/>
      </c>
      <c r="I764" s="52" t="str">
        <f>IF('Media Dựng'!M168="","",'Media Dựng'!M168)</f>
        <v/>
      </c>
      <c r="J764" s="52" t="str">
        <f>IF('Media Dựng'!R168="","",'Media Dựng'!R168)</f>
        <v/>
      </c>
      <c r="K764" s="52" t="str">
        <f t="array" ref="K764">IF(COUNTA('Media Dựng'!T168:AE168)=0,"",INDEX('Media Dựng'!T168:AE168,1,SUMPRODUCT(MAX(('Media Dựng'!T168:AE168&lt;&gt;"")*(COLUMN('Media Dựng'!T168:AE168)-COLUMN('Media Dựng'!T168)+1)))))</f>
        <v/>
      </c>
      <c r="L764" s="52" t="str">
        <f>IF(AND(G764&lt;&gt;"",G764='Tổng hợp'!$C$4),MAX(L$1:L763)+1,"")</f>
        <v/>
      </c>
    </row>
    <row r="765" ht="15.75" customHeight="1">
      <c r="A765" s="52" t="str">
        <f>IF('Media Dựng'!C169="","","Media Dựng")</f>
        <v/>
      </c>
      <c r="B765" s="52" t="str">
        <f>IF('Media Dựng'!B169="","",'Media Dựng'!B169)</f>
        <v/>
      </c>
      <c r="C765" s="52" t="str">
        <f>IF('Media Dựng'!C169="","",'Media Dựng'!C169)</f>
        <v/>
      </c>
      <c r="D765" s="52" t="str">
        <f>IF('Media Dựng'!D169="","",'Media Dựng'!D169)</f>
        <v/>
      </c>
      <c r="E765" s="52" t="str">
        <f>IF('Media Dựng'!E169="","",'Media Dựng'!E169)</f>
        <v/>
      </c>
      <c r="F765" s="52" t="str">
        <f>IF('Media Dựng'!F169="","",'Media Dựng'!F169)</f>
        <v/>
      </c>
      <c r="G765" s="52" t="str">
        <f>IF('Media Dựng'!G169="","",'Media Dựng'!G169)</f>
        <v/>
      </c>
      <c r="H765" s="52" t="str">
        <f>IF('Media Dựng'!J169="","",'Media Dựng'!J169)</f>
        <v/>
      </c>
      <c r="I765" s="52" t="str">
        <f>IF('Media Dựng'!M169="","",'Media Dựng'!M169)</f>
        <v/>
      </c>
      <c r="J765" s="52" t="str">
        <f>IF('Media Dựng'!R169="","",'Media Dựng'!R169)</f>
        <v/>
      </c>
      <c r="K765" s="52" t="str">
        <f t="array" ref="K765">IF(COUNTA('Media Dựng'!T169:AE169)=0,"",INDEX('Media Dựng'!T169:AE169,1,SUMPRODUCT(MAX(('Media Dựng'!T169:AE169&lt;&gt;"")*(COLUMN('Media Dựng'!T169:AE169)-COLUMN('Media Dựng'!T169)+1)))))</f>
        <v/>
      </c>
      <c r="L765" s="52" t="str">
        <f>IF(AND(G765&lt;&gt;"",G765='Tổng hợp'!$C$4),MAX(L$1:L764)+1,"")</f>
        <v/>
      </c>
    </row>
    <row r="766" ht="15.75" customHeight="1">
      <c r="A766" s="52" t="str">
        <f>IF('Media Dựng'!C170="","","Media Dựng")</f>
        <v/>
      </c>
      <c r="B766" s="52" t="str">
        <f>IF('Media Dựng'!B170="","",'Media Dựng'!B170)</f>
        <v/>
      </c>
      <c r="C766" s="52" t="str">
        <f>IF('Media Dựng'!C170="","",'Media Dựng'!C170)</f>
        <v/>
      </c>
      <c r="D766" s="52" t="str">
        <f>IF('Media Dựng'!D170="","",'Media Dựng'!D170)</f>
        <v/>
      </c>
      <c r="E766" s="52" t="str">
        <f>IF('Media Dựng'!E170="","",'Media Dựng'!E170)</f>
        <v/>
      </c>
      <c r="F766" s="52" t="str">
        <f>IF('Media Dựng'!F170="","",'Media Dựng'!F170)</f>
        <v/>
      </c>
      <c r="G766" s="52" t="str">
        <f>IF('Media Dựng'!G170="","",'Media Dựng'!G170)</f>
        <v/>
      </c>
      <c r="H766" s="52" t="str">
        <f>IF('Media Dựng'!J170="","",'Media Dựng'!J170)</f>
        <v/>
      </c>
      <c r="I766" s="52" t="str">
        <f>IF('Media Dựng'!M170="","",'Media Dựng'!M170)</f>
        <v/>
      </c>
      <c r="J766" s="52" t="str">
        <f>IF('Media Dựng'!R170="","",'Media Dựng'!R170)</f>
        <v/>
      </c>
      <c r="K766" s="52" t="str">
        <f t="array" ref="K766">IF(COUNTA('Media Dựng'!T170:AE170)=0,"",INDEX('Media Dựng'!T170:AE170,1,SUMPRODUCT(MAX(('Media Dựng'!T170:AE170&lt;&gt;"")*(COLUMN('Media Dựng'!T170:AE170)-COLUMN('Media Dựng'!T170)+1)))))</f>
        <v/>
      </c>
      <c r="L766" s="52" t="str">
        <f>IF(AND(G766&lt;&gt;"",G766='Tổng hợp'!$C$4),MAX(L$1:L765)+1,"")</f>
        <v/>
      </c>
    </row>
    <row r="767" ht="15.75" customHeight="1">
      <c r="A767" s="52" t="str">
        <f>IF('Media Dựng'!C171="","","Media Dựng")</f>
        <v/>
      </c>
      <c r="B767" s="52" t="str">
        <f>IF('Media Dựng'!B171="","",'Media Dựng'!B171)</f>
        <v/>
      </c>
      <c r="C767" s="52" t="str">
        <f>IF('Media Dựng'!C171="","",'Media Dựng'!C171)</f>
        <v/>
      </c>
      <c r="D767" s="52" t="str">
        <f>IF('Media Dựng'!D171="","",'Media Dựng'!D171)</f>
        <v/>
      </c>
      <c r="E767" s="52" t="str">
        <f>IF('Media Dựng'!E171="","",'Media Dựng'!E171)</f>
        <v/>
      </c>
      <c r="F767" s="52" t="str">
        <f>IF('Media Dựng'!F171="","",'Media Dựng'!F171)</f>
        <v/>
      </c>
      <c r="G767" s="52" t="str">
        <f>IF('Media Dựng'!G171="","",'Media Dựng'!G171)</f>
        <v/>
      </c>
      <c r="H767" s="52" t="str">
        <f>IF('Media Dựng'!J171="","",'Media Dựng'!J171)</f>
        <v/>
      </c>
      <c r="I767" s="52" t="str">
        <f>IF('Media Dựng'!M171="","",'Media Dựng'!M171)</f>
        <v/>
      </c>
      <c r="J767" s="52" t="str">
        <f>IF('Media Dựng'!R171="","",'Media Dựng'!R171)</f>
        <v/>
      </c>
      <c r="K767" s="52" t="str">
        <f t="array" ref="K767">IF(COUNTA('Media Dựng'!T171:AE171)=0,"",INDEX('Media Dựng'!T171:AE171,1,SUMPRODUCT(MAX(('Media Dựng'!T171:AE171&lt;&gt;"")*(COLUMN('Media Dựng'!T171:AE171)-COLUMN('Media Dựng'!T171)+1)))))</f>
        <v/>
      </c>
      <c r="L767" s="52" t="str">
        <f>IF(AND(G767&lt;&gt;"",G767='Tổng hợp'!$C$4),MAX(L$1:L766)+1,"")</f>
        <v/>
      </c>
    </row>
    <row r="768" ht="15.75" customHeight="1">
      <c r="A768" s="52" t="str">
        <f>IF('Media Dựng'!C172="","","Media Dựng")</f>
        <v/>
      </c>
      <c r="B768" s="52" t="str">
        <f>IF('Media Dựng'!B172="","",'Media Dựng'!B172)</f>
        <v/>
      </c>
      <c r="C768" s="52" t="str">
        <f>IF('Media Dựng'!C172="","",'Media Dựng'!C172)</f>
        <v/>
      </c>
      <c r="D768" s="52" t="str">
        <f>IF('Media Dựng'!D172="","",'Media Dựng'!D172)</f>
        <v/>
      </c>
      <c r="E768" s="52" t="str">
        <f>IF('Media Dựng'!E172="","",'Media Dựng'!E172)</f>
        <v/>
      </c>
      <c r="F768" s="52" t="str">
        <f>IF('Media Dựng'!F172="","",'Media Dựng'!F172)</f>
        <v/>
      </c>
      <c r="G768" s="52" t="str">
        <f>IF('Media Dựng'!G172="","",'Media Dựng'!G172)</f>
        <v/>
      </c>
      <c r="H768" s="52" t="str">
        <f>IF('Media Dựng'!J172="","",'Media Dựng'!J172)</f>
        <v/>
      </c>
      <c r="I768" s="52" t="str">
        <f>IF('Media Dựng'!M172="","",'Media Dựng'!M172)</f>
        <v/>
      </c>
      <c r="J768" s="52" t="str">
        <f>IF('Media Dựng'!R172="","",'Media Dựng'!R172)</f>
        <v/>
      </c>
      <c r="K768" s="52" t="str">
        <f t="array" ref="K768">IF(COUNTA('Media Dựng'!T172:AE172)=0,"",INDEX('Media Dựng'!T172:AE172,1,SUMPRODUCT(MAX(('Media Dựng'!T172:AE172&lt;&gt;"")*(COLUMN('Media Dựng'!T172:AE172)-COLUMN('Media Dựng'!T172)+1)))))</f>
        <v/>
      </c>
      <c r="L768" s="52" t="str">
        <f>IF(AND(G768&lt;&gt;"",G768='Tổng hợp'!$C$4),MAX(L$1:L767)+1,"")</f>
        <v/>
      </c>
    </row>
    <row r="769" ht="15.75" customHeight="1">
      <c r="A769" s="52" t="str">
        <f>IF('Media Dựng'!C173="","","Media Dựng")</f>
        <v/>
      </c>
      <c r="B769" s="52" t="str">
        <f>IF('Media Dựng'!B173="","",'Media Dựng'!B173)</f>
        <v/>
      </c>
      <c r="C769" s="52" t="str">
        <f>IF('Media Dựng'!C173="","",'Media Dựng'!C173)</f>
        <v/>
      </c>
      <c r="D769" s="52" t="str">
        <f>IF('Media Dựng'!D173="","",'Media Dựng'!D173)</f>
        <v/>
      </c>
      <c r="E769" s="52" t="str">
        <f>IF('Media Dựng'!E173="","",'Media Dựng'!E173)</f>
        <v/>
      </c>
      <c r="F769" s="52" t="str">
        <f>IF('Media Dựng'!F173="","",'Media Dựng'!F173)</f>
        <v/>
      </c>
      <c r="G769" s="52" t="str">
        <f>IF('Media Dựng'!G173="","",'Media Dựng'!G173)</f>
        <v/>
      </c>
      <c r="H769" s="52" t="str">
        <f>IF('Media Dựng'!J173="","",'Media Dựng'!J173)</f>
        <v/>
      </c>
      <c r="I769" s="52" t="str">
        <f>IF('Media Dựng'!M173="","",'Media Dựng'!M173)</f>
        <v/>
      </c>
      <c r="J769" s="52" t="str">
        <f>IF('Media Dựng'!R173="","",'Media Dựng'!R173)</f>
        <v/>
      </c>
      <c r="K769" s="52" t="str">
        <f t="array" ref="K769">IF(COUNTA('Media Dựng'!T173:AE173)=0,"",INDEX('Media Dựng'!T173:AE173,1,SUMPRODUCT(MAX(('Media Dựng'!T173:AE173&lt;&gt;"")*(COLUMN('Media Dựng'!T173:AE173)-COLUMN('Media Dựng'!T173)+1)))))</f>
        <v/>
      </c>
      <c r="L769" s="52" t="str">
        <f>IF(AND(G769&lt;&gt;"",G769='Tổng hợp'!$C$4),MAX(L$1:L768)+1,"")</f>
        <v/>
      </c>
    </row>
    <row r="770" ht="15.75" customHeight="1">
      <c r="A770" s="52" t="str">
        <f>IF('Media Dựng'!C174="","","Media Dựng")</f>
        <v/>
      </c>
      <c r="B770" s="52" t="str">
        <f>IF('Media Dựng'!B174="","",'Media Dựng'!B174)</f>
        <v/>
      </c>
      <c r="C770" s="52" t="str">
        <f>IF('Media Dựng'!C174="","",'Media Dựng'!C174)</f>
        <v/>
      </c>
      <c r="D770" s="52" t="str">
        <f>IF('Media Dựng'!D174="","",'Media Dựng'!D174)</f>
        <v/>
      </c>
      <c r="E770" s="52" t="str">
        <f>IF('Media Dựng'!E174="","",'Media Dựng'!E174)</f>
        <v/>
      </c>
      <c r="F770" s="52" t="str">
        <f>IF('Media Dựng'!F174="","",'Media Dựng'!F174)</f>
        <v/>
      </c>
      <c r="G770" s="52" t="str">
        <f>IF('Media Dựng'!G174="","",'Media Dựng'!G174)</f>
        <v/>
      </c>
      <c r="H770" s="52" t="str">
        <f>IF('Media Dựng'!J174="","",'Media Dựng'!J174)</f>
        <v/>
      </c>
      <c r="I770" s="52" t="str">
        <f>IF('Media Dựng'!M174="","",'Media Dựng'!M174)</f>
        <v/>
      </c>
      <c r="J770" s="52" t="str">
        <f>IF('Media Dựng'!R174="","",'Media Dựng'!R174)</f>
        <v/>
      </c>
      <c r="K770" s="52" t="str">
        <f t="array" ref="K770">IF(COUNTA('Media Dựng'!T174:AE174)=0,"",INDEX('Media Dựng'!T174:AE174,1,SUMPRODUCT(MAX(('Media Dựng'!T174:AE174&lt;&gt;"")*(COLUMN('Media Dựng'!T174:AE174)-COLUMN('Media Dựng'!T174)+1)))))</f>
        <v/>
      </c>
      <c r="L770" s="52" t="str">
        <f>IF(AND(G770&lt;&gt;"",G770='Tổng hợp'!$C$4),MAX(L$1:L769)+1,"")</f>
        <v/>
      </c>
    </row>
    <row r="771" ht="15.75" customHeight="1">
      <c r="A771" s="52" t="str">
        <f>IF('Media Dựng'!C175="","","Media Dựng")</f>
        <v/>
      </c>
      <c r="B771" s="52" t="str">
        <f>IF('Media Dựng'!B175="","",'Media Dựng'!B175)</f>
        <v/>
      </c>
      <c r="C771" s="52" t="str">
        <f>IF('Media Dựng'!C175="","",'Media Dựng'!C175)</f>
        <v/>
      </c>
      <c r="D771" s="52" t="str">
        <f>IF('Media Dựng'!D175="","",'Media Dựng'!D175)</f>
        <v/>
      </c>
      <c r="E771" s="52" t="str">
        <f>IF('Media Dựng'!E175="","",'Media Dựng'!E175)</f>
        <v/>
      </c>
      <c r="F771" s="52" t="str">
        <f>IF('Media Dựng'!F175="","",'Media Dựng'!F175)</f>
        <v/>
      </c>
      <c r="G771" s="52" t="str">
        <f>IF('Media Dựng'!G175="","",'Media Dựng'!G175)</f>
        <v/>
      </c>
      <c r="H771" s="52" t="str">
        <f>IF('Media Dựng'!J175="","",'Media Dựng'!J175)</f>
        <v/>
      </c>
      <c r="I771" s="52" t="str">
        <f>IF('Media Dựng'!M175="","",'Media Dựng'!M175)</f>
        <v/>
      </c>
      <c r="J771" s="52" t="str">
        <f>IF('Media Dựng'!R175="","",'Media Dựng'!R175)</f>
        <v/>
      </c>
      <c r="K771" s="52" t="str">
        <f t="array" ref="K771">IF(COUNTA('Media Dựng'!T175:AE175)=0,"",INDEX('Media Dựng'!T175:AE175,1,SUMPRODUCT(MAX(('Media Dựng'!T175:AE175&lt;&gt;"")*(COLUMN('Media Dựng'!T175:AE175)-COLUMN('Media Dựng'!T175)+1)))))</f>
        <v/>
      </c>
      <c r="L771" s="52" t="str">
        <f>IF(AND(G771&lt;&gt;"",G771='Tổng hợp'!$C$4),MAX(L$1:L770)+1,"")</f>
        <v/>
      </c>
    </row>
    <row r="772" ht="15.75" customHeight="1">
      <c r="A772" s="52" t="str">
        <f>IF('Media Dựng'!C176="","","Media Dựng")</f>
        <v/>
      </c>
      <c r="B772" s="52" t="str">
        <f>IF('Media Dựng'!B176="","",'Media Dựng'!B176)</f>
        <v/>
      </c>
      <c r="C772" s="52" t="str">
        <f>IF('Media Dựng'!C176="","",'Media Dựng'!C176)</f>
        <v/>
      </c>
      <c r="D772" s="52" t="str">
        <f>IF('Media Dựng'!D176="","",'Media Dựng'!D176)</f>
        <v/>
      </c>
      <c r="E772" s="52" t="str">
        <f>IF('Media Dựng'!E176="","",'Media Dựng'!E176)</f>
        <v/>
      </c>
      <c r="F772" s="52" t="str">
        <f>IF('Media Dựng'!F176="","",'Media Dựng'!F176)</f>
        <v/>
      </c>
      <c r="G772" s="52" t="str">
        <f>IF('Media Dựng'!G176="","",'Media Dựng'!G176)</f>
        <v/>
      </c>
      <c r="H772" s="52" t="str">
        <f>IF('Media Dựng'!J176="","",'Media Dựng'!J176)</f>
        <v/>
      </c>
      <c r="I772" s="52" t="str">
        <f>IF('Media Dựng'!M176="","",'Media Dựng'!M176)</f>
        <v/>
      </c>
      <c r="J772" s="52" t="str">
        <f>IF('Media Dựng'!R176="","",'Media Dựng'!R176)</f>
        <v/>
      </c>
      <c r="K772" s="52" t="str">
        <f t="array" ref="K772">IF(COUNTA('Media Dựng'!T176:AE176)=0,"",INDEX('Media Dựng'!T176:AE176,1,SUMPRODUCT(MAX(('Media Dựng'!T176:AE176&lt;&gt;"")*(COLUMN('Media Dựng'!T176:AE176)-COLUMN('Media Dựng'!T176)+1)))))</f>
        <v/>
      </c>
      <c r="L772" s="52" t="str">
        <f>IF(AND(G772&lt;&gt;"",G772='Tổng hợp'!$C$4),MAX(L$1:L771)+1,"")</f>
        <v/>
      </c>
    </row>
    <row r="773" ht="15.75" customHeight="1">
      <c r="A773" s="52" t="str">
        <f>IF('Media Dựng'!C177="","","Media Dựng")</f>
        <v/>
      </c>
      <c r="B773" s="52" t="str">
        <f>IF('Media Dựng'!B177="","",'Media Dựng'!B177)</f>
        <v/>
      </c>
      <c r="C773" s="52" t="str">
        <f>IF('Media Dựng'!C177="","",'Media Dựng'!C177)</f>
        <v/>
      </c>
      <c r="D773" s="52" t="str">
        <f>IF('Media Dựng'!D177="","",'Media Dựng'!D177)</f>
        <v/>
      </c>
      <c r="E773" s="52" t="str">
        <f>IF('Media Dựng'!E177="","",'Media Dựng'!E177)</f>
        <v/>
      </c>
      <c r="F773" s="52" t="str">
        <f>IF('Media Dựng'!F177="","",'Media Dựng'!F177)</f>
        <v/>
      </c>
      <c r="G773" s="52" t="str">
        <f>IF('Media Dựng'!G177="","",'Media Dựng'!G177)</f>
        <v/>
      </c>
      <c r="H773" s="52" t="str">
        <f>IF('Media Dựng'!J177="","",'Media Dựng'!J177)</f>
        <v/>
      </c>
      <c r="I773" s="52" t="str">
        <f>IF('Media Dựng'!M177="","",'Media Dựng'!M177)</f>
        <v/>
      </c>
      <c r="J773" s="52" t="str">
        <f>IF('Media Dựng'!R177="","",'Media Dựng'!R177)</f>
        <v/>
      </c>
      <c r="K773" s="52" t="str">
        <f t="array" ref="K773">IF(COUNTA('Media Dựng'!T177:AE177)=0,"",INDEX('Media Dựng'!T177:AE177,1,SUMPRODUCT(MAX(('Media Dựng'!T177:AE177&lt;&gt;"")*(COLUMN('Media Dựng'!T177:AE177)-COLUMN('Media Dựng'!T177)+1)))))</f>
        <v/>
      </c>
      <c r="L773" s="52" t="str">
        <f>IF(AND(G773&lt;&gt;"",G773='Tổng hợp'!$C$4),MAX(L$1:L772)+1,"")</f>
        <v/>
      </c>
    </row>
    <row r="774" ht="15.75" customHeight="1">
      <c r="A774" s="52" t="str">
        <f>IF('Media Dựng'!C178="","","Media Dựng")</f>
        <v/>
      </c>
      <c r="B774" s="52" t="str">
        <f>IF('Media Dựng'!B178="","",'Media Dựng'!B178)</f>
        <v/>
      </c>
      <c r="C774" s="52" t="str">
        <f>IF('Media Dựng'!C178="","",'Media Dựng'!C178)</f>
        <v/>
      </c>
      <c r="D774" s="52" t="str">
        <f>IF('Media Dựng'!D178="","",'Media Dựng'!D178)</f>
        <v/>
      </c>
      <c r="E774" s="52" t="str">
        <f>IF('Media Dựng'!E178="","",'Media Dựng'!E178)</f>
        <v/>
      </c>
      <c r="F774" s="52" t="str">
        <f>IF('Media Dựng'!F178="","",'Media Dựng'!F178)</f>
        <v/>
      </c>
      <c r="G774" s="52" t="str">
        <f>IF('Media Dựng'!G178="","",'Media Dựng'!G178)</f>
        <v/>
      </c>
      <c r="H774" s="52" t="str">
        <f>IF('Media Dựng'!J178="","",'Media Dựng'!J178)</f>
        <v/>
      </c>
      <c r="I774" s="52" t="str">
        <f>IF('Media Dựng'!M178="","",'Media Dựng'!M178)</f>
        <v/>
      </c>
      <c r="J774" s="52" t="str">
        <f>IF('Media Dựng'!R178="","",'Media Dựng'!R178)</f>
        <v/>
      </c>
      <c r="K774" s="52" t="str">
        <f t="array" ref="K774">IF(COUNTA('Media Dựng'!T178:AE178)=0,"",INDEX('Media Dựng'!T178:AE178,1,SUMPRODUCT(MAX(('Media Dựng'!T178:AE178&lt;&gt;"")*(COLUMN('Media Dựng'!T178:AE178)-COLUMN('Media Dựng'!T178)+1)))))</f>
        <v/>
      </c>
      <c r="L774" s="52" t="str">
        <f>IF(AND(G774&lt;&gt;"",G774='Tổng hợp'!$C$4),MAX(L$1:L773)+1,"")</f>
        <v/>
      </c>
    </row>
    <row r="775" ht="15.75" customHeight="1">
      <c r="A775" s="52" t="str">
        <f>IF('Media Dựng'!C179="","","Media Dựng")</f>
        <v/>
      </c>
      <c r="B775" s="52" t="str">
        <f>IF('Media Dựng'!B179="","",'Media Dựng'!B179)</f>
        <v/>
      </c>
      <c r="C775" s="52" t="str">
        <f>IF('Media Dựng'!C179="","",'Media Dựng'!C179)</f>
        <v/>
      </c>
      <c r="D775" s="52" t="str">
        <f>IF('Media Dựng'!D179="","",'Media Dựng'!D179)</f>
        <v/>
      </c>
      <c r="E775" s="52" t="str">
        <f>IF('Media Dựng'!E179="","",'Media Dựng'!E179)</f>
        <v/>
      </c>
      <c r="F775" s="52" t="str">
        <f>IF('Media Dựng'!F179="","",'Media Dựng'!F179)</f>
        <v/>
      </c>
      <c r="G775" s="52" t="str">
        <f>IF('Media Dựng'!G179="","",'Media Dựng'!G179)</f>
        <v/>
      </c>
      <c r="H775" s="52" t="str">
        <f>IF('Media Dựng'!J179="","",'Media Dựng'!J179)</f>
        <v/>
      </c>
      <c r="I775" s="52" t="str">
        <f>IF('Media Dựng'!M179="","",'Media Dựng'!M179)</f>
        <v/>
      </c>
      <c r="J775" s="52" t="str">
        <f>IF('Media Dựng'!R179="","",'Media Dựng'!R179)</f>
        <v/>
      </c>
      <c r="K775" s="52" t="str">
        <f t="array" ref="K775">IF(COUNTA('Media Dựng'!T179:AE179)=0,"",INDEX('Media Dựng'!T179:AE179,1,SUMPRODUCT(MAX(('Media Dựng'!T179:AE179&lt;&gt;"")*(COLUMN('Media Dựng'!T179:AE179)-COLUMN('Media Dựng'!T179)+1)))))</f>
        <v/>
      </c>
      <c r="L775" s="52" t="str">
        <f>IF(AND(G775&lt;&gt;"",G775='Tổng hợp'!$C$4),MAX(L$1:L774)+1,"")</f>
        <v/>
      </c>
    </row>
    <row r="776" ht="15.75" customHeight="1">
      <c r="A776" s="52" t="str">
        <f>IF('Media Dựng'!C180="","","Media Dựng")</f>
        <v/>
      </c>
      <c r="B776" s="52" t="str">
        <f>IF('Media Dựng'!B180="","",'Media Dựng'!B180)</f>
        <v/>
      </c>
      <c r="C776" s="52" t="str">
        <f>IF('Media Dựng'!C180="","",'Media Dựng'!C180)</f>
        <v/>
      </c>
      <c r="D776" s="52" t="str">
        <f>IF('Media Dựng'!D180="","",'Media Dựng'!D180)</f>
        <v/>
      </c>
      <c r="E776" s="52" t="str">
        <f>IF('Media Dựng'!E180="","",'Media Dựng'!E180)</f>
        <v/>
      </c>
      <c r="F776" s="52" t="str">
        <f>IF('Media Dựng'!F180="","",'Media Dựng'!F180)</f>
        <v/>
      </c>
      <c r="G776" s="52" t="str">
        <f>IF('Media Dựng'!G180="","",'Media Dựng'!G180)</f>
        <v/>
      </c>
      <c r="H776" s="52" t="str">
        <f>IF('Media Dựng'!J180="","",'Media Dựng'!J180)</f>
        <v/>
      </c>
      <c r="I776" s="52" t="str">
        <f>IF('Media Dựng'!M180="","",'Media Dựng'!M180)</f>
        <v/>
      </c>
      <c r="J776" s="52" t="str">
        <f>IF('Media Dựng'!R180="","",'Media Dựng'!R180)</f>
        <v/>
      </c>
      <c r="K776" s="52" t="str">
        <f t="array" ref="K776">IF(COUNTA('Media Dựng'!T180:AE180)=0,"",INDEX('Media Dựng'!T180:AE180,1,SUMPRODUCT(MAX(('Media Dựng'!T180:AE180&lt;&gt;"")*(COLUMN('Media Dựng'!T180:AE180)-COLUMN('Media Dựng'!T180)+1)))))</f>
        <v/>
      </c>
      <c r="L776" s="52" t="str">
        <f>IF(AND(G776&lt;&gt;"",G776='Tổng hợp'!$C$4),MAX(L$1:L775)+1,"")</f>
        <v/>
      </c>
    </row>
    <row r="777" ht="15.75" customHeight="1">
      <c r="A777" s="52" t="str">
        <f>IF('Media Dựng'!C181="","","Media Dựng")</f>
        <v/>
      </c>
      <c r="B777" s="52" t="str">
        <f>IF('Media Dựng'!B181="","",'Media Dựng'!B181)</f>
        <v/>
      </c>
      <c r="C777" s="52" t="str">
        <f>IF('Media Dựng'!C181="","",'Media Dựng'!C181)</f>
        <v/>
      </c>
      <c r="D777" s="52" t="str">
        <f>IF('Media Dựng'!D181="","",'Media Dựng'!D181)</f>
        <v/>
      </c>
      <c r="E777" s="52" t="str">
        <f>IF('Media Dựng'!E181="","",'Media Dựng'!E181)</f>
        <v/>
      </c>
      <c r="F777" s="52" t="str">
        <f>IF('Media Dựng'!F181="","",'Media Dựng'!F181)</f>
        <v/>
      </c>
      <c r="G777" s="52" t="str">
        <f>IF('Media Dựng'!G181="","",'Media Dựng'!G181)</f>
        <v/>
      </c>
      <c r="H777" s="52" t="str">
        <f>IF('Media Dựng'!J181="","",'Media Dựng'!J181)</f>
        <v/>
      </c>
      <c r="I777" s="52" t="str">
        <f>IF('Media Dựng'!M181="","",'Media Dựng'!M181)</f>
        <v/>
      </c>
      <c r="J777" s="52" t="str">
        <f>IF('Media Dựng'!R181="","",'Media Dựng'!R181)</f>
        <v/>
      </c>
      <c r="K777" s="52" t="str">
        <f t="array" ref="K777">IF(COUNTA('Media Dựng'!T181:AE181)=0,"",INDEX('Media Dựng'!T181:AE181,1,SUMPRODUCT(MAX(('Media Dựng'!T181:AE181&lt;&gt;"")*(COLUMN('Media Dựng'!T181:AE181)-COLUMN('Media Dựng'!T181)+1)))))</f>
        <v/>
      </c>
      <c r="L777" s="52" t="str">
        <f>IF(AND(G777&lt;&gt;"",G777='Tổng hợp'!$C$4),MAX(L$1:L776)+1,"")</f>
        <v/>
      </c>
    </row>
    <row r="778" ht="15.75" customHeight="1">
      <c r="A778" s="52" t="str">
        <f>IF('Media Dựng'!C182="","","Media Dựng")</f>
        <v/>
      </c>
      <c r="B778" s="52" t="str">
        <f>IF('Media Dựng'!B182="","",'Media Dựng'!B182)</f>
        <v/>
      </c>
      <c r="C778" s="52" t="str">
        <f>IF('Media Dựng'!C182="","",'Media Dựng'!C182)</f>
        <v/>
      </c>
      <c r="D778" s="52" t="str">
        <f>IF('Media Dựng'!D182="","",'Media Dựng'!D182)</f>
        <v/>
      </c>
      <c r="E778" s="52" t="str">
        <f>IF('Media Dựng'!E182="","",'Media Dựng'!E182)</f>
        <v/>
      </c>
      <c r="F778" s="52" t="str">
        <f>IF('Media Dựng'!F182="","",'Media Dựng'!F182)</f>
        <v/>
      </c>
      <c r="G778" s="52" t="str">
        <f>IF('Media Dựng'!G182="","",'Media Dựng'!G182)</f>
        <v/>
      </c>
      <c r="H778" s="52" t="str">
        <f>IF('Media Dựng'!J182="","",'Media Dựng'!J182)</f>
        <v/>
      </c>
      <c r="I778" s="52" t="str">
        <f>IF('Media Dựng'!M182="","",'Media Dựng'!M182)</f>
        <v/>
      </c>
      <c r="J778" s="52" t="str">
        <f>IF('Media Dựng'!R182="","",'Media Dựng'!R182)</f>
        <v/>
      </c>
      <c r="K778" s="52" t="str">
        <f t="array" ref="K778">IF(COUNTA('Media Dựng'!T182:AE182)=0,"",INDEX('Media Dựng'!T182:AE182,1,SUMPRODUCT(MAX(('Media Dựng'!T182:AE182&lt;&gt;"")*(COLUMN('Media Dựng'!T182:AE182)-COLUMN('Media Dựng'!T182)+1)))))</f>
        <v/>
      </c>
      <c r="L778" s="52" t="str">
        <f>IF(AND(G778&lt;&gt;"",G778='Tổng hợp'!$C$4),MAX(L$1:L777)+1,"")</f>
        <v/>
      </c>
    </row>
    <row r="779" ht="15.75" customHeight="1">
      <c r="A779" s="52" t="str">
        <f>IF('Media Dựng'!C183="","","Media Dựng")</f>
        <v/>
      </c>
      <c r="B779" s="52" t="str">
        <f>IF('Media Dựng'!B183="","",'Media Dựng'!B183)</f>
        <v/>
      </c>
      <c r="C779" s="52" t="str">
        <f>IF('Media Dựng'!C183="","",'Media Dựng'!C183)</f>
        <v/>
      </c>
      <c r="D779" s="52" t="str">
        <f>IF('Media Dựng'!D183="","",'Media Dựng'!D183)</f>
        <v/>
      </c>
      <c r="E779" s="52" t="str">
        <f>IF('Media Dựng'!E183="","",'Media Dựng'!E183)</f>
        <v/>
      </c>
      <c r="F779" s="52" t="str">
        <f>IF('Media Dựng'!F183="","",'Media Dựng'!F183)</f>
        <v/>
      </c>
      <c r="G779" s="52" t="str">
        <f>IF('Media Dựng'!G183="","",'Media Dựng'!G183)</f>
        <v/>
      </c>
      <c r="H779" s="52" t="str">
        <f>IF('Media Dựng'!J183="","",'Media Dựng'!J183)</f>
        <v/>
      </c>
      <c r="I779" s="52" t="str">
        <f>IF('Media Dựng'!M183="","",'Media Dựng'!M183)</f>
        <v/>
      </c>
      <c r="J779" s="52" t="str">
        <f>IF('Media Dựng'!R183="","",'Media Dựng'!R183)</f>
        <v/>
      </c>
      <c r="K779" s="52" t="str">
        <f t="array" ref="K779">IF(COUNTA('Media Dựng'!T183:AE183)=0,"",INDEX('Media Dựng'!T183:AE183,1,SUMPRODUCT(MAX(('Media Dựng'!T183:AE183&lt;&gt;"")*(COLUMN('Media Dựng'!T183:AE183)-COLUMN('Media Dựng'!T183)+1)))))</f>
        <v/>
      </c>
      <c r="L779" s="52" t="str">
        <f>IF(AND(G779&lt;&gt;"",G779='Tổng hợp'!$C$4),MAX(L$1:L778)+1,"")</f>
        <v/>
      </c>
    </row>
    <row r="780" ht="15.75" customHeight="1">
      <c r="A780" s="52" t="str">
        <f>IF('Media Dựng'!C184="","","Media Dựng")</f>
        <v/>
      </c>
      <c r="B780" s="52" t="str">
        <f>IF('Media Dựng'!B184="","",'Media Dựng'!B184)</f>
        <v/>
      </c>
      <c r="C780" s="52" t="str">
        <f>IF('Media Dựng'!C184="","",'Media Dựng'!C184)</f>
        <v/>
      </c>
      <c r="D780" s="52" t="str">
        <f>IF('Media Dựng'!D184="","",'Media Dựng'!D184)</f>
        <v/>
      </c>
      <c r="E780" s="52" t="str">
        <f>IF('Media Dựng'!E184="","",'Media Dựng'!E184)</f>
        <v/>
      </c>
      <c r="F780" s="52" t="str">
        <f>IF('Media Dựng'!F184="","",'Media Dựng'!F184)</f>
        <v/>
      </c>
      <c r="G780" s="52" t="str">
        <f>IF('Media Dựng'!G184="","",'Media Dựng'!G184)</f>
        <v/>
      </c>
      <c r="H780" s="52" t="str">
        <f>IF('Media Dựng'!J184="","",'Media Dựng'!J184)</f>
        <v/>
      </c>
      <c r="I780" s="52" t="str">
        <f>IF('Media Dựng'!M184="","",'Media Dựng'!M184)</f>
        <v/>
      </c>
      <c r="J780" s="52" t="str">
        <f>IF('Media Dựng'!R184="","",'Media Dựng'!R184)</f>
        <v/>
      </c>
      <c r="K780" s="52" t="str">
        <f t="array" ref="K780">IF(COUNTA('Media Dựng'!T184:AE184)=0,"",INDEX('Media Dựng'!T184:AE184,1,SUMPRODUCT(MAX(('Media Dựng'!T184:AE184&lt;&gt;"")*(COLUMN('Media Dựng'!T184:AE184)-COLUMN('Media Dựng'!T184)+1)))))</f>
        <v/>
      </c>
      <c r="L780" s="52" t="str">
        <f>IF(AND(G780&lt;&gt;"",G780='Tổng hợp'!$C$4),MAX(L$1:L779)+1,"")</f>
        <v/>
      </c>
    </row>
    <row r="781" ht="15.75" customHeight="1">
      <c r="A781" s="52" t="str">
        <f>IF('Media Dựng'!C185="","","Media Dựng")</f>
        <v/>
      </c>
      <c r="B781" s="52" t="str">
        <f>IF('Media Dựng'!B185="","",'Media Dựng'!B185)</f>
        <v/>
      </c>
      <c r="C781" s="52" t="str">
        <f>IF('Media Dựng'!C185="","",'Media Dựng'!C185)</f>
        <v/>
      </c>
      <c r="D781" s="52" t="str">
        <f>IF('Media Dựng'!D185="","",'Media Dựng'!D185)</f>
        <v/>
      </c>
      <c r="E781" s="52" t="str">
        <f>IF('Media Dựng'!E185="","",'Media Dựng'!E185)</f>
        <v/>
      </c>
      <c r="F781" s="52" t="str">
        <f>IF('Media Dựng'!F185="","",'Media Dựng'!F185)</f>
        <v/>
      </c>
      <c r="G781" s="52" t="str">
        <f>IF('Media Dựng'!G185="","",'Media Dựng'!G185)</f>
        <v/>
      </c>
      <c r="H781" s="52" t="str">
        <f>IF('Media Dựng'!J185="","",'Media Dựng'!J185)</f>
        <v/>
      </c>
      <c r="I781" s="52" t="str">
        <f>IF('Media Dựng'!M185="","",'Media Dựng'!M185)</f>
        <v/>
      </c>
      <c r="J781" s="52" t="str">
        <f>IF('Media Dựng'!R185="","",'Media Dựng'!R185)</f>
        <v/>
      </c>
      <c r="K781" s="52" t="str">
        <f t="array" ref="K781">IF(COUNTA('Media Dựng'!T185:AE185)=0,"",INDEX('Media Dựng'!T185:AE185,1,SUMPRODUCT(MAX(('Media Dựng'!T185:AE185&lt;&gt;"")*(COLUMN('Media Dựng'!T185:AE185)-COLUMN('Media Dựng'!T185)+1)))))</f>
        <v/>
      </c>
      <c r="L781" s="52" t="str">
        <f>IF(AND(G781&lt;&gt;"",G781='Tổng hợp'!$C$4),MAX(L$1:L780)+1,"")</f>
        <v/>
      </c>
    </row>
    <row r="782" ht="15.75" customHeight="1">
      <c r="A782" s="52" t="str">
        <f>IF('Media Dựng'!C186="","","Media Dựng")</f>
        <v/>
      </c>
      <c r="B782" s="52" t="str">
        <f>IF('Media Dựng'!B186="","",'Media Dựng'!B186)</f>
        <v/>
      </c>
      <c r="C782" s="52" t="str">
        <f>IF('Media Dựng'!C186="","",'Media Dựng'!C186)</f>
        <v/>
      </c>
      <c r="D782" s="52" t="str">
        <f>IF('Media Dựng'!D186="","",'Media Dựng'!D186)</f>
        <v/>
      </c>
      <c r="E782" s="52" t="str">
        <f>IF('Media Dựng'!E186="","",'Media Dựng'!E186)</f>
        <v/>
      </c>
      <c r="F782" s="52" t="str">
        <f>IF('Media Dựng'!F186="","",'Media Dựng'!F186)</f>
        <v/>
      </c>
      <c r="G782" s="52" t="str">
        <f>IF('Media Dựng'!G186="","",'Media Dựng'!G186)</f>
        <v/>
      </c>
      <c r="H782" s="52" t="str">
        <f>IF('Media Dựng'!J186="","",'Media Dựng'!J186)</f>
        <v/>
      </c>
      <c r="I782" s="52" t="str">
        <f>IF('Media Dựng'!M186="","",'Media Dựng'!M186)</f>
        <v/>
      </c>
      <c r="J782" s="52" t="str">
        <f>IF('Media Dựng'!R186="","",'Media Dựng'!R186)</f>
        <v/>
      </c>
      <c r="K782" s="52" t="str">
        <f t="array" ref="K782">IF(COUNTA('Media Dựng'!T186:AE186)=0,"",INDEX('Media Dựng'!T186:AE186,1,SUMPRODUCT(MAX(('Media Dựng'!T186:AE186&lt;&gt;"")*(COLUMN('Media Dựng'!T186:AE186)-COLUMN('Media Dựng'!T186)+1)))))</f>
        <v/>
      </c>
      <c r="L782" s="52" t="str">
        <f>IF(AND(G782&lt;&gt;"",G782='Tổng hợp'!$C$4),MAX(L$1:L781)+1,"")</f>
        <v/>
      </c>
    </row>
    <row r="783" ht="15.75" customHeight="1">
      <c r="A783" s="52" t="str">
        <f>IF('Media Dựng'!C187="","","Media Dựng")</f>
        <v/>
      </c>
      <c r="B783" s="52" t="str">
        <f>IF('Media Dựng'!B187="","",'Media Dựng'!B187)</f>
        <v/>
      </c>
      <c r="C783" s="52" t="str">
        <f>IF('Media Dựng'!C187="","",'Media Dựng'!C187)</f>
        <v/>
      </c>
      <c r="D783" s="52" t="str">
        <f>IF('Media Dựng'!D187="","",'Media Dựng'!D187)</f>
        <v/>
      </c>
      <c r="E783" s="52" t="str">
        <f>IF('Media Dựng'!E187="","",'Media Dựng'!E187)</f>
        <v/>
      </c>
      <c r="F783" s="52" t="str">
        <f>IF('Media Dựng'!F187="","",'Media Dựng'!F187)</f>
        <v/>
      </c>
      <c r="G783" s="52" t="str">
        <f>IF('Media Dựng'!G187="","",'Media Dựng'!G187)</f>
        <v/>
      </c>
      <c r="H783" s="52" t="str">
        <f>IF('Media Dựng'!J187="","",'Media Dựng'!J187)</f>
        <v/>
      </c>
      <c r="I783" s="52" t="str">
        <f>IF('Media Dựng'!M187="","",'Media Dựng'!M187)</f>
        <v/>
      </c>
      <c r="J783" s="52" t="str">
        <f>IF('Media Dựng'!R187="","",'Media Dựng'!R187)</f>
        <v/>
      </c>
      <c r="K783" s="52" t="str">
        <f t="array" ref="K783">IF(COUNTA('Media Dựng'!T187:AE187)=0,"",INDEX('Media Dựng'!T187:AE187,1,SUMPRODUCT(MAX(('Media Dựng'!T187:AE187&lt;&gt;"")*(COLUMN('Media Dựng'!T187:AE187)-COLUMN('Media Dựng'!T187)+1)))))</f>
        <v/>
      </c>
      <c r="L783" s="52" t="str">
        <f>IF(AND(G783&lt;&gt;"",G783='Tổng hợp'!$C$4),MAX(L$1:L782)+1,"")</f>
        <v/>
      </c>
    </row>
    <row r="784" ht="15.75" customHeight="1">
      <c r="A784" s="52" t="str">
        <f>IF('Media Dựng'!C188="","","Media Dựng")</f>
        <v/>
      </c>
      <c r="B784" s="52" t="str">
        <f>IF('Media Dựng'!B188="","",'Media Dựng'!B188)</f>
        <v/>
      </c>
      <c r="C784" s="52" t="str">
        <f>IF('Media Dựng'!C188="","",'Media Dựng'!C188)</f>
        <v/>
      </c>
      <c r="D784" s="52" t="str">
        <f>IF('Media Dựng'!D188="","",'Media Dựng'!D188)</f>
        <v/>
      </c>
      <c r="E784" s="52" t="str">
        <f>IF('Media Dựng'!E188="","",'Media Dựng'!E188)</f>
        <v/>
      </c>
      <c r="F784" s="52" t="str">
        <f>IF('Media Dựng'!F188="","",'Media Dựng'!F188)</f>
        <v/>
      </c>
      <c r="G784" s="52" t="str">
        <f>IF('Media Dựng'!G188="","",'Media Dựng'!G188)</f>
        <v/>
      </c>
      <c r="H784" s="52" t="str">
        <f>IF('Media Dựng'!J188="","",'Media Dựng'!J188)</f>
        <v/>
      </c>
      <c r="I784" s="52" t="str">
        <f>IF('Media Dựng'!M188="","",'Media Dựng'!M188)</f>
        <v/>
      </c>
      <c r="J784" s="52" t="str">
        <f>IF('Media Dựng'!R188="","",'Media Dựng'!R188)</f>
        <v/>
      </c>
      <c r="K784" s="52" t="str">
        <f t="array" ref="K784">IF(COUNTA('Media Dựng'!T188:AE188)=0,"",INDEX('Media Dựng'!T188:AE188,1,SUMPRODUCT(MAX(('Media Dựng'!T188:AE188&lt;&gt;"")*(COLUMN('Media Dựng'!T188:AE188)-COLUMN('Media Dựng'!T188)+1)))))</f>
        <v/>
      </c>
      <c r="L784" s="52" t="str">
        <f>IF(AND(G784&lt;&gt;"",G784='Tổng hợp'!$C$4),MAX(L$1:L783)+1,"")</f>
        <v/>
      </c>
    </row>
    <row r="785" ht="15.75" customHeight="1">
      <c r="A785" s="52" t="str">
        <f>IF('Media Dựng'!C189="","","Media Dựng")</f>
        <v/>
      </c>
      <c r="B785" s="52" t="str">
        <f>IF('Media Dựng'!B189="","",'Media Dựng'!B189)</f>
        <v/>
      </c>
      <c r="C785" s="52" t="str">
        <f>IF('Media Dựng'!C189="","",'Media Dựng'!C189)</f>
        <v/>
      </c>
      <c r="D785" s="52" t="str">
        <f>IF('Media Dựng'!D189="","",'Media Dựng'!D189)</f>
        <v/>
      </c>
      <c r="E785" s="52" t="str">
        <f>IF('Media Dựng'!E189="","",'Media Dựng'!E189)</f>
        <v/>
      </c>
      <c r="F785" s="52" t="str">
        <f>IF('Media Dựng'!F189="","",'Media Dựng'!F189)</f>
        <v/>
      </c>
      <c r="G785" s="52" t="str">
        <f>IF('Media Dựng'!G189="","",'Media Dựng'!G189)</f>
        <v/>
      </c>
      <c r="H785" s="52" t="str">
        <f>IF('Media Dựng'!J189="","",'Media Dựng'!J189)</f>
        <v/>
      </c>
      <c r="I785" s="52" t="str">
        <f>IF('Media Dựng'!M189="","",'Media Dựng'!M189)</f>
        <v/>
      </c>
      <c r="J785" s="52" t="str">
        <f>IF('Media Dựng'!R189="","",'Media Dựng'!R189)</f>
        <v/>
      </c>
      <c r="K785" s="52" t="str">
        <f t="array" ref="K785">IF(COUNTA('Media Dựng'!T189:AE189)=0,"",INDEX('Media Dựng'!T189:AE189,1,SUMPRODUCT(MAX(('Media Dựng'!T189:AE189&lt;&gt;"")*(COLUMN('Media Dựng'!T189:AE189)-COLUMN('Media Dựng'!T189)+1)))))</f>
        <v/>
      </c>
      <c r="L785" s="52" t="str">
        <f>IF(AND(G785&lt;&gt;"",G785='Tổng hợp'!$C$4),MAX(L$1:L784)+1,"")</f>
        <v/>
      </c>
    </row>
    <row r="786" ht="15.75" customHeight="1">
      <c r="A786" s="52" t="str">
        <f>IF('Media Dựng'!C190="","","Media Dựng")</f>
        <v/>
      </c>
      <c r="B786" s="52" t="str">
        <f>IF('Media Dựng'!B190="","",'Media Dựng'!B190)</f>
        <v/>
      </c>
      <c r="C786" s="52" t="str">
        <f>IF('Media Dựng'!C190="","",'Media Dựng'!C190)</f>
        <v/>
      </c>
      <c r="D786" s="52" t="str">
        <f>IF('Media Dựng'!D190="","",'Media Dựng'!D190)</f>
        <v/>
      </c>
      <c r="E786" s="52" t="str">
        <f>IF('Media Dựng'!E190="","",'Media Dựng'!E190)</f>
        <v/>
      </c>
      <c r="F786" s="52" t="str">
        <f>IF('Media Dựng'!F190="","",'Media Dựng'!F190)</f>
        <v/>
      </c>
      <c r="G786" s="52" t="str">
        <f>IF('Media Dựng'!G190="","",'Media Dựng'!G190)</f>
        <v/>
      </c>
      <c r="H786" s="52" t="str">
        <f>IF('Media Dựng'!J190="","",'Media Dựng'!J190)</f>
        <v/>
      </c>
      <c r="I786" s="52" t="str">
        <f>IF('Media Dựng'!M190="","",'Media Dựng'!M190)</f>
        <v/>
      </c>
      <c r="J786" s="52" t="str">
        <f>IF('Media Dựng'!R190="","",'Media Dựng'!R190)</f>
        <v/>
      </c>
      <c r="K786" s="52" t="str">
        <f t="array" ref="K786">IF(COUNTA('Media Dựng'!T190:AE190)=0,"",INDEX('Media Dựng'!T190:AE190,1,SUMPRODUCT(MAX(('Media Dựng'!T190:AE190&lt;&gt;"")*(COLUMN('Media Dựng'!T190:AE190)-COLUMN('Media Dựng'!T190)+1)))))</f>
        <v/>
      </c>
      <c r="L786" s="52" t="str">
        <f>IF(AND(G786&lt;&gt;"",G786='Tổng hợp'!$C$4),MAX(L$1:L785)+1,"")</f>
        <v/>
      </c>
    </row>
    <row r="787" ht="15.75" customHeight="1">
      <c r="A787" s="52" t="str">
        <f>IF('Media Dựng'!C191="","","Media Dựng")</f>
        <v/>
      </c>
      <c r="B787" s="52" t="str">
        <f>IF('Media Dựng'!B191="","",'Media Dựng'!B191)</f>
        <v/>
      </c>
      <c r="C787" s="52" t="str">
        <f>IF('Media Dựng'!C191="","",'Media Dựng'!C191)</f>
        <v/>
      </c>
      <c r="D787" s="52" t="str">
        <f>IF('Media Dựng'!D191="","",'Media Dựng'!D191)</f>
        <v/>
      </c>
      <c r="E787" s="52" t="str">
        <f>IF('Media Dựng'!E191="","",'Media Dựng'!E191)</f>
        <v/>
      </c>
      <c r="F787" s="52" t="str">
        <f>IF('Media Dựng'!F191="","",'Media Dựng'!F191)</f>
        <v/>
      </c>
      <c r="G787" s="52" t="str">
        <f>IF('Media Dựng'!G191="","",'Media Dựng'!G191)</f>
        <v/>
      </c>
      <c r="H787" s="52" t="str">
        <f>IF('Media Dựng'!J191="","",'Media Dựng'!J191)</f>
        <v/>
      </c>
      <c r="I787" s="52" t="str">
        <f>IF('Media Dựng'!M191="","",'Media Dựng'!M191)</f>
        <v/>
      </c>
      <c r="J787" s="52" t="str">
        <f>IF('Media Dựng'!R191="","",'Media Dựng'!R191)</f>
        <v/>
      </c>
      <c r="K787" s="52" t="str">
        <f t="array" ref="K787">IF(COUNTA('Media Dựng'!T191:AE191)=0,"",INDEX('Media Dựng'!T191:AE191,1,SUMPRODUCT(MAX(('Media Dựng'!T191:AE191&lt;&gt;"")*(COLUMN('Media Dựng'!T191:AE191)-COLUMN('Media Dựng'!T191)+1)))))</f>
        <v/>
      </c>
      <c r="L787" s="52" t="str">
        <f>IF(AND(G787&lt;&gt;"",G787='Tổng hợp'!$C$4),MAX(L$1:L786)+1,"")</f>
        <v/>
      </c>
    </row>
    <row r="788" ht="15.75" customHeight="1">
      <c r="A788" s="52" t="str">
        <f>IF('Media Dựng'!C192="","","Media Dựng")</f>
        <v/>
      </c>
      <c r="B788" s="52" t="str">
        <f>IF('Media Dựng'!B192="","",'Media Dựng'!B192)</f>
        <v/>
      </c>
      <c r="C788" s="52" t="str">
        <f>IF('Media Dựng'!C192="","",'Media Dựng'!C192)</f>
        <v/>
      </c>
      <c r="D788" s="52" t="str">
        <f>IF('Media Dựng'!D192="","",'Media Dựng'!D192)</f>
        <v/>
      </c>
      <c r="E788" s="52" t="str">
        <f>IF('Media Dựng'!E192="","",'Media Dựng'!E192)</f>
        <v/>
      </c>
      <c r="F788" s="52" t="str">
        <f>IF('Media Dựng'!F192="","",'Media Dựng'!F192)</f>
        <v/>
      </c>
      <c r="G788" s="52" t="str">
        <f>IF('Media Dựng'!G192="","",'Media Dựng'!G192)</f>
        <v/>
      </c>
      <c r="H788" s="52" t="str">
        <f>IF('Media Dựng'!J192="","",'Media Dựng'!J192)</f>
        <v/>
      </c>
      <c r="I788" s="52" t="str">
        <f>IF('Media Dựng'!M192="","",'Media Dựng'!M192)</f>
        <v/>
      </c>
      <c r="J788" s="52" t="str">
        <f>IF('Media Dựng'!R192="","",'Media Dựng'!R192)</f>
        <v/>
      </c>
      <c r="K788" s="52" t="str">
        <f t="array" ref="K788">IF(COUNTA('Media Dựng'!T192:AE192)=0,"",INDEX('Media Dựng'!T192:AE192,1,SUMPRODUCT(MAX(('Media Dựng'!T192:AE192&lt;&gt;"")*(COLUMN('Media Dựng'!T192:AE192)-COLUMN('Media Dựng'!T192)+1)))))</f>
        <v/>
      </c>
      <c r="L788" s="52" t="str">
        <f>IF(AND(G788&lt;&gt;"",G788='Tổng hợp'!$C$4),MAX(L$1:L787)+1,"")</f>
        <v/>
      </c>
    </row>
    <row r="789" ht="15.75" customHeight="1">
      <c r="A789" s="52" t="str">
        <f>IF('Media Dựng'!C193="","","Media Dựng")</f>
        <v/>
      </c>
      <c r="B789" s="52" t="str">
        <f>IF('Media Dựng'!B193="","",'Media Dựng'!B193)</f>
        <v/>
      </c>
      <c r="C789" s="52" t="str">
        <f>IF('Media Dựng'!C193="","",'Media Dựng'!C193)</f>
        <v/>
      </c>
      <c r="D789" s="52" t="str">
        <f>IF('Media Dựng'!D193="","",'Media Dựng'!D193)</f>
        <v/>
      </c>
      <c r="E789" s="52" t="str">
        <f>IF('Media Dựng'!E193="","",'Media Dựng'!E193)</f>
        <v/>
      </c>
      <c r="F789" s="52" t="str">
        <f>IF('Media Dựng'!F193="","",'Media Dựng'!F193)</f>
        <v/>
      </c>
      <c r="G789" s="52" t="str">
        <f>IF('Media Dựng'!G193="","",'Media Dựng'!G193)</f>
        <v/>
      </c>
      <c r="H789" s="52" t="str">
        <f>IF('Media Dựng'!J193="","",'Media Dựng'!J193)</f>
        <v/>
      </c>
      <c r="I789" s="52" t="str">
        <f>IF('Media Dựng'!M193="","",'Media Dựng'!M193)</f>
        <v/>
      </c>
      <c r="J789" s="52" t="str">
        <f>IF('Media Dựng'!R193="","",'Media Dựng'!R193)</f>
        <v/>
      </c>
      <c r="K789" s="52" t="str">
        <f t="array" ref="K789">IF(COUNTA('Media Dựng'!T193:AE193)=0,"",INDEX('Media Dựng'!T193:AE193,1,SUMPRODUCT(MAX(('Media Dựng'!T193:AE193&lt;&gt;"")*(COLUMN('Media Dựng'!T193:AE193)-COLUMN('Media Dựng'!T193)+1)))))</f>
        <v/>
      </c>
      <c r="L789" s="52" t="str">
        <f>IF(AND(G789&lt;&gt;"",G789='Tổng hợp'!$C$4),MAX(L$1:L788)+1,"")</f>
        <v/>
      </c>
    </row>
    <row r="790" ht="15.75" customHeight="1">
      <c r="A790" s="52" t="str">
        <f>IF('Media Dựng'!C194="","","Media Dựng")</f>
        <v/>
      </c>
      <c r="B790" s="52" t="str">
        <f>IF('Media Dựng'!B194="","",'Media Dựng'!B194)</f>
        <v/>
      </c>
      <c r="C790" s="52" t="str">
        <f>IF('Media Dựng'!C194="","",'Media Dựng'!C194)</f>
        <v/>
      </c>
      <c r="D790" s="52" t="str">
        <f>IF('Media Dựng'!D194="","",'Media Dựng'!D194)</f>
        <v/>
      </c>
      <c r="E790" s="52" t="str">
        <f>IF('Media Dựng'!E194="","",'Media Dựng'!E194)</f>
        <v/>
      </c>
      <c r="F790" s="52" t="str">
        <f>IF('Media Dựng'!F194="","",'Media Dựng'!F194)</f>
        <v/>
      </c>
      <c r="G790" s="52" t="str">
        <f>IF('Media Dựng'!G194="","",'Media Dựng'!G194)</f>
        <v/>
      </c>
      <c r="H790" s="52" t="str">
        <f>IF('Media Dựng'!J194="","",'Media Dựng'!J194)</f>
        <v/>
      </c>
      <c r="I790" s="52" t="str">
        <f>IF('Media Dựng'!M194="","",'Media Dựng'!M194)</f>
        <v/>
      </c>
      <c r="J790" s="52" t="str">
        <f>IF('Media Dựng'!R194="","",'Media Dựng'!R194)</f>
        <v/>
      </c>
      <c r="K790" s="52" t="str">
        <f t="array" ref="K790">IF(COUNTA('Media Dựng'!T194:AE194)=0,"",INDEX('Media Dựng'!T194:AE194,1,SUMPRODUCT(MAX(('Media Dựng'!T194:AE194&lt;&gt;"")*(COLUMN('Media Dựng'!T194:AE194)-COLUMN('Media Dựng'!T194)+1)))))</f>
        <v/>
      </c>
      <c r="L790" s="52" t="str">
        <f>IF(AND(G790&lt;&gt;"",G790='Tổng hợp'!$C$4),MAX(L$1:L789)+1,"")</f>
        <v/>
      </c>
    </row>
    <row r="791" ht="15.75" customHeight="1">
      <c r="A791" s="52" t="str">
        <f>IF('Media Dựng'!C195="","","Media Dựng")</f>
        <v/>
      </c>
      <c r="B791" s="52" t="str">
        <f>IF('Media Dựng'!B195="","",'Media Dựng'!B195)</f>
        <v/>
      </c>
      <c r="C791" s="52" t="str">
        <f>IF('Media Dựng'!C195="","",'Media Dựng'!C195)</f>
        <v/>
      </c>
      <c r="D791" s="52" t="str">
        <f>IF('Media Dựng'!D195="","",'Media Dựng'!D195)</f>
        <v/>
      </c>
      <c r="E791" s="52" t="str">
        <f>IF('Media Dựng'!E195="","",'Media Dựng'!E195)</f>
        <v/>
      </c>
      <c r="F791" s="52" t="str">
        <f>IF('Media Dựng'!F195="","",'Media Dựng'!F195)</f>
        <v/>
      </c>
      <c r="G791" s="52" t="str">
        <f>IF('Media Dựng'!G195="","",'Media Dựng'!G195)</f>
        <v/>
      </c>
      <c r="H791" s="52" t="str">
        <f>IF('Media Dựng'!J195="","",'Media Dựng'!J195)</f>
        <v/>
      </c>
      <c r="I791" s="52" t="str">
        <f>IF('Media Dựng'!M195="","",'Media Dựng'!M195)</f>
        <v/>
      </c>
      <c r="J791" s="52" t="str">
        <f>IF('Media Dựng'!R195="","",'Media Dựng'!R195)</f>
        <v/>
      </c>
      <c r="K791" s="52" t="str">
        <f t="array" ref="K791">IF(COUNTA('Media Dựng'!T195:AE195)=0,"",INDEX('Media Dựng'!T195:AE195,1,SUMPRODUCT(MAX(('Media Dựng'!T195:AE195&lt;&gt;"")*(COLUMN('Media Dựng'!T195:AE195)-COLUMN('Media Dựng'!T195)+1)))))</f>
        <v/>
      </c>
      <c r="L791" s="52" t="str">
        <f>IF(AND(G791&lt;&gt;"",G791='Tổng hợp'!$C$4),MAX(L$1:L790)+1,"")</f>
        <v/>
      </c>
    </row>
    <row r="792" ht="15.75" customHeight="1">
      <c r="A792" s="52" t="str">
        <f>IF('Media Dựng'!C196="","","Media Dựng")</f>
        <v/>
      </c>
      <c r="B792" s="52" t="str">
        <f>IF('Media Dựng'!B196="","",'Media Dựng'!B196)</f>
        <v/>
      </c>
      <c r="C792" s="52" t="str">
        <f>IF('Media Dựng'!C196="","",'Media Dựng'!C196)</f>
        <v/>
      </c>
      <c r="D792" s="52" t="str">
        <f>IF('Media Dựng'!D196="","",'Media Dựng'!D196)</f>
        <v/>
      </c>
      <c r="E792" s="52" t="str">
        <f>IF('Media Dựng'!E196="","",'Media Dựng'!E196)</f>
        <v/>
      </c>
      <c r="F792" s="52" t="str">
        <f>IF('Media Dựng'!F196="","",'Media Dựng'!F196)</f>
        <v/>
      </c>
      <c r="G792" s="52" t="str">
        <f>IF('Media Dựng'!G196="","",'Media Dựng'!G196)</f>
        <v/>
      </c>
      <c r="H792" s="52" t="str">
        <f>IF('Media Dựng'!J196="","",'Media Dựng'!J196)</f>
        <v/>
      </c>
      <c r="I792" s="52" t="str">
        <f>IF('Media Dựng'!M196="","",'Media Dựng'!M196)</f>
        <v/>
      </c>
      <c r="J792" s="52" t="str">
        <f>IF('Media Dựng'!R196="","",'Media Dựng'!R196)</f>
        <v/>
      </c>
      <c r="K792" s="52" t="str">
        <f t="array" ref="K792">IF(COUNTA('Media Dựng'!T196:AE196)=0,"",INDEX('Media Dựng'!T196:AE196,1,SUMPRODUCT(MAX(('Media Dựng'!T196:AE196&lt;&gt;"")*(COLUMN('Media Dựng'!T196:AE196)-COLUMN('Media Dựng'!T196)+1)))))</f>
        <v/>
      </c>
      <c r="L792" s="52" t="str">
        <f>IF(AND(G792&lt;&gt;"",G792='Tổng hợp'!$C$4),MAX(L$1:L791)+1,"")</f>
        <v/>
      </c>
    </row>
    <row r="793" ht="15.75" customHeight="1">
      <c r="A793" s="52" t="str">
        <f>IF('Media Dựng'!C197="","","Media Dựng")</f>
        <v/>
      </c>
      <c r="B793" s="52" t="str">
        <f>IF('Media Dựng'!B197="","",'Media Dựng'!B197)</f>
        <v/>
      </c>
      <c r="C793" s="52" t="str">
        <f>IF('Media Dựng'!C197="","",'Media Dựng'!C197)</f>
        <v/>
      </c>
      <c r="D793" s="52" t="str">
        <f>IF('Media Dựng'!D197="","",'Media Dựng'!D197)</f>
        <v/>
      </c>
      <c r="E793" s="52" t="str">
        <f>IF('Media Dựng'!E197="","",'Media Dựng'!E197)</f>
        <v/>
      </c>
      <c r="F793" s="52" t="str">
        <f>IF('Media Dựng'!F197="","",'Media Dựng'!F197)</f>
        <v/>
      </c>
      <c r="G793" s="52" t="str">
        <f>IF('Media Dựng'!G197="","",'Media Dựng'!G197)</f>
        <v/>
      </c>
      <c r="H793" s="52" t="str">
        <f>IF('Media Dựng'!J197="","",'Media Dựng'!J197)</f>
        <v/>
      </c>
      <c r="I793" s="52" t="str">
        <f>IF('Media Dựng'!M197="","",'Media Dựng'!M197)</f>
        <v/>
      </c>
      <c r="J793" s="52" t="str">
        <f>IF('Media Dựng'!R197="","",'Media Dựng'!R197)</f>
        <v/>
      </c>
      <c r="K793" s="52" t="str">
        <f t="array" ref="K793">IF(COUNTA('Media Dựng'!T197:AE197)=0,"",INDEX('Media Dựng'!T197:AE197,1,SUMPRODUCT(MAX(('Media Dựng'!T197:AE197&lt;&gt;"")*(COLUMN('Media Dựng'!T197:AE197)-COLUMN('Media Dựng'!T197)+1)))))</f>
        <v/>
      </c>
      <c r="L793" s="52" t="str">
        <f>IF(AND(G793&lt;&gt;"",G793='Tổng hợp'!$C$4),MAX(L$1:L792)+1,"")</f>
        <v/>
      </c>
    </row>
    <row r="794" ht="15.75" customHeight="1">
      <c r="A794" s="52" t="str">
        <f>IF('Media Dựng'!C198="","","Media Dựng")</f>
        <v/>
      </c>
      <c r="B794" s="52" t="str">
        <f>IF('Media Dựng'!B198="","",'Media Dựng'!B198)</f>
        <v/>
      </c>
      <c r="C794" s="52" t="str">
        <f>IF('Media Dựng'!C198="","",'Media Dựng'!C198)</f>
        <v/>
      </c>
      <c r="D794" s="52" t="str">
        <f>IF('Media Dựng'!D198="","",'Media Dựng'!D198)</f>
        <v/>
      </c>
      <c r="E794" s="52" t="str">
        <f>IF('Media Dựng'!E198="","",'Media Dựng'!E198)</f>
        <v/>
      </c>
      <c r="F794" s="52" t="str">
        <f>IF('Media Dựng'!F198="","",'Media Dựng'!F198)</f>
        <v/>
      </c>
      <c r="G794" s="52" t="str">
        <f>IF('Media Dựng'!G198="","",'Media Dựng'!G198)</f>
        <v/>
      </c>
      <c r="H794" s="52" t="str">
        <f>IF('Media Dựng'!J198="","",'Media Dựng'!J198)</f>
        <v/>
      </c>
      <c r="I794" s="52" t="str">
        <f>IF('Media Dựng'!M198="","",'Media Dựng'!M198)</f>
        <v/>
      </c>
      <c r="J794" s="52" t="str">
        <f>IF('Media Dựng'!R198="","",'Media Dựng'!R198)</f>
        <v/>
      </c>
      <c r="K794" s="52" t="str">
        <f t="array" ref="K794">IF(COUNTA('Media Dựng'!T198:AE198)=0,"",INDEX('Media Dựng'!T198:AE198,1,SUMPRODUCT(MAX(('Media Dựng'!T198:AE198&lt;&gt;"")*(COLUMN('Media Dựng'!T198:AE198)-COLUMN('Media Dựng'!T198)+1)))))</f>
        <v/>
      </c>
      <c r="L794" s="52" t="str">
        <f>IF(AND(G794&lt;&gt;"",G794='Tổng hợp'!$C$4),MAX(L$1:L793)+1,"")</f>
        <v/>
      </c>
    </row>
    <row r="795" ht="15.75" customHeight="1">
      <c r="A795" s="52" t="str">
        <f>IF('Media Dựng'!C199="","","Media Dựng")</f>
        <v/>
      </c>
      <c r="B795" s="52" t="str">
        <f>IF('Media Dựng'!B199="","",'Media Dựng'!B199)</f>
        <v/>
      </c>
      <c r="C795" s="52" t="str">
        <f>IF('Media Dựng'!C199="","",'Media Dựng'!C199)</f>
        <v/>
      </c>
      <c r="D795" s="52" t="str">
        <f>IF('Media Dựng'!D199="","",'Media Dựng'!D199)</f>
        <v/>
      </c>
      <c r="E795" s="52" t="str">
        <f>IF('Media Dựng'!E199="","",'Media Dựng'!E199)</f>
        <v/>
      </c>
      <c r="F795" s="52" t="str">
        <f>IF('Media Dựng'!F199="","",'Media Dựng'!F199)</f>
        <v/>
      </c>
      <c r="G795" s="52" t="str">
        <f>IF('Media Dựng'!G199="","",'Media Dựng'!G199)</f>
        <v/>
      </c>
      <c r="H795" s="52" t="str">
        <f>IF('Media Dựng'!J199="","",'Media Dựng'!J199)</f>
        <v/>
      </c>
      <c r="I795" s="52" t="str">
        <f>IF('Media Dựng'!M199="","",'Media Dựng'!M199)</f>
        <v/>
      </c>
      <c r="J795" s="52" t="str">
        <f>IF('Media Dựng'!R199="","",'Media Dựng'!R199)</f>
        <v/>
      </c>
      <c r="K795" s="52" t="str">
        <f t="array" ref="K795">IF(COUNTA('Media Dựng'!T199:AE199)=0,"",INDEX('Media Dựng'!T199:AE199,1,SUMPRODUCT(MAX(('Media Dựng'!T199:AE199&lt;&gt;"")*(COLUMN('Media Dựng'!T199:AE199)-COLUMN('Media Dựng'!T199)+1)))))</f>
        <v/>
      </c>
      <c r="L795" s="52" t="str">
        <f>IF(AND(G795&lt;&gt;"",G795='Tổng hợp'!$C$4),MAX(L$1:L794)+1,"")</f>
        <v/>
      </c>
    </row>
    <row r="796" ht="15.75" customHeight="1">
      <c r="A796" s="52" t="str">
        <f>IF('Media Dựng'!C200="","","Media Dựng")</f>
        <v/>
      </c>
      <c r="B796" s="52" t="str">
        <f>IF('Media Dựng'!B200="","",'Media Dựng'!B200)</f>
        <v/>
      </c>
      <c r="C796" s="52" t="str">
        <f>IF('Media Dựng'!C200="","",'Media Dựng'!C200)</f>
        <v/>
      </c>
      <c r="D796" s="52" t="str">
        <f>IF('Media Dựng'!D200="","",'Media Dựng'!D200)</f>
        <v/>
      </c>
      <c r="E796" s="52" t="str">
        <f>IF('Media Dựng'!E200="","",'Media Dựng'!E200)</f>
        <v/>
      </c>
      <c r="F796" s="52" t="str">
        <f>IF('Media Dựng'!F200="","",'Media Dựng'!F200)</f>
        <v/>
      </c>
      <c r="G796" s="52" t="str">
        <f>IF('Media Dựng'!G200="","",'Media Dựng'!G200)</f>
        <v/>
      </c>
      <c r="H796" s="52" t="str">
        <f>IF('Media Dựng'!J200="","",'Media Dựng'!J200)</f>
        <v/>
      </c>
      <c r="I796" s="52" t="str">
        <f>IF('Media Dựng'!M200="","",'Media Dựng'!M200)</f>
        <v/>
      </c>
      <c r="J796" s="52" t="str">
        <f>IF('Media Dựng'!R200="","",'Media Dựng'!R200)</f>
        <v/>
      </c>
      <c r="K796" s="52" t="str">
        <f t="array" ref="K796">IF(COUNTA('Media Dựng'!T200:AE200)=0,"",INDEX('Media Dựng'!T200:AE200,1,SUMPRODUCT(MAX(('Media Dựng'!T200:AE200&lt;&gt;"")*(COLUMN('Media Dựng'!T200:AE200)-COLUMN('Media Dựng'!T200)+1)))))</f>
        <v/>
      </c>
      <c r="L796" s="52" t="str">
        <f>IF(AND(G796&lt;&gt;"",G796='Tổng hợp'!$C$4),MAX(L$1:L795)+1,"")</f>
        <v/>
      </c>
    </row>
    <row r="797" ht="15.75" customHeight="1">
      <c r="A797" s="52" t="str">
        <f>IF('Media Dựng'!C201="","","Media Dựng")</f>
        <v/>
      </c>
      <c r="B797" s="52" t="str">
        <f>IF('Media Dựng'!B201="","",'Media Dựng'!B201)</f>
        <v/>
      </c>
      <c r="C797" s="52" t="str">
        <f>IF('Media Dựng'!C201="","",'Media Dựng'!C201)</f>
        <v/>
      </c>
      <c r="D797" s="52" t="str">
        <f>IF('Media Dựng'!D201="","",'Media Dựng'!D201)</f>
        <v/>
      </c>
      <c r="E797" s="52" t="str">
        <f>IF('Media Dựng'!E201="","",'Media Dựng'!E201)</f>
        <v/>
      </c>
      <c r="F797" s="52" t="str">
        <f>IF('Media Dựng'!F201="","",'Media Dựng'!F201)</f>
        <v/>
      </c>
      <c r="G797" s="52" t="str">
        <f>IF('Media Dựng'!G201="","",'Media Dựng'!G201)</f>
        <v/>
      </c>
      <c r="H797" s="52" t="str">
        <f>IF('Media Dựng'!J201="","",'Media Dựng'!J201)</f>
        <v/>
      </c>
      <c r="I797" s="52" t="str">
        <f>IF('Media Dựng'!M201="","",'Media Dựng'!M201)</f>
        <v/>
      </c>
      <c r="J797" s="52" t="str">
        <f>IF('Media Dựng'!R201="","",'Media Dựng'!R201)</f>
        <v/>
      </c>
      <c r="K797" s="52" t="str">
        <f t="array" ref="K797">IF(COUNTA('Media Dựng'!T201:AE201)=0,"",INDEX('Media Dựng'!T201:AE201,1,SUMPRODUCT(MAX(('Media Dựng'!T201:AE201&lt;&gt;"")*(COLUMN('Media Dựng'!T201:AE201)-COLUMN('Media Dựng'!T201)+1)))))</f>
        <v/>
      </c>
      <c r="L797" s="52" t="str">
        <f>IF(AND(G797&lt;&gt;"",G797='Tổng hợp'!$C$4),MAX(L$1:L796)+1,"")</f>
        <v/>
      </c>
    </row>
    <row r="798" ht="15.75" customHeight="1">
      <c r="A798" s="52" t="str">
        <f>IF('Media Dựng'!C202="","","Media Dựng")</f>
        <v/>
      </c>
      <c r="B798" s="52" t="str">
        <f>IF('Media Dựng'!B202="","",'Media Dựng'!B202)</f>
        <v/>
      </c>
      <c r="C798" s="52" t="str">
        <f>IF('Media Dựng'!C202="","",'Media Dựng'!C202)</f>
        <v/>
      </c>
      <c r="D798" s="52" t="str">
        <f>IF('Media Dựng'!D202="","",'Media Dựng'!D202)</f>
        <v/>
      </c>
      <c r="E798" s="52" t="str">
        <f>IF('Media Dựng'!E202="","",'Media Dựng'!E202)</f>
        <v/>
      </c>
      <c r="F798" s="52" t="str">
        <f>IF('Media Dựng'!F202="","",'Media Dựng'!F202)</f>
        <v/>
      </c>
      <c r="G798" s="52" t="str">
        <f>IF('Media Dựng'!G202="","",'Media Dựng'!G202)</f>
        <v/>
      </c>
      <c r="H798" s="52" t="str">
        <f>IF('Media Dựng'!J202="","",'Media Dựng'!J202)</f>
        <v/>
      </c>
      <c r="I798" s="52" t="str">
        <f>IF('Media Dựng'!M202="","",'Media Dựng'!M202)</f>
        <v/>
      </c>
      <c r="J798" s="52" t="str">
        <f>IF('Media Dựng'!R202="","",'Media Dựng'!R202)</f>
        <v/>
      </c>
      <c r="K798" s="52" t="str">
        <f t="array" ref="K798">IF(COUNTA('Media Dựng'!T202:AE202)=0,"",INDEX('Media Dựng'!T202:AE202,1,SUMPRODUCT(MAX(('Media Dựng'!T202:AE202&lt;&gt;"")*(COLUMN('Media Dựng'!T202:AE202)-COLUMN('Media Dựng'!T202)+1)))))</f>
        <v/>
      </c>
      <c r="L798" s="52" t="str">
        <f>IF(AND(G798&lt;&gt;"",G798='Tổng hợp'!$C$4),MAX(L$1:L797)+1,"")</f>
        <v/>
      </c>
    </row>
    <row r="799" ht="15.75" customHeight="1">
      <c r="A799" s="52" t="str">
        <f>IF('Media Dựng'!C203="","","Media Dựng")</f>
        <v/>
      </c>
      <c r="B799" s="52" t="str">
        <f>IF('Media Dựng'!B203="","",'Media Dựng'!B203)</f>
        <v/>
      </c>
      <c r="C799" s="52" t="str">
        <f>IF('Media Dựng'!C203="","",'Media Dựng'!C203)</f>
        <v/>
      </c>
      <c r="D799" s="52" t="str">
        <f>IF('Media Dựng'!D203="","",'Media Dựng'!D203)</f>
        <v/>
      </c>
      <c r="E799" s="52" t="str">
        <f>IF('Media Dựng'!E203="","",'Media Dựng'!E203)</f>
        <v/>
      </c>
      <c r="F799" s="52" t="str">
        <f>IF('Media Dựng'!F203="","",'Media Dựng'!F203)</f>
        <v/>
      </c>
      <c r="G799" s="52" t="str">
        <f>IF('Media Dựng'!G203="","",'Media Dựng'!G203)</f>
        <v/>
      </c>
      <c r="H799" s="52" t="str">
        <f>IF('Media Dựng'!J203="","",'Media Dựng'!J203)</f>
        <v/>
      </c>
      <c r="I799" s="52" t="str">
        <f>IF('Media Dựng'!M203="","",'Media Dựng'!M203)</f>
        <v/>
      </c>
      <c r="J799" s="52" t="str">
        <f>IF('Media Dựng'!R203="","",'Media Dựng'!R203)</f>
        <v/>
      </c>
      <c r="K799" s="52" t="str">
        <f t="array" ref="K799">IF(COUNTA('Media Dựng'!T203:AE203)=0,"",INDEX('Media Dựng'!T203:AE203,1,SUMPRODUCT(MAX(('Media Dựng'!T203:AE203&lt;&gt;"")*(COLUMN('Media Dựng'!T203:AE203)-COLUMN('Media Dựng'!T203)+1)))))</f>
        <v/>
      </c>
      <c r="L799" s="52" t="str">
        <f>IF(AND(G799&lt;&gt;"",G799='Tổng hợp'!$C$4),MAX(L$1:L798)+1,"")</f>
        <v/>
      </c>
    </row>
    <row r="800" ht="15.75" customHeight="1">
      <c r="A800" s="52" t="str">
        <f>IF('Media Dựng'!C204="","","Media Dựng")</f>
        <v/>
      </c>
      <c r="B800" s="52" t="str">
        <f>IF('Media Dựng'!B204="","",'Media Dựng'!B204)</f>
        <v/>
      </c>
      <c r="C800" s="52" t="str">
        <f>IF('Media Dựng'!C204="","",'Media Dựng'!C204)</f>
        <v/>
      </c>
      <c r="D800" s="52" t="str">
        <f>IF('Media Dựng'!D204="","",'Media Dựng'!D204)</f>
        <v/>
      </c>
      <c r="E800" s="52" t="str">
        <f>IF('Media Dựng'!E204="","",'Media Dựng'!E204)</f>
        <v/>
      </c>
      <c r="F800" s="52" t="str">
        <f>IF('Media Dựng'!F204="","",'Media Dựng'!F204)</f>
        <v/>
      </c>
      <c r="G800" s="52" t="str">
        <f>IF('Media Dựng'!G204="","",'Media Dựng'!G204)</f>
        <v/>
      </c>
      <c r="H800" s="52" t="str">
        <f>IF('Media Dựng'!J204="","",'Media Dựng'!J204)</f>
        <v/>
      </c>
      <c r="I800" s="52" t="str">
        <f>IF('Media Dựng'!M204="","",'Media Dựng'!M204)</f>
        <v/>
      </c>
      <c r="J800" s="52" t="str">
        <f>IF('Media Dựng'!R204="","",'Media Dựng'!R204)</f>
        <v/>
      </c>
      <c r="K800" s="52" t="str">
        <f t="array" ref="K800">IF(COUNTA('Media Dựng'!T204:AE204)=0,"",INDEX('Media Dựng'!T204:AE204,1,SUMPRODUCT(MAX(('Media Dựng'!T204:AE204&lt;&gt;"")*(COLUMN('Media Dựng'!T204:AE204)-COLUMN('Media Dựng'!T204)+1)))))</f>
        <v/>
      </c>
      <c r="L800" s="52" t="str">
        <f>IF(AND(G800&lt;&gt;"",G800='Tổng hợp'!$C$4),MAX(L$1:L799)+1,"")</f>
        <v/>
      </c>
    </row>
    <row r="801" ht="15.75" customHeight="1">
      <c r="A801" s="52" t="str">
        <f>IF('Media Dựng'!C205="","","Media Dựng")</f>
        <v/>
      </c>
      <c r="B801" s="52" t="str">
        <f>IF('Media Dựng'!B205="","",'Media Dựng'!B205)</f>
        <v/>
      </c>
      <c r="C801" s="52" t="str">
        <f>IF('Media Dựng'!C205="","",'Media Dựng'!C205)</f>
        <v/>
      </c>
      <c r="D801" s="52" t="str">
        <f>IF('Media Dựng'!D205="","",'Media Dựng'!D205)</f>
        <v/>
      </c>
      <c r="E801" s="52" t="str">
        <f>IF('Media Dựng'!E205="","",'Media Dựng'!E205)</f>
        <v/>
      </c>
      <c r="F801" s="52" t="str">
        <f>IF('Media Dựng'!F205="","",'Media Dựng'!F205)</f>
        <v/>
      </c>
      <c r="G801" s="52" t="str">
        <f>IF('Media Dựng'!G205="","",'Media Dựng'!G205)</f>
        <v/>
      </c>
      <c r="H801" s="52" t="str">
        <f>IF('Media Dựng'!J205="","",'Media Dựng'!J205)</f>
        <v/>
      </c>
      <c r="I801" s="52" t="str">
        <f>IF('Media Dựng'!M205="","",'Media Dựng'!M205)</f>
        <v/>
      </c>
      <c r="J801" s="52" t="str">
        <f>IF('Media Dựng'!R205="","",'Media Dựng'!R205)</f>
        <v/>
      </c>
      <c r="K801" s="52" t="str">
        <f t="array" ref="K801">IF(COUNTA('Media Dựng'!T205:AE205)=0,"",INDEX('Media Dựng'!T205:AE205,1,SUMPRODUCT(MAX(('Media Dựng'!T205:AE205&lt;&gt;"")*(COLUMN('Media Dựng'!T205:AE205)-COLUMN('Media Dựng'!T205)+1)))))</f>
        <v/>
      </c>
      <c r="L801" s="52" t="str">
        <f>IF(AND(G801&lt;&gt;"",G801='Tổng hợp'!$C$4),MAX(L$1:L800)+1,"")</f>
        <v/>
      </c>
    </row>
    <row r="802" ht="15.75" customHeight="1">
      <c r="A802" s="52" t="str">
        <f>IF('PR Thương Hiệu'!C6="","","PR Thương Hiệu")</f>
        <v/>
      </c>
      <c r="B802" s="52" t="str">
        <f>IF('PR Thương Hiệu'!B6="","",'PR Thương Hiệu'!B6)</f>
        <v/>
      </c>
      <c r="C802" s="52" t="str">
        <f>IF('PR Thương Hiệu'!C6="","",'PR Thương Hiệu'!C6)</f>
        <v/>
      </c>
      <c r="D802" s="52" t="str">
        <f>IF('PR Thương Hiệu'!D6="","",'PR Thương Hiệu'!D6)</f>
        <v/>
      </c>
      <c r="E802" s="52" t="str">
        <f>IF('PR Thương Hiệu'!E6="","",'PR Thương Hiệu'!E6)</f>
        <v/>
      </c>
      <c r="F802" s="52" t="str">
        <f>IF('PR Thương Hiệu'!F6="","",'PR Thương Hiệu'!F6)</f>
        <v/>
      </c>
      <c r="G802" s="52" t="str">
        <f>IF('PR Thương Hiệu'!G6="","",'PR Thương Hiệu'!G6)</f>
        <v/>
      </c>
      <c r="H802" s="52" t="str">
        <f>IF('PR Thương Hiệu'!J6="","",'PR Thương Hiệu'!J6)</f>
        <v/>
      </c>
      <c r="I802" s="52" t="str">
        <f>IF('PR Thương Hiệu'!M6="","",'PR Thương Hiệu'!M6)</f>
        <v/>
      </c>
      <c r="J802" s="52" t="str">
        <f>IF('PR Thương Hiệu'!R6="","",'PR Thương Hiệu'!R6)</f>
        <v/>
      </c>
      <c r="K802" s="52" t="str">
        <f t="array" ref="K802">IF(COUNTA('PR Thương Hiệu'!T6:AE6)=0,"",INDEX('PR Thương Hiệu'!T6:AE6,1,SUMPRODUCT(MAX(('PR Thương Hiệu'!T6:AE6&lt;&gt;"")*(COLUMN('PR Thương Hiệu'!T6:AE6)-COLUMN('PR Thương Hiệu'!T6)+1)))))</f>
        <v/>
      </c>
      <c r="L802" s="52" t="str">
        <f>IF(AND(G802&lt;&gt;"",G802='Tổng hợp'!$C$4),MAX(L$1:L801)+1,"")</f>
        <v/>
      </c>
    </row>
    <row r="803" ht="15.75" customHeight="1">
      <c r="A803" s="52" t="str">
        <f>IF('PR Thương Hiệu'!C7="","","PR Thương Hiệu")</f>
        <v>PR Thương Hiệu</v>
      </c>
      <c r="B803" s="52" t="str">
        <f>IF('PR Thương Hiệu'!B7="","",'PR Thương Hiệu'!B7)</f>
        <v>PR-002</v>
      </c>
      <c r="C803" s="52" t="str">
        <f>IF('PR Thương Hiệu'!C7="","",'PR Thương Hiệu'!C7)</f>
        <v>Page</v>
      </c>
      <c r="D803" s="79" t="str">
        <f>IF('PR Thương Hiệu'!D7="","",'PR Thương Hiệu'!D7)</f>
        <v>100093582582280</v>
      </c>
      <c r="E803" s="52" t="str">
        <f>IF('PR Thương Hiệu'!E7="","",'PR Thương Hiệu'!E7)</f>
        <v>Page Dr Tiến - Tân Trang Cô Bé</v>
      </c>
      <c r="F803" s="134" t="str">
        <f>IF('PR Thương Hiệu'!F7="","",'PR Thương Hiệu'!F7)</f>
        <v>https://www.facebook.com/DrTienVien103?locale=vi_VN</v>
      </c>
      <c r="G803" s="52" t="str">
        <f>IF('PR Thương Hiệu'!G7="","",'PR Thương Hiệu'!G7)</f>
        <v>BÙI MỸ HẢO</v>
      </c>
      <c r="H803" s="52" t="str">
        <f>IF('PR Thương Hiệu'!J7="","",'PR Thương Hiệu'!J7)</f>
        <v>Biên tập viên</v>
      </c>
      <c r="I803" s="52" t="str">
        <f>IF('PR Thương Hiệu'!M7="","",'PR Thương Hiệu'!M7)</f>
        <v>Không rõ</v>
      </c>
      <c r="J803" s="52" t="str">
        <f>IF('PR Thương Hiệu'!R7="","",'PR Thương Hiệu'!R7)</f>
        <v/>
      </c>
      <c r="K803" s="52" t="str">
        <f t="array" ref="K803">IF(COUNTA('PR Thương Hiệu'!T7:AE7)=0,"",INDEX('PR Thương Hiệu'!T7:AE7,1,SUMPRODUCT(MAX(('PR Thương Hiệu'!T7:AE7&lt;&gt;"")*(COLUMN('PR Thương Hiệu'!T7:AE7)-COLUMN('PR Thương Hiệu'!T7)+1)))))</f>
        <v/>
      </c>
      <c r="L803" s="52" t="str">
        <f>IF(AND(G803&lt;&gt;"",G803='Tổng hợp'!$C$4),MAX(L$1:L802)+1,"")</f>
        <v/>
      </c>
    </row>
    <row r="804" ht="15.75" customHeight="1">
      <c r="A804" s="52" t="str">
        <f>IF('PR Thương Hiệu'!C8="","","PR Thương Hiệu")</f>
        <v>PR Thương Hiệu</v>
      </c>
      <c r="B804" s="52" t="str">
        <f>IF('PR Thương Hiệu'!B8="","",'PR Thương Hiệu'!B8)</f>
        <v>PR-003</v>
      </c>
      <c r="C804" s="52" t="str">
        <f>IF('PR Thương Hiệu'!C8="","",'PR Thương Hiệu'!C8)</f>
        <v>Page</v>
      </c>
      <c r="D804" s="79" t="str">
        <f>IF('PR Thương Hiệu'!D8="","",'PR Thương Hiệu'!D8)</f>
        <v>100093071967592</v>
      </c>
      <c r="E804" s="52" t="str">
        <f>IF('PR Thương Hiệu'!E8="","",'PR Thương Hiệu'!E8)</f>
        <v>BS. Tiến Sĩ Vũ Trọng Tiến
</v>
      </c>
      <c r="F804" s="134" t="str">
        <f>IF('PR Thương Hiệu'!F8="","",'PR Thương Hiệu'!F8)</f>
        <v>https://www.facebook.com/TIENSI.VUTRONGTIEN/</v>
      </c>
      <c r="G804" s="52" t="str">
        <f>IF('PR Thương Hiệu'!G8="","",'PR Thương Hiệu'!G8)</f>
        <v>HOÀNG MINH HIẾU</v>
      </c>
      <c r="H804" s="52" t="str">
        <f>IF('PR Thương Hiệu'!J8="","",'PR Thương Hiệu'!J8)</f>
        <v>Kiểm duyệt viên</v>
      </c>
      <c r="I804" s="52" t="str">
        <f>IF('PR Thương Hiệu'!M8="","",'PR Thương Hiệu'!M8)</f>
        <v>Không rõ</v>
      </c>
      <c r="J804" s="52" t="str">
        <f>IF('PR Thương Hiệu'!R8="","",'PR Thương Hiệu'!R8)</f>
        <v/>
      </c>
      <c r="K804" s="52" t="str">
        <f t="array" ref="K804">IF(COUNTA('PR Thương Hiệu'!T8:AE8)=0,"",INDEX('PR Thương Hiệu'!T8:AE8,1,SUMPRODUCT(MAX(('PR Thương Hiệu'!T8:AE8&lt;&gt;"")*(COLUMN('PR Thương Hiệu'!T8:AE8)-COLUMN('PR Thương Hiệu'!T8)+1)))))</f>
        <v/>
      </c>
      <c r="L804" s="52" t="str">
        <f>IF(AND(G804&lt;&gt;"",G804='Tổng hợp'!$C$4),MAX(L$1:L803)+1,"")</f>
        <v/>
      </c>
    </row>
    <row r="805" ht="15.75" customHeight="1">
      <c r="A805" s="52" t="str">
        <f>IF('PR Thương Hiệu'!C10="","","PR Thương Hiệu")</f>
        <v>PR Thương Hiệu</v>
      </c>
      <c r="B805" s="52" t="str">
        <f>IF('PR Thương Hiệu'!B10="","",'PR Thương Hiệu'!B10)</f>
        <v>PR-005</v>
      </c>
      <c r="C805" s="52" t="str">
        <f>IF('PR Thương Hiệu'!C10="","",'PR Thương Hiệu'!C10)</f>
        <v>Nhóm</v>
      </c>
      <c r="D805" s="79" t="str">
        <f>IF('PR Thương Hiệu'!D10="","",'PR Thương Hiệu'!D10)</f>
        <v>4016174882008678</v>
      </c>
      <c r="E805" s="52" t="str">
        <f>IF('PR Thương Hiệu'!E10="","",'PR Thương Hiệu'!E10)</f>
        <v>Tâm Sự Thẩm Mỹ Vùng Kín - Bác Sĩ Có Tâm</v>
      </c>
      <c r="F805" s="134" t="str">
        <f>IF('PR Thương Hiệu'!F10="","",'PR Thương Hiệu'!F10)</f>
        <v>https://www.facebook.com/groups/4016174882008678</v>
      </c>
      <c r="G805" s="52" t="str">
        <f>IF('PR Thương Hiệu'!G10="","",'PR Thương Hiệu'!G10)</f>
        <v>LÊ HẠNH QUYÊN</v>
      </c>
      <c r="H805" s="52" t="str">
        <f>IF('PR Thương Hiệu'!J10="","",'PR Thương Hiệu'!J10)</f>
        <v>Kiểm duyệt viên</v>
      </c>
      <c r="I805" s="52" t="str">
        <f>IF('PR Thương Hiệu'!M10="","",'PR Thương Hiệu'!M10)</f>
        <v>Không rõ</v>
      </c>
      <c r="J805" s="52" t="str">
        <f>IF('PR Thương Hiệu'!R10="","",'PR Thương Hiệu'!R10)</f>
        <v/>
      </c>
      <c r="K805" s="52" t="str">
        <f t="array" ref="K805">IF(COUNTA('PR Thương Hiệu'!T10:AE10)=0,"",INDEX('PR Thương Hiệu'!T10:AE10,1,SUMPRODUCT(MAX(('PR Thương Hiệu'!T10:AE10&lt;&gt;"")*(COLUMN('PR Thương Hiệu'!T10:AE10)-COLUMN('PR Thương Hiệu'!T10)+1)))))</f>
        <v/>
      </c>
      <c r="L805" s="52" t="str">
        <f>IF(AND(G805&lt;&gt;"",G805='Tổng hợp'!$C$4),MAX(L$1:L804)+1,"")</f>
        <v/>
      </c>
    </row>
    <row r="806" ht="15.75" customHeight="1">
      <c r="A806" s="52" t="str">
        <f>IF('PR Thương Hiệu'!C11="","","PR Thương Hiệu")</f>
        <v>PR Thương Hiệu</v>
      </c>
      <c r="B806" s="52" t="str">
        <f>IF('PR Thương Hiệu'!B11="","",'PR Thương Hiệu'!B11)</f>
        <v>PR-006</v>
      </c>
      <c r="C806" s="52" t="str">
        <f>IF('PR Thương Hiệu'!C11="","",'PR Thương Hiệu'!C11)</f>
        <v>Nhóm</v>
      </c>
      <c r="D806" s="79" t="str">
        <f>IF('PR Thương Hiệu'!D11="","",'PR Thương Hiệu'!D11)</f>
        <v>1098149724956406</v>
      </c>
      <c r="E806" s="52" t="str">
        <f>IF('PR Thương Hiệu'!E11="","",'PR Thương Hiệu'!E11)</f>
        <v>THẨM MỸ VÙNG KÍN - CHIA SẺ KINH NGHIỆM</v>
      </c>
      <c r="F806" s="134" t="str">
        <f>IF('PR Thương Hiệu'!F11="","",'PR Thương Hiệu'!F11)</f>
        <v>https://www.facebook.com/groups/1098149724956406</v>
      </c>
      <c r="G806" s="52" t="str">
        <f>IF('PR Thương Hiệu'!G11="","",'PR Thương Hiệu'!G11)</f>
        <v>ĐỖ THỊ THU HOÀI</v>
      </c>
      <c r="H806" s="52" t="str">
        <f>IF('PR Thương Hiệu'!J11="","",'PR Thương Hiệu'!J11)</f>
        <v>Kiểm duyệt viên</v>
      </c>
      <c r="I806" s="52" t="str">
        <f>IF('PR Thương Hiệu'!M11="","",'PR Thương Hiệu'!M11)</f>
        <v/>
      </c>
      <c r="J806" s="52" t="str">
        <f>IF('PR Thương Hiệu'!R11="","",'PR Thương Hiệu'!R11)</f>
        <v/>
      </c>
      <c r="K806" s="52" t="str">
        <f t="array" ref="K806">IF(COUNTA('PR Thương Hiệu'!T11:AE11)=0,"",INDEX('PR Thương Hiệu'!T11:AE11,1,SUMPRODUCT(MAX(('PR Thương Hiệu'!T11:AE11&lt;&gt;"")*(COLUMN('PR Thương Hiệu'!T11:AE11)-COLUMN('PR Thương Hiệu'!T11)+1)))))</f>
        <v/>
      </c>
      <c r="L806" s="52" t="str">
        <f>IF(AND(G806&lt;&gt;"",G806='Tổng hợp'!$C$4),MAX(L$1:L805)+1,"")</f>
        <v/>
      </c>
    </row>
    <row r="807" ht="15.75" customHeight="1">
      <c r="A807" s="52" t="str">
        <f>IF('PR Thương Hiệu'!C9="","","PR Thương Hiệu")</f>
        <v>PR Thương Hiệu</v>
      </c>
      <c r="B807" s="52" t="str">
        <f>IF('PR Thương Hiệu'!B9="","",'PR Thương Hiệu'!B9)</f>
        <v>PR-004</v>
      </c>
      <c r="C807" s="52" t="str">
        <f>IF('PR Thương Hiệu'!C9="","",'PR Thương Hiệu'!C9)</f>
        <v>Page</v>
      </c>
      <c r="D807" s="79" t="str">
        <f>IF('PR Thương Hiệu'!D9="","",'PR Thương Hiệu'!D9)</f>
        <v>100093582582280</v>
      </c>
      <c r="E807" s="52" t="str">
        <f>IF('PR Thương Hiệu'!E9="","",'PR Thương Hiệu'!E9)</f>
        <v>Page Dr Tiến - Tân Trang Cô Bé</v>
      </c>
      <c r="F807" s="134" t="str">
        <f>IF('PR Thương Hiệu'!F9="","",'PR Thương Hiệu'!F9)</f>
        <v>https://www.facebook.com/DrTienVien103?locale=vi_VN</v>
      </c>
      <c r="G807" s="52" t="str">
        <f>IF('PR Thương Hiệu'!G9="","",'PR Thương Hiệu'!G9)</f>
        <v>HOÀNG MINH HIẾU</v>
      </c>
      <c r="H807" s="52" t="str">
        <f>IF('PR Thương Hiệu'!J9="","",'PR Thương Hiệu'!J9)</f>
        <v>Kiểm duyệt viên</v>
      </c>
      <c r="I807" s="52" t="str">
        <f>IF('PR Thương Hiệu'!M9="","",'PR Thương Hiệu'!M9)</f>
        <v>Không rõ</v>
      </c>
      <c r="J807" s="52" t="str">
        <f>IF('PR Thương Hiệu'!R9="","",'PR Thương Hiệu'!R9)</f>
        <v/>
      </c>
      <c r="K807" s="52" t="str">
        <f t="array" ref="K807">IF(COUNTA('PR Thương Hiệu'!T9:AE9)=0,"",INDEX('PR Thương Hiệu'!T9:AE9,1,SUMPRODUCT(MAX(('PR Thương Hiệu'!T9:AE9&lt;&gt;"")*(COLUMN('PR Thương Hiệu'!T9:AE9)-COLUMN('PR Thương Hiệu'!T9)+1)))))</f>
        <v/>
      </c>
      <c r="L807" s="52" t="str">
        <f>IF(AND(G807&lt;&gt;"",G807='Tổng hợp'!$C$4),MAX(L$1:L806)+1,"")</f>
        <v/>
      </c>
    </row>
    <row r="808" ht="15.75" customHeight="1">
      <c r="A808" s="52" t="str">
        <f>IF('PR Thương Hiệu'!C12="","","PR Thương Hiệu")</f>
        <v>PR Thương Hiệu</v>
      </c>
      <c r="B808" s="52" t="str">
        <f>IF('PR Thương Hiệu'!B12="","",'PR Thương Hiệu'!B12)</f>
        <v>PR-007</v>
      </c>
      <c r="C808" s="52" t="str">
        <f>IF('PR Thương Hiệu'!C12="","",'PR Thương Hiệu'!C12)</f>
        <v>Nhóm</v>
      </c>
      <c r="D808" s="79" t="str">
        <f>IF('PR Thương Hiệu'!D12="","",'PR Thương Hiệu'!D12)</f>
        <v>608585069532791</v>
      </c>
      <c r="E808" s="52" t="str">
        <f>IF('PR Thương Hiệu'!E12="","",'PR Thương Hiệu'!E12)</f>
        <v>CHIA SẺ KINH NGHIỆM THẨM MỸ VÙNG KÍN </v>
      </c>
      <c r="F808" s="134" t="str">
        <f>IF('PR Thương Hiệu'!F12="","",'PR Thương Hiệu'!F12)</f>
        <v>https://www.facebook.com/groups/608585069532791</v>
      </c>
      <c r="G808" s="52" t="str">
        <f>IF('PR Thương Hiệu'!G12="","",'PR Thương Hiệu'!G12)</f>
        <v>ĐỖ THỊ THU HOÀI</v>
      </c>
      <c r="H808" s="52" t="str">
        <f>IF('PR Thương Hiệu'!J12="","",'PR Thương Hiệu'!J12)</f>
        <v>Kiểm duyệt viên</v>
      </c>
      <c r="I808" s="52" t="str">
        <f>IF('PR Thương Hiệu'!M12="","",'PR Thương Hiệu'!M12)</f>
        <v/>
      </c>
      <c r="J808" s="52" t="str">
        <f>IF('PR Thương Hiệu'!R12="","",'PR Thương Hiệu'!R12)</f>
        <v/>
      </c>
      <c r="K808" s="52" t="str">
        <f t="array" ref="K808">IF(COUNTA('PR Thương Hiệu'!T12:AE12)=0,"",INDEX('PR Thương Hiệu'!T12:AE12,1,SUMPRODUCT(MAX(('PR Thương Hiệu'!T12:AE12&lt;&gt;"")*(COLUMN('PR Thương Hiệu'!T12:AE12)-COLUMN('PR Thương Hiệu'!T12)+1)))))</f>
        <v/>
      </c>
      <c r="L808" s="52" t="str">
        <f>IF(AND(G808&lt;&gt;"",G808='Tổng hợp'!$C$4),MAX(L$1:L807)+1,"")</f>
        <v/>
      </c>
    </row>
    <row r="809" ht="15.75" customHeight="1">
      <c r="A809" s="52" t="str">
        <f>IF('PR Thương Hiệu'!C13="","","PR Thương Hiệu")</f>
        <v>PR Thương Hiệu</v>
      </c>
      <c r="B809" s="52" t="str">
        <f>IF('PR Thương Hiệu'!B13="","",'PR Thương Hiệu'!B13)</f>
        <v>PR-008</v>
      </c>
      <c r="C809" s="52" t="str">
        <f>IF('PR Thương Hiệu'!C13="","",'PR Thương Hiệu'!C13)</f>
        <v>Nhóm</v>
      </c>
      <c r="D809" s="79" t="str">
        <f>IF('PR Thương Hiệu'!D13="","",'PR Thương Hiệu'!D13)</f>
        <v>6550407141679776</v>
      </c>
      <c r="E809" s="52" t="str">
        <f>IF('PR Thương Hiệu'!E13="","",'PR Thương Hiệu'!E13)</f>
        <v>REVIEW THẨM MỸ VÙNG KÍN - TẠO HÌNH CÔ BÉ</v>
      </c>
      <c r="F809" s="134" t="str">
        <f>IF('PR Thương Hiệu'!F13="","",'PR Thương Hiệu'!F13)</f>
        <v>https://www.facebook.com/groups/6550407141679776</v>
      </c>
      <c r="G809" s="52" t="str">
        <f>IF('PR Thương Hiệu'!G13="","",'PR Thương Hiệu'!G13)</f>
        <v>ĐỖ THỊ THU HOÀI</v>
      </c>
      <c r="H809" s="52" t="str">
        <f>IF('PR Thương Hiệu'!J13="","",'PR Thương Hiệu'!J13)</f>
        <v>Kiểm duyệt viên</v>
      </c>
      <c r="I809" s="52" t="str">
        <f>IF('PR Thương Hiệu'!M13="","",'PR Thương Hiệu'!M13)</f>
        <v/>
      </c>
      <c r="J809" s="52" t="str">
        <f>IF('PR Thương Hiệu'!R13="","",'PR Thương Hiệu'!R13)</f>
        <v/>
      </c>
      <c r="K809" s="52" t="str">
        <f t="array" ref="K809">IF(COUNTA('PR Thương Hiệu'!T13:AE13)=0,"",INDEX('PR Thương Hiệu'!T13:AE13,1,SUMPRODUCT(MAX(('PR Thương Hiệu'!T13:AE13&lt;&gt;"")*(COLUMN('PR Thương Hiệu'!T13:AE13)-COLUMN('PR Thương Hiệu'!T13)+1)))))</f>
        <v/>
      </c>
      <c r="L809" s="52" t="str">
        <f>IF(AND(G809&lt;&gt;"",G809='Tổng hợp'!$C$4),MAX(L$1:L808)+1,"")</f>
        <v/>
      </c>
    </row>
    <row r="810" ht="15.75" customHeight="1">
      <c r="A810" s="52" t="str">
        <f>IF('PR Thương Hiệu'!C14="","","PR Thương Hiệu")</f>
        <v>PR Thương Hiệu</v>
      </c>
      <c r="B810" s="52" t="str">
        <f>IF('PR Thương Hiệu'!B14="","",'PR Thương Hiệu'!B14)</f>
        <v>PR-009</v>
      </c>
      <c r="C810" s="52" t="str">
        <f>IF('PR Thương Hiệu'!C14="","",'PR Thương Hiệu'!C14)</f>
        <v>Nhóm</v>
      </c>
      <c r="D810" s="79" t="str">
        <f>IF('PR Thương Hiệu'!D14="","",'PR Thương Hiệu'!D14)</f>
        <v>443897823755710</v>
      </c>
      <c r="E810" s="52" t="str">
        <f>IF('PR Thương Hiệu'!E14="","",'PR Thương Hiệu'!E14)</f>
        <v>APEXMED – Nghiện Làm Đẹp &amp; Thẩm Mỹ</v>
      </c>
      <c r="F810" s="134" t="str">
        <f>IF('PR Thương Hiệu'!F14="","",'PR Thương Hiệu'!F14)</f>
        <v>https://www.facebook.com/groups/443897823755710</v>
      </c>
      <c r="G810" s="52" t="str">
        <f>IF('PR Thương Hiệu'!G14="","",'PR Thương Hiệu'!G14)</f>
        <v>LÊ HẠNH QUYÊN</v>
      </c>
      <c r="H810" s="52" t="str">
        <f>IF('PR Thương Hiệu'!J14="","",'PR Thương Hiệu'!J14)</f>
        <v>Kiểm duyệt viên</v>
      </c>
      <c r="I810" s="52" t="str">
        <f>IF('PR Thương Hiệu'!M14="","",'PR Thương Hiệu'!M14)</f>
        <v/>
      </c>
      <c r="J810" s="52" t="str">
        <f>IF('PR Thương Hiệu'!R14="","",'PR Thương Hiệu'!R14)</f>
        <v/>
      </c>
      <c r="K810" s="52" t="str">
        <f t="array" ref="K810">IF(COUNTA('PR Thương Hiệu'!T14:AE14)=0,"",INDEX('PR Thương Hiệu'!T14:AE14,1,SUMPRODUCT(MAX(('PR Thương Hiệu'!T14:AE14&lt;&gt;"")*(COLUMN('PR Thương Hiệu'!T14:AE14)-COLUMN('PR Thương Hiệu'!T14)+1)))))</f>
        <v/>
      </c>
      <c r="L810" s="52" t="str">
        <f>IF(AND(G810&lt;&gt;"",G810='Tổng hợp'!$C$4),MAX(L$1:L809)+1,"")</f>
        <v/>
      </c>
    </row>
    <row r="811" ht="15.75" customHeight="1">
      <c r="A811" s="52" t="str">
        <f>IF('PR Thương Hiệu'!C15="","","PR Thương Hiệu")</f>
        <v>PR Thương Hiệu</v>
      </c>
      <c r="B811" s="52" t="str">
        <f>IF('PR Thương Hiệu'!B15="","",'PR Thương Hiệu'!B15)</f>
        <v>PR-010</v>
      </c>
      <c r="C811" s="52" t="str">
        <f>IF('PR Thương Hiệu'!C15="","",'PR Thương Hiệu'!C15)</f>
        <v>Nhóm</v>
      </c>
      <c r="D811" s="79" t="str">
        <f>IF('PR Thương Hiệu'!D15="","",'PR Thương Hiệu'!D15)</f>
        <v>531411745613668</v>
      </c>
      <c r="E811" s="52" t="str">
        <f>IF('PR Thương Hiệu'!E15="","",'PR Thương Hiệu'!E15)</f>
        <v>Tâm Sự EVA - Thẩm Mỹ Vùng Kín</v>
      </c>
      <c r="F811" s="134" t="str">
        <f>IF('PR Thương Hiệu'!F15="","",'PR Thương Hiệu'!F15)</f>
        <v>https://www.facebook.com/groups/531411745613668</v>
      </c>
      <c r="G811" s="52" t="str">
        <f>IF('PR Thương Hiệu'!G15="","",'PR Thương Hiệu'!G15)</f>
        <v>LÊ HẠNH QUYÊN</v>
      </c>
      <c r="H811" s="52" t="str">
        <f>IF('PR Thương Hiệu'!J15="","",'PR Thương Hiệu'!J15)</f>
        <v>Kiểm duyệt viên</v>
      </c>
      <c r="I811" s="52" t="str">
        <f>IF('PR Thương Hiệu'!M15="","",'PR Thương Hiệu'!M15)</f>
        <v/>
      </c>
      <c r="J811" s="52" t="str">
        <f>IF('PR Thương Hiệu'!R15="","",'PR Thương Hiệu'!R15)</f>
        <v/>
      </c>
      <c r="K811" s="52" t="str">
        <f t="array" ref="K811">IF(COUNTA('PR Thương Hiệu'!T15:AE15)=0,"",INDEX('PR Thương Hiệu'!T15:AE15,1,SUMPRODUCT(MAX(('PR Thương Hiệu'!T15:AE15&lt;&gt;"")*(COLUMN('PR Thương Hiệu'!T15:AE15)-COLUMN('PR Thương Hiệu'!T15)+1)))))</f>
        <v/>
      </c>
      <c r="L811" s="52" t="str">
        <f>IF(AND(G811&lt;&gt;"",G811='Tổng hợp'!$C$4),MAX(L$1:L810)+1,"")</f>
        <v/>
      </c>
    </row>
    <row r="812" ht="15.75" customHeight="1">
      <c r="A812" s="52" t="str">
        <f>IF('PR Thương Hiệu'!C16="","","PR Thương Hiệu")</f>
        <v>PR Thương Hiệu</v>
      </c>
      <c r="B812" s="52" t="str">
        <f>IF('PR Thương Hiệu'!B16="","",'PR Thương Hiệu'!B16)</f>
        <v>PR-011</v>
      </c>
      <c r="C812" s="52" t="str">
        <f>IF('PR Thương Hiệu'!C16="","",'PR Thương Hiệu'!C16)</f>
        <v>Nhóm</v>
      </c>
      <c r="D812" s="79" t="str">
        <f>IF('PR Thương Hiệu'!D16="","",'PR Thương Hiệu'!D16)</f>
        <v>284783797619080</v>
      </c>
      <c r="E812" s="52" t="str">
        <f>IF('PR Thương Hiệu'!E16="","",'PR Thương Hiệu'!E16)</f>
        <v>Chia sẻ Kinh nghiệm Thẩm mỹ Vùng kín từ A-Z</v>
      </c>
      <c r="F812" s="134" t="str">
        <f>IF('PR Thương Hiệu'!F16="","",'PR Thương Hiệu'!F16)</f>
        <v>https://www.facebook.com/groups/284783797619080</v>
      </c>
      <c r="G812" s="52" t="str">
        <f>IF('PR Thương Hiệu'!G16="","",'PR Thương Hiệu'!G16)</f>
        <v>LÊ HẠNH QUYÊN</v>
      </c>
      <c r="H812" s="52" t="str">
        <f>IF('PR Thương Hiệu'!J16="","",'PR Thương Hiệu'!J16)</f>
        <v>Kiểm duyệt viên</v>
      </c>
      <c r="I812" s="52" t="str">
        <f>IF('PR Thương Hiệu'!M16="","",'PR Thương Hiệu'!M16)</f>
        <v/>
      </c>
      <c r="J812" s="52" t="str">
        <f>IF('PR Thương Hiệu'!R16="","",'PR Thương Hiệu'!R16)</f>
        <v/>
      </c>
      <c r="K812" s="52" t="str">
        <f t="array" ref="K812">IF(COUNTA('PR Thương Hiệu'!T16:AE16)=0,"",INDEX('PR Thương Hiệu'!T16:AE16,1,SUMPRODUCT(MAX(('PR Thương Hiệu'!T16:AE16&lt;&gt;"")*(COLUMN('PR Thương Hiệu'!T16:AE16)-COLUMN('PR Thương Hiệu'!T16)+1)))))</f>
        <v/>
      </c>
      <c r="L812" s="52" t="str">
        <f>IF(AND(G812&lt;&gt;"",G812='Tổng hợp'!$C$4),MAX(L$1:L811)+1,"")</f>
        <v/>
      </c>
    </row>
    <row r="813" ht="15.75" customHeight="1">
      <c r="A813" s="52" t="str">
        <f>IF('PR Thương Hiệu'!C17="","","PR Thương Hiệu")</f>
        <v>PR Thương Hiệu</v>
      </c>
      <c r="B813" s="52" t="str">
        <f>IF('PR Thương Hiệu'!B17="","",'PR Thương Hiệu'!B17)</f>
        <v>PR-012</v>
      </c>
      <c r="C813" s="52" t="str">
        <f>IF('PR Thương Hiệu'!C17="","",'PR Thương Hiệu'!C17)</f>
        <v>Nhóm</v>
      </c>
      <c r="D813" s="79" t="str">
        <f>IF('PR Thương Hiệu'!D17="","",'PR Thương Hiệu'!D17)</f>
        <v>824499352169302</v>
      </c>
      <c r="E813" s="52" t="str">
        <f>IF('PR Thương Hiệu'!E17="","",'PR Thương Hiệu'!E17)</f>
        <v>KINH NGHIỆM PTTT CÔ BÉ ( PHỐT TMV, BS KHÔNG CÓ TÂM )</v>
      </c>
      <c r="F813" s="134" t="str">
        <f>IF('PR Thương Hiệu'!F17="","",'PR Thương Hiệu'!F17)</f>
        <v>https://www.facebook.com/groups/824499352169302</v>
      </c>
      <c r="G813" s="52" t="str">
        <f>IF('PR Thương Hiệu'!G17="","",'PR Thương Hiệu'!G17)</f>
        <v>PHÙNG HOÀNG PHƯỢNG</v>
      </c>
      <c r="H813" s="52" t="str">
        <f>IF('PR Thương Hiệu'!J17="","",'PR Thương Hiệu'!J17)</f>
        <v>Kiểm duyệt viên</v>
      </c>
      <c r="I813" s="52" t="str">
        <f>IF('PR Thương Hiệu'!M17="","",'PR Thương Hiệu'!M17)</f>
        <v/>
      </c>
      <c r="J813" s="52" t="str">
        <f>IF('PR Thương Hiệu'!R17="","",'PR Thương Hiệu'!R17)</f>
        <v/>
      </c>
      <c r="K813" s="52" t="str">
        <f t="array" ref="K813">IF(COUNTA('PR Thương Hiệu'!T17:AE17)=0,"",INDEX('PR Thương Hiệu'!T17:AE17,1,SUMPRODUCT(MAX(('PR Thương Hiệu'!T17:AE17&lt;&gt;"")*(COLUMN('PR Thương Hiệu'!T17:AE17)-COLUMN('PR Thương Hiệu'!T17)+1)))))</f>
        <v/>
      </c>
      <c r="L813" s="52" t="str">
        <f>IF(AND(G813&lt;&gt;"",G813='Tổng hợp'!$C$4),MAX(L$1:L812)+1,"")</f>
        <v/>
      </c>
    </row>
    <row r="814" ht="15.75" customHeight="1">
      <c r="A814" s="52" t="str">
        <f>IF('PR Thương Hiệu'!C18="","","PR Thương Hiệu")</f>
        <v>PR Thương Hiệu</v>
      </c>
      <c r="B814" s="52" t="str">
        <f>IF('PR Thương Hiệu'!B18="","",'PR Thương Hiệu'!B18)</f>
        <v>PR-013</v>
      </c>
      <c r="C814" s="52" t="str">
        <f>IF('PR Thương Hiệu'!C18="","",'PR Thương Hiệu'!C18)</f>
        <v>Nhóm</v>
      </c>
      <c r="D814" s="79" t="str">
        <f>IF('PR Thương Hiệu'!D18="","",'PR Thương Hiệu'!D18)</f>
        <v>695743015705652</v>
      </c>
      <c r="E814" s="52" t="str">
        <f>IF('PR Thương Hiệu'!E18="","",'PR Thương Hiệu'!E18)</f>
        <v>REVIEW CHIA SẺ KINH NGHIỆM THẨM MỸ VÙNG KÍN - THU HẸP CÔ BÉ</v>
      </c>
      <c r="F814" s="134" t="str">
        <f>IF('PR Thương Hiệu'!F18="","",'PR Thương Hiệu'!F18)</f>
        <v>https://www.facebook.com/groups/695743015705652</v>
      </c>
      <c r="G814" s="52" t="str">
        <f>IF('PR Thương Hiệu'!G18="","",'PR Thương Hiệu'!G18)</f>
        <v>PHÙNG HOÀNG PHƯỢNG</v>
      </c>
      <c r="H814" s="52" t="str">
        <f>IF('PR Thương Hiệu'!J18="","",'PR Thương Hiệu'!J18)</f>
        <v>Kiểm duyệt viên</v>
      </c>
      <c r="I814" s="52" t="str">
        <f>IF('PR Thương Hiệu'!M18="","",'PR Thương Hiệu'!M18)</f>
        <v/>
      </c>
      <c r="J814" s="52" t="str">
        <f>IF('PR Thương Hiệu'!R18="","",'PR Thương Hiệu'!R18)</f>
        <v/>
      </c>
      <c r="K814" s="52" t="str">
        <f t="array" ref="K814">IF(COUNTA('PR Thương Hiệu'!T18:AE18)=0,"",INDEX('PR Thương Hiệu'!T18:AE18,1,SUMPRODUCT(MAX(('PR Thương Hiệu'!T18:AE18&lt;&gt;"")*(COLUMN('PR Thương Hiệu'!T18:AE18)-COLUMN('PR Thương Hiệu'!T18)+1)))))</f>
        <v/>
      </c>
      <c r="L814" s="52" t="str">
        <f>IF(AND(G814&lt;&gt;"",G814='Tổng hợp'!$C$4),MAX(L$1:L813)+1,"")</f>
        <v/>
      </c>
    </row>
    <row r="815" ht="15.75" customHeight="1">
      <c r="A815" s="52" t="str">
        <f>IF('PR Thương Hiệu'!C19="","","PR Thương Hiệu")</f>
        <v>PR Thương Hiệu</v>
      </c>
      <c r="B815" s="52" t="str">
        <f>IF('PR Thương Hiệu'!B19="","",'PR Thương Hiệu'!B19)</f>
        <v>PR-014</v>
      </c>
      <c r="C815" s="52" t="str">
        <f>IF('PR Thương Hiệu'!C19="","",'PR Thương Hiệu'!C19)</f>
        <v>Nhóm</v>
      </c>
      <c r="D815" s="79" t="str">
        <f>IF('PR Thương Hiệu'!D19="","",'PR Thương Hiệu'!D19)</f>
        <v>482814113071233</v>
      </c>
      <c r="E815" s="52" t="str">
        <f>IF('PR Thương Hiệu'!E19="","",'PR Thương Hiệu'!E19)</f>
        <v>Review Thẩm mỹ APEXMED – Đẹp Thật, Nói Thật</v>
      </c>
      <c r="F815" s="134" t="str">
        <f>IF('PR Thương Hiệu'!F19="","",'PR Thương Hiệu'!F19)</f>
        <v>https://www.facebook.com/groups/nhomkhachhangthepyo</v>
      </c>
      <c r="G815" s="52" t="str">
        <f>IF('PR Thương Hiệu'!G19="","",'PR Thương Hiệu'!G19)</f>
        <v>PHÙNG HOÀNG PHƯỢNG</v>
      </c>
      <c r="H815" s="52" t="str">
        <f>IF('PR Thương Hiệu'!J19="","",'PR Thương Hiệu'!J19)</f>
        <v>Kiểm duyệt viên</v>
      </c>
      <c r="I815" s="52" t="str">
        <f>IF('PR Thương Hiệu'!M19="","",'PR Thương Hiệu'!M19)</f>
        <v/>
      </c>
      <c r="J815" s="52" t="str">
        <f>IF('PR Thương Hiệu'!R19="","",'PR Thương Hiệu'!R19)</f>
        <v/>
      </c>
      <c r="K815" s="52" t="str">
        <f t="array" ref="K815">IF(COUNTA('PR Thương Hiệu'!T19:AE19)=0,"",INDEX('PR Thương Hiệu'!T19:AE19,1,SUMPRODUCT(MAX(('PR Thương Hiệu'!T19:AE19&lt;&gt;"")*(COLUMN('PR Thương Hiệu'!T19:AE19)-COLUMN('PR Thương Hiệu'!T19)+1)))))</f>
        <v/>
      </c>
      <c r="L815" s="52" t="str">
        <f>IF(AND(G815&lt;&gt;"",G815='Tổng hợp'!$C$4),MAX(L$1:L814)+1,"")</f>
        <v/>
      </c>
    </row>
    <row r="816" ht="15.75" customHeight="1">
      <c r="A816" s="52" t="str">
        <f>IF('PR Thương Hiệu'!C20="","","PR Thương Hiệu")</f>
        <v>PR Thương Hiệu</v>
      </c>
      <c r="B816" s="52" t="str">
        <f>IF('PR Thương Hiệu'!B20="","",'PR Thương Hiệu'!B20)</f>
        <v>PR-015</v>
      </c>
      <c r="C816" s="52" t="str">
        <f>IF('PR Thương Hiệu'!C20="","",'PR Thương Hiệu'!C20)</f>
        <v>Nhóm</v>
      </c>
      <c r="D816" s="79" t="str">
        <f>IF('PR Thương Hiệu'!D20="","",'PR Thương Hiệu'!D20)</f>
        <v>776125762224045</v>
      </c>
      <c r="E816" s="52" t="str">
        <f>IF('PR Thương Hiệu'!E20="","",'PR Thương Hiệu'!E20)</f>
        <v>HỘI REVIEW LÀM ĐẸP - THẨM MỸ CÔ BÉ</v>
      </c>
      <c r="F816" s="134" t="str">
        <f>IF('PR Thương Hiệu'!F20="","",'PR Thương Hiệu'!F20)</f>
        <v>https://www.facebook.com/groups/776125762224045</v>
      </c>
      <c r="G816" s="52" t="str">
        <f>IF('PR Thương Hiệu'!G20="","",'PR Thương Hiệu'!G20)</f>
        <v>PHÙNG HOÀNG PHƯỢNG</v>
      </c>
      <c r="H816" s="52" t="str">
        <f>IF('PR Thương Hiệu'!J20="","",'PR Thương Hiệu'!J20)</f>
        <v>Kiểm duyệt viên</v>
      </c>
      <c r="I816" s="52" t="str">
        <f>IF('PR Thương Hiệu'!M20="","",'PR Thương Hiệu'!M20)</f>
        <v/>
      </c>
      <c r="J816" s="52" t="str">
        <f>IF('PR Thương Hiệu'!R20="","",'PR Thương Hiệu'!R20)</f>
        <v/>
      </c>
      <c r="K816" s="52" t="str">
        <f t="array" ref="K816">IF(COUNTA('PR Thương Hiệu'!T20:AE20)=0,"",INDEX('PR Thương Hiệu'!T20:AE20,1,SUMPRODUCT(MAX(('PR Thương Hiệu'!T20:AE20&lt;&gt;"")*(COLUMN('PR Thương Hiệu'!T20:AE20)-COLUMN('PR Thương Hiệu'!T20)+1)))))</f>
        <v/>
      </c>
      <c r="L816" s="52" t="str">
        <f>IF(AND(G816&lt;&gt;"",G816='Tổng hợp'!$C$4),MAX(L$1:L815)+1,"")</f>
        <v/>
      </c>
    </row>
    <row r="817" ht="15.75" customHeight="1">
      <c r="A817" s="52" t="str">
        <f>IF('PR Thương Hiệu'!C21="","","PR Thương Hiệu")</f>
        <v>PR Thương Hiệu</v>
      </c>
      <c r="B817" s="52" t="str">
        <f>IF('PR Thương Hiệu'!B21="","",'PR Thương Hiệu'!B21)</f>
        <v>PR-016</v>
      </c>
      <c r="C817" s="52" t="str">
        <f>IF('PR Thương Hiệu'!C21="","",'PR Thương Hiệu'!C21)</f>
        <v>Page</v>
      </c>
      <c r="D817" s="79" t="str">
        <f>IF('PR Thương Hiệu'!D21="","",'PR Thương Hiệu'!D21)</f>
        <v>100093071967592</v>
      </c>
      <c r="E817" s="52" t="str">
        <f>IF('PR Thương Hiệu'!E21="","",'PR Thương Hiệu'!E21)</f>
        <v>BS. Tiến Sĩ Vũ Trọng Tiến
</v>
      </c>
      <c r="F817" s="134" t="str">
        <f>IF('PR Thương Hiệu'!F21="","",'PR Thương Hiệu'!F21)</f>
        <v>https://www.facebook.com/TIENSI.VUTRONGTIEN</v>
      </c>
      <c r="G817" s="52" t="str">
        <f>IF('PR Thương Hiệu'!G21="","",'PR Thương Hiệu'!G21)</f>
        <v>ĐỖ THỊ THU HOÀI</v>
      </c>
      <c r="H817" s="52" t="str">
        <f>IF('PR Thương Hiệu'!J21="","",'PR Thương Hiệu'!J21)</f>
        <v>Kiểm duyệt viên</v>
      </c>
      <c r="I817" s="52" t="str">
        <f>IF('PR Thương Hiệu'!M21="","",'PR Thương Hiệu'!M21)</f>
        <v>Không rõ</v>
      </c>
      <c r="J817" s="52" t="str">
        <f>IF('PR Thương Hiệu'!R21="","",'PR Thương Hiệu'!R21)</f>
        <v/>
      </c>
      <c r="K817" s="52" t="str">
        <f t="array" ref="K817">IF(COUNTA('PR Thương Hiệu'!T21:AE21)=0,"",INDEX('PR Thương Hiệu'!T21:AE21,1,SUMPRODUCT(MAX(('PR Thương Hiệu'!T21:AE21&lt;&gt;"")*(COLUMN('PR Thương Hiệu'!T21:AE21)-COLUMN('PR Thương Hiệu'!T21)+1)))))</f>
        <v/>
      </c>
      <c r="L817" s="52" t="str">
        <f>IF(AND(G817&lt;&gt;"",G817='Tổng hợp'!$C$4),MAX(L$1:L816)+1,"")</f>
        <v/>
      </c>
    </row>
    <row r="818" ht="15.75" customHeight="1">
      <c r="A818" s="52" t="str">
        <f>IF('PR Thương Hiệu'!C22="","","PR Thương Hiệu")</f>
        <v>PR Thương Hiệu</v>
      </c>
      <c r="B818" s="52" t="str">
        <f>IF('PR Thương Hiệu'!B22="","",'PR Thương Hiệu'!B22)</f>
        <v>PR-017</v>
      </c>
      <c r="C818" s="52" t="str">
        <f>IF('PR Thương Hiệu'!C22="","",'PR Thương Hiệu'!C22)</f>
        <v>Nhóm</v>
      </c>
      <c r="D818" s="79" t="str">
        <f>IF('PR Thương Hiệu'!D22="","",'PR Thương Hiệu'!D22)</f>
        <v>1722092492110074</v>
      </c>
      <c r="E818" s="52" t="str">
        <f>IF('PR Thương Hiệu'!E22="","",'PR Thương Hiệu'!E22)</f>
        <v>Hội Nghiện Chồng Việt Nam</v>
      </c>
      <c r="F818" s="134" t="str">
        <f>IF('PR Thương Hiệu'!F22="","",'PR Thương Hiệu'!F22)</f>
        <v>https://www.facebook.com/groups/1722092492110074</v>
      </c>
      <c r="G818" s="52" t="str">
        <f>IF('PR Thương Hiệu'!G22="","",'PR Thương Hiệu'!G22)</f>
        <v>LÊ HẠNH QUYÊN</v>
      </c>
      <c r="H818" s="52" t="str">
        <f>IF('PR Thương Hiệu'!J22="","",'PR Thương Hiệu'!J22)</f>
        <v>Kiểm duyệt viên</v>
      </c>
      <c r="I818" s="52" t="str">
        <f>IF('PR Thương Hiệu'!M22="","",'PR Thương Hiệu'!M22)</f>
        <v/>
      </c>
      <c r="J818" s="52" t="str">
        <f>IF('PR Thương Hiệu'!R22="","",'PR Thương Hiệu'!R22)</f>
        <v/>
      </c>
      <c r="K818" s="52" t="str">
        <f t="array" ref="K818">IF(COUNTA('PR Thương Hiệu'!T22:AE22)=0,"",INDEX('PR Thương Hiệu'!T22:AE22,1,SUMPRODUCT(MAX(('PR Thương Hiệu'!T22:AE22&lt;&gt;"")*(COLUMN('PR Thương Hiệu'!T22:AE22)-COLUMN('PR Thương Hiệu'!T22)+1)))))</f>
        <v/>
      </c>
      <c r="L818" s="52" t="str">
        <f>IF(AND(G818&lt;&gt;"",G818='Tổng hợp'!$C$4),MAX(L$1:L817)+1,"")</f>
        <v/>
      </c>
    </row>
    <row r="819" ht="15.75" customHeight="1">
      <c r="A819" s="52" t="str">
        <f>IF('PR Thương Hiệu'!C23="","","PR Thương Hiệu")</f>
        <v>PR Thương Hiệu</v>
      </c>
      <c r="B819" s="52" t="str">
        <f>IF('PR Thương Hiệu'!B23="","",'PR Thương Hiệu'!B23)</f>
        <v>PR-018</v>
      </c>
      <c r="C819" s="52" t="str">
        <f>IF('PR Thương Hiệu'!C23="","",'PR Thương Hiệu'!C23)</f>
        <v>Page</v>
      </c>
      <c r="D819" s="79" t="str">
        <f>IF('PR Thương Hiệu'!D23="","",'PR Thương Hiệu'!D23)</f>
        <v>61589580962520</v>
      </c>
      <c r="E819" s="52" t="str">
        <f>IF('PR Thương Hiệu'!E23="","",'PR Thương Hiệu'!E23)</f>
        <v>Bác sĩ David Bùi - Thẩm Mỹ Vùng Kín</v>
      </c>
      <c r="F819" s="134" t="str">
        <f>IF('PR Thương Hiệu'!F23="","",'PR Thương Hiệu'!F23)</f>
        <v>https://www.facebook.com/BacsiDavidBuichuanykhoa/</v>
      </c>
      <c r="G819" s="52" t="str">
        <f>IF('PR Thương Hiệu'!G23="","",'PR Thương Hiệu'!G23)</f>
        <v>LÊ HẠNH QUYÊN</v>
      </c>
      <c r="H819" s="52" t="str">
        <f>IF('PR Thương Hiệu'!J23="","",'PR Thương Hiệu'!J23)</f>
        <v>Kiểm duyệt viên</v>
      </c>
      <c r="I819" s="52" t="str">
        <f>IF('PR Thương Hiệu'!M23="","",'PR Thương Hiệu'!M23)</f>
        <v/>
      </c>
      <c r="J819" s="52" t="str">
        <f>IF('PR Thương Hiệu'!R23="","",'PR Thương Hiệu'!R23)</f>
        <v/>
      </c>
      <c r="K819" s="52" t="str">
        <f t="array" ref="K819">IF(COUNTA('PR Thương Hiệu'!T23:AE23)=0,"",INDEX('PR Thương Hiệu'!T23:AE23,1,SUMPRODUCT(MAX(('PR Thương Hiệu'!T23:AE23&lt;&gt;"")*(COLUMN('PR Thương Hiệu'!T23:AE23)-COLUMN('PR Thương Hiệu'!T23)+1)))))</f>
        <v/>
      </c>
      <c r="L819" s="52" t="str">
        <f>IF(AND(G819&lt;&gt;"",G819='Tổng hợp'!$C$4),MAX(L$1:L818)+1,"")</f>
        <v/>
      </c>
    </row>
    <row r="820" ht="15.75" customHeight="1">
      <c r="A820" s="52" t="str">
        <f>IF('PR Thương Hiệu'!C24="","","PR Thương Hiệu")</f>
        <v>PR Thương Hiệu</v>
      </c>
      <c r="B820" s="52" t="str">
        <f>IF('PR Thương Hiệu'!B24="","",'PR Thương Hiệu'!B24)</f>
        <v>PR-019</v>
      </c>
      <c r="C820" s="52" t="str">
        <f>IF('PR Thương Hiệu'!C24="","",'PR Thương Hiệu'!C24)</f>
        <v>Page</v>
      </c>
      <c r="D820" s="79" t="str">
        <f>IF('PR Thương Hiệu'!D24="","",'PR Thương Hiệu'!D24)</f>
        <v>61589580962520</v>
      </c>
      <c r="E820" s="52" t="str">
        <f>IF('PR Thương Hiệu'!E24="","",'PR Thương Hiệu'!E24)</f>
        <v>Bác sĩ David Bùi - Thẩm Mỹ Vùng Kín</v>
      </c>
      <c r="F820" s="134" t="str">
        <f>IF('PR Thương Hiệu'!F24="","",'PR Thương Hiệu'!F24)</f>
        <v>https://www.facebook.com/BacsiDavidBuichuanykhoa/</v>
      </c>
      <c r="G820" s="52" t="str">
        <f>IF('PR Thương Hiệu'!G24="","",'PR Thương Hiệu'!G24)</f>
        <v>TRẦN MINH ANH</v>
      </c>
      <c r="H820" s="52" t="str">
        <f>IF('PR Thương Hiệu'!J24="","",'PR Thương Hiệu'!J24)</f>
        <v>Biên tập viên</v>
      </c>
      <c r="I820" s="52" t="str">
        <f>IF('PR Thương Hiệu'!M24="","",'PR Thương Hiệu'!M24)</f>
        <v/>
      </c>
      <c r="J820" s="52" t="str">
        <f>IF('PR Thương Hiệu'!R24="","",'PR Thương Hiệu'!R24)</f>
        <v/>
      </c>
      <c r="K820" s="52" t="str">
        <f t="array" ref="K820">IF(COUNTA('PR Thương Hiệu'!T24:AE24)=0,"",INDEX('PR Thương Hiệu'!T24:AE24,1,SUMPRODUCT(MAX(('PR Thương Hiệu'!T24:AE24&lt;&gt;"")*(COLUMN('PR Thương Hiệu'!T24:AE24)-COLUMN('PR Thương Hiệu'!T24)+1)))))</f>
        <v/>
      </c>
      <c r="L820" s="52" t="str">
        <f>IF(AND(G820&lt;&gt;"",G820='Tổng hợp'!$C$4),MAX(L$1:L819)+1,"")</f>
        <v/>
      </c>
    </row>
    <row r="821" ht="15.75" customHeight="1">
      <c r="A821" s="52" t="str">
        <f>IF('PR Thương Hiệu'!C25="","","PR Thương Hiệu")</f>
        <v>PR Thương Hiệu</v>
      </c>
      <c r="B821" s="52" t="str">
        <f>IF('PR Thương Hiệu'!B25="","",'PR Thương Hiệu'!B25)</f>
        <v>PR-020</v>
      </c>
      <c r="C821" s="52" t="str">
        <f>IF('PR Thương Hiệu'!C25="","",'PR Thương Hiệu'!C25)</f>
        <v>Page</v>
      </c>
      <c r="D821" s="79" t="str">
        <f>IF('PR Thương Hiệu'!D25="","",'PR Thương Hiệu'!D25)</f>
        <v>61575809771897</v>
      </c>
      <c r="E821" s="52" t="str">
        <f>IF('PR Thương Hiệu'!E25="","",'PR Thương Hiệu'!E25)</f>
        <v>Bác Sĩ Vũ Trọng Tiến - Gỡ Rối Chăn Gối
</v>
      </c>
      <c r="F821" s="134" t="str">
        <f>IF('PR Thương Hiệu'!F25="","",'PR Thương Hiệu'!F25)</f>
        <v>https://www.facebook.com/Tamsucungbsvutrongtien.apexmed</v>
      </c>
      <c r="G821" s="52" t="str">
        <f>IF('PR Thương Hiệu'!G25="","",'PR Thương Hiệu'!G25)</f>
        <v>NGUYỄN THỊ ÁNH TUYẾT</v>
      </c>
      <c r="H821" s="52" t="str">
        <f>IF('PR Thương Hiệu'!J25="","",'PR Thương Hiệu'!J25)</f>
        <v>Biên tập viên</v>
      </c>
      <c r="I821" s="52" t="str">
        <f>IF('PR Thương Hiệu'!M25="","",'PR Thương Hiệu'!M25)</f>
        <v/>
      </c>
      <c r="J821" s="52" t="str">
        <f>IF('PR Thương Hiệu'!R25="","",'PR Thương Hiệu'!R25)</f>
        <v/>
      </c>
      <c r="K821" s="52" t="str">
        <f t="array" ref="K821">IF(COUNTA('PR Thương Hiệu'!T25:AE25)=0,"",INDEX('PR Thương Hiệu'!T25:AE25,1,SUMPRODUCT(MAX(('PR Thương Hiệu'!T25:AE25&lt;&gt;"")*(COLUMN('PR Thương Hiệu'!T25:AE25)-COLUMN('PR Thương Hiệu'!T25)+1)))))</f>
        <v/>
      </c>
      <c r="L821" s="52" t="str">
        <f>IF(AND(G821&lt;&gt;"",G821='Tổng hợp'!$C$4),MAX(L$1:L820)+1,"")</f>
        <v/>
      </c>
    </row>
    <row r="822" ht="15.75" customHeight="1">
      <c r="A822" s="52" t="str">
        <f>IF('PR Thương Hiệu'!C26="","","PR Thương Hiệu")</f>
        <v>PR Thương Hiệu</v>
      </c>
      <c r="B822" s="52" t="str">
        <f>IF('PR Thương Hiệu'!B26="","",'PR Thương Hiệu'!B26)</f>
        <v>PR-021</v>
      </c>
      <c r="C822" s="52" t="str">
        <f>IF('PR Thương Hiệu'!C26="","",'PR Thương Hiệu'!C26)</f>
        <v>Page</v>
      </c>
      <c r="D822" s="79" t="str">
        <f>IF('PR Thương Hiệu'!D26="","",'PR Thương Hiệu'!D26)</f>
        <v>100093071967592</v>
      </c>
      <c r="E822" s="52" t="str">
        <f>IF('PR Thương Hiệu'!E26="","",'PR Thương Hiệu'!E26)</f>
        <v>BS. Tiến Sĩ Vũ Trọng Tiến
</v>
      </c>
      <c r="F822" s="134" t="str">
        <f>IF('PR Thương Hiệu'!F26="","",'PR Thương Hiệu'!F26)</f>
        <v>https://www.facebook.com/TIENSI.VUTRONGTIEN/</v>
      </c>
      <c r="G822" s="52" t="str">
        <f>IF('PR Thương Hiệu'!G26="","",'PR Thương Hiệu'!G26)</f>
        <v>LÊ HUYỀN LINH</v>
      </c>
      <c r="H822" s="52" t="str">
        <f>IF('PR Thương Hiệu'!J26="","",'PR Thương Hiệu'!J26)</f>
        <v>Biên tập viên</v>
      </c>
      <c r="I822" s="52" t="str">
        <f>IF('PR Thương Hiệu'!M26="","",'PR Thương Hiệu'!M26)</f>
        <v>Không rõ</v>
      </c>
      <c r="J822" s="52" t="str">
        <f>IF('PR Thương Hiệu'!R26="","",'PR Thương Hiệu'!R26)</f>
        <v/>
      </c>
      <c r="K822" s="52" t="str">
        <f t="array" ref="K822">IF(COUNTA('PR Thương Hiệu'!T26:AE26)=0,"",INDEX('PR Thương Hiệu'!T26:AE26,1,SUMPRODUCT(MAX(('PR Thương Hiệu'!T26:AE26&lt;&gt;"")*(COLUMN('PR Thương Hiệu'!T26:AE26)-COLUMN('PR Thương Hiệu'!T26)+1)))))</f>
        <v/>
      </c>
      <c r="L822" s="52" t="str">
        <f>IF(AND(G822&lt;&gt;"",G822='Tổng hợp'!$C$4),MAX(L$1:L821)+1,"")</f>
        <v/>
      </c>
    </row>
    <row r="823" ht="15.75" customHeight="1">
      <c r="A823" s="52" t="str">
        <f>IF('PR Thương Hiệu'!C27="","","PR Thương Hiệu")</f>
        <v>PR Thương Hiệu</v>
      </c>
      <c r="B823" s="52" t="str">
        <f>IF('PR Thương Hiệu'!B27="","",'PR Thương Hiệu'!B27)</f>
        <v>PR-022</v>
      </c>
      <c r="C823" s="52" t="str">
        <f>IF('PR Thương Hiệu'!C27="","",'PR Thương Hiệu'!C27)</f>
        <v>Nhóm</v>
      </c>
      <c r="D823" s="79" t="str">
        <f>IF('PR Thương Hiệu'!D27="","",'PR Thương Hiệu'!D27)</f>
        <v>938568356885577</v>
      </c>
      <c r="E823" s="52" t="str">
        <f>IF('PR Thương Hiệu'!E27="","",'PR Thương Hiệu'!E27)</f>
        <v>APEXMED – Cộng đồng Làm đẹp Chuẩn Y khoa</v>
      </c>
      <c r="F823" s="134" t="str">
        <f>IF('PR Thương Hiệu'!F27="","",'PR Thương Hiệu'!F27)</f>
        <v>https://www.facebook.com/groups/938568356885577</v>
      </c>
      <c r="G823" s="52" t="str">
        <f>IF('PR Thương Hiệu'!G27="","",'PR Thương Hiệu'!G27)</f>
        <v>BÙI THỊ THANH HẰNG</v>
      </c>
      <c r="H823" s="52" t="str">
        <f>IF('PR Thương Hiệu'!J27="","",'PR Thương Hiệu'!J27)</f>
        <v>Kiểm duyệt viên</v>
      </c>
      <c r="I823" s="52" t="str">
        <f>IF('PR Thương Hiệu'!M27="","",'PR Thương Hiệu'!M27)</f>
        <v>Không rõ</v>
      </c>
      <c r="J823" s="52" t="str">
        <f>IF('PR Thương Hiệu'!R27="","",'PR Thương Hiệu'!R27)</f>
        <v/>
      </c>
      <c r="K823" s="52" t="str">
        <f t="array" ref="K823">IF(COUNTA('PR Thương Hiệu'!T27:AE27)=0,"",INDEX('PR Thương Hiệu'!T27:AE27,1,SUMPRODUCT(MAX(('PR Thương Hiệu'!T27:AE27&lt;&gt;"")*(COLUMN('PR Thương Hiệu'!T27:AE27)-COLUMN('PR Thương Hiệu'!T27)+1)))))</f>
        <v/>
      </c>
      <c r="L823" s="52" t="str">
        <f>IF(AND(G823&lt;&gt;"",G823='Tổng hợp'!$C$4),MAX(L$1:L822)+1,"")</f>
        <v/>
      </c>
    </row>
    <row r="824" ht="15.75" customHeight="1">
      <c r="A824" s="52" t="str">
        <f>IF('PR Thương Hiệu'!C28="","","PR Thương Hiệu")</f>
        <v>PR Thương Hiệu</v>
      </c>
      <c r="B824" s="52" t="str">
        <f>IF('PR Thương Hiệu'!B28="","",'PR Thương Hiệu'!B28)</f>
        <v>PR-023</v>
      </c>
      <c r="C824" s="52" t="str">
        <f>IF('PR Thương Hiệu'!C28="","",'PR Thương Hiệu'!C28)</f>
        <v>Page</v>
      </c>
      <c r="D824" s="79" t="str">
        <f>IF('PR Thương Hiệu'!D28="","",'PR Thương Hiệu'!D28)</f>
        <v>561278448430056</v>
      </c>
      <c r="E824" s="52" t="str">
        <f>IF('PR Thương Hiệu'!E28="","",'PR Thương Hiệu'!E28)</f>
        <v>APEXMED - Hỏi Đáp Kinh Nghiệm Làm Đẹp</v>
      </c>
      <c r="F824" s="134" t="str">
        <f>IF('PR Thương Hiệu'!F28="","",'PR Thương Hiệu'!F28)</f>
        <v>https://www.facebook.com/groups/phanhoikhachhangthepyo</v>
      </c>
      <c r="G824" s="52" t="str">
        <f>IF('PR Thương Hiệu'!G28="","",'PR Thương Hiệu'!G28)</f>
        <v>BÙI THỊ THANH HẰNG</v>
      </c>
      <c r="H824" s="52" t="str">
        <f>IF('PR Thương Hiệu'!J28="","",'PR Thương Hiệu'!J28)</f>
        <v>Kiểm duyệt viên</v>
      </c>
      <c r="I824" s="52" t="str">
        <f>IF('PR Thương Hiệu'!M28="","",'PR Thương Hiệu'!M28)</f>
        <v>Không rõ</v>
      </c>
      <c r="J824" s="52" t="str">
        <f>IF('PR Thương Hiệu'!R28="","",'PR Thương Hiệu'!R28)</f>
        <v/>
      </c>
      <c r="K824" s="52" t="str">
        <f t="array" ref="K824">IF(COUNTA('PR Thương Hiệu'!T28:AE28)=0,"",INDEX('PR Thương Hiệu'!T28:AE28,1,SUMPRODUCT(MAX(('PR Thương Hiệu'!T28:AE28&lt;&gt;"")*(COLUMN('PR Thương Hiệu'!T28:AE28)-COLUMN('PR Thương Hiệu'!T28)+1)))))</f>
        <v/>
      </c>
      <c r="L824" s="52" t="str">
        <f>IF(AND(G824&lt;&gt;"",G824='Tổng hợp'!$C$4),MAX(L$1:L823)+1,"")</f>
        <v/>
      </c>
    </row>
    <row r="825" ht="15.75" customHeight="1">
      <c r="A825" s="52" t="str">
        <f>IF('PR Thương Hiệu'!C29="","","PR Thương Hiệu")</f>
        <v>PR Thương Hiệu</v>
      </c>
      <c r="B825" s="52" t="str">
        <f>IF('PR Thương Hiệu'!B29="","",'PR Thương Hiệu'!B29)</f>
        <v>PR-024</v>
      </c>
      <c r="C825" s="52" t="str">
        <f>IF('PR Thương Hiệu'!C29="","",'PR Thương Hiệu'!C29)</f>
        <v>Page</v>
      </c>
      <c r="D825" s="79" t="str">
        <f>IF('PR Thương Hiệu'!D29="","",'PR Thương Hiệu'!D29)</f>
        <v>61551384424410</v>
      </c>
      <c r="E825" s="52" t="str">
        <f>IF('PR Thương Hiệu'!E29="","",'PR Thương Hiệu'!E29)</f>
        <v>Phòng khám thẩm mỹ Apexmed</v>
      </c>
      <c r="F825" s="134" t="str">
        <f>IF('PR Thương Hiệu'!F29="","",'PR Thương Hiệu'!F29)</f>
        <v>https://www.facebook.com/thammyApexmed/</v>
      </c>
      <c r="G825" s="52" t="str">
        <f>IF('PR Thương Hiệu'!G29="","",'PR Thương Hiệu'!G29)</f>
        <v>BÙI THỊ LƯU</v>
      </c>
      <c r="H825" s="52" t="str">
        <f>IF('PR Thương Hiệu'!J29="","",'PR Thương Hiệu'!J29)</f>
        <v>Biên tập viên</v>
      </c>
      <c r="I825" s="52" t="str">
        <f>IF('PR Thương Hiệu'!M29="","",'PR Thương Hiệu'!M29)</f>
        <v/>
      </c>
      <c r="J825" s="52" t="str">
        <f>IF('PR Thương Hiệu'!R29="","",'PR Thương Hiệu'!R29)</f>
        <v/>
      </c>
      <c r="K825" s="52" t="str">
        <f t="array" ref="K825">IF(COUNTA('PR Thương Hiệu'!T29:AE29)=0,"",INDEX('PR Thương Hiệu'!T29:AE29,1,SUMPRODUCT(MAX(('PR Thương Hiệu'!T29:AE29&lt;&gt;"")*(COLUMN('PR Thương Hiệu'!T29:AE29)-COLUMN('PR Thương Hiệu'!T29)+1)))))</f>
        <v/>
      </c>
      <c r="L825" s="52" t="str">
        <f>IF(AND(G825&lt;&gt;"",G825='Tổng hợp'!$C$4),MAX(L$1:L824)+1,"")</f>
        <v/>
      </c>
    </row>
    <row r="826" ht="15.75" customHeight="1">
      <c r="A826" s="52" t="str">
        <f>IF('PR Thương Hiệu'!C30="","","PR Thương Hiệu")</f>
        <v>PR Thương Hiệu</v>
      </c>
      <c r="B826" s="52" t="str">
        <f>IF('PR Thương Hiệu'!B30="","",'PR Thương Hiệu'!B30)</f>
        <v>PR-024</v>
      </c>
      <c r="C826" s="52" t="str">
        <f>IF('PR Thương Hiệu'!C30="","",'PR Thương Hiệu'!C30)</f>
        <v>Page</v>
      </c>
      <c r="D826" s="79" t="str">
        <f>IF('PR Thương Hiệu'!D30="","",'PR Thương Hiệu'!D30)</f>
        <v>100085110529221</v>
      </c>
      <c r="E826" s="52" t="str">
        <f>IF('PR Thương Hiệu'!E30="","",'PR Thương Hiệu'!E30)</f>
        <v>Phòng Khám Thẩm Mỹ Apexmed - Kiến Tạo Vẻ Đẹp Chuẩn Y Khoa</v>
      </c>
      <c r="F826" s="134" t="str">
        <f>IF('PR Thương Hiệu'!F30="","",'PR Thương Hiệu'!F30)</f>
        <v>https://www.facebook.com/phongkhamthammyApexmed</v>
      </c>
      <c r="G826" s="52" t="str">
        <f>IF('PR Thương Hiệu'!G30="","",'PR Thương Hiệu'!G30)</f>
        <v>BÙI THỊ LƯU</v>
      </c>
      <c r="H826" s="52" t="str">
        <f>IF('PR Thương Hiệu'!J30="","",'PR Thương Hiệu'!J30)</f>
        <v>Biên tập viên</v>
      </c>
      <c r="I826" s="52" t="str">
        <f>IF('PR Thương Hiệu'!M30="","",'PR Thương Hiệu'!M30)</f>
        <v/>
      </c>
      <c r="J826" s="52" t="str">
        <f>IF('PR Thương Hiệu'!R30="","",'PR Thương Hiệu'!R30)</f>
        <v/>
      </c>
      <c r="K826" s="52" t="str">
        <f t="array" ref="K826">IF(COUNTA('PR Thương Hiệu'!T30:AE30)=0,"",INDEX('PR Thương Hiệu'!T30:AE30,1,SUMPRODUCT(MAX(('PR Thương Hiệu'!T30:AE30&lt;&gt;"")*(COLUMN('PR Thương Hiệu'!T30:AE30)-COLUMN('PR Thương Hiệu'!T30)+1)))))</f>
        <v/>
      </c>
      <c r="L826" s="52" t="str">
        <f>IF(AND(G826&lt;&gt;"",G826='Tổng hợp'!$C$4),MAX(L$1:L825)+1,"")</f>
        <v/>
      </c>
    </row>
    <row r="827" ht="15.75" customHeight="1">
      <c r="A827" s="52" t="str">
        <f>IF('PR Thương Hiệu'!C31="","","PR Thương Hiệu")</f>
        <v>PR Thương Hiệu</v>
      </c>
      <c r="B827" s="52" t="str">
        <f>IF('PR Thương Hiệu'!B31="","",'PR Thương Hiệu'!B31)</f>
        <v>PR-025</v>
      </c>
      <c r="C827" s="52" t="str">
        <f>IF('PR Thương Hiệu'!C31="","",'PR Thương Hiệu'!C31)</f>
        <v>Page</v>
      </c>
      <c r="D827" s="79" t="str">
        <f>IF('PR Thương Hiệu'!D31="","",'PR Thương Hiệu'!D31)</f>
        <v>100085218763055</v>
      </c>
      <c r="E827" s="52" t="str">
        <f>IF('PR Thương Hiệu'!E31="","",'PR Thương Hiệu'!E31)</f>
        <v>Thẩm Mỹ Apexmed</v>
      </c>
      <c r="F827" s="134" t="str">
        <f>IF('PR Thương Hiệu'!F31="","",'PR Thương Hiệu'!F31)</f>
        <v>https://www.facebook.com/pktmApexmed</v>
      </c>
      <c r="G827" s="52" t="str">
        <f>IF('PR Thương Hiệu'!G31="","",'PR Thương Hiệu'!G31)</f>
        <v>BÙI THỊ LƯU</v>
      </c>
      <c r="H827" s="52" t="str">
        <f>IF('PR Thương Hiệu'!J31="","",'PR Thương Hiệu'!J31)</f>
        <v>Biên tập viên</v>
      </c>
      <c r="I827" s="52" t="str">
        <f>IF('PR Thương Hiệu'!M31="","",'PR Thương Hiệu'!M31)</f>
        <v/>
      </c>
      <c r="J827" s="52" t="str">
        <f>IF('PR Thương Hiệu'!R31="","",'PR Thương Hiệu'!R31)</f>
        <v/>
      </c>
      <c r="K827" s="52" t="str">
        <f t="array" ref="K827">IF(COUNTA('PR Thương Hiệu'!T31:AE31)=0,"",INDEX('PR Thương Hiệu'!T31:AE31,1,SUMPRODUCT(MAX(('PR Thương Hiệu'!T31:AE31&lt;&gt;"")*(COLUMN('PR Thương Hiệu'!T31:AE31)-COLUMN('PR Thương Hiệu'!T31)+1)))))</f>
        <v/>
      </c>
      <c r="L827" s="52" t="str">
        <f>IF(AND(G827&lt;&gt;"",G827='Tổng hợp'!$C$4),MAX(L$1:L826)+1,"")</f>
        <v/>
      </c>
    </row>
    <row r="828" ht="15.75" customHeight="1">
      <c r="A828" s="52" t="str">
        <f>IF('PR Thương Hiệu'!C32="","","PR Thương Hiệu")</f>
        <v>PR Thương Hiệu</v>
      </c>
      <c r="B828" s="52" t="str">
        <f>IF('PR Thương Hiệu'!B32="","",'PR Thương Hiệu'!B32)</f>
        <v>PR-026</v>
      </c>
      <c r="C828" s="52" t="str">
        <f>IF('PR Thương Hiệu'!C32="","",'PR Thương Hiệu'!C32)</f>
        <v>Page</v>
      </c>
      <c r="D828" s="79" t="str">
        <f>IF('PR Thương Hiệu'!D32="","",'PR Thương Hiệu'!D32)</f>
        <v>61583054334301</v>
      </c>
      <c r="E828" s="52" t="str">
        <f>IF('PR Thương Hiệu'!E32="","",'PR Thương Hiệu'!E32)</f>
        <v>Bác Sĩ David Bùi - Hiểu Để Hạnh Phúc</v>
      </c>
      <c r="F828" s="134" t="str">
        <f>IF('PR Thương Hiệu'!F32="","",'PR Thương Hiệu'!F32)</f>
        <v>https://www.facebook.com/BacsiDavidBui.Apexmed</v>
      </c>
      <c r="G828" s="52" t="str">
        <f>IF('PR Thương Hiệu'!G32="","",'PR Thương Hiệu'!G32)</f>
        <v>NGUYỄN THỊ ÁNH TUYẾT</v>
      </c>
      <c r="H828" s="52" t="str">
        <f>IF('PR Thương Hiệu'!J32="","",'PR Thương Hiệu'!J32)</f>
        <v>Biên tập viên</v>
      </c>
      <c r="I828" s="52" t="str">
        <f>IF('PR Thương Hiệu'!M32="","",'PR Thương Hiệu'!M32)</f>
        <v/>
      </c>
      <c r="J828" s="52" t="str">
        <f>IF('PR Thương Hiệu'!R32="","",'PR Thương Hiệu'!R32)</f>
        <v/>
      </c>
      <c r="K828" s="52" t="str">
        <f t="array" ref="K828">IF(COUNTA('PR Thương Hiệu'!T32:AE32)=0,"",INDEX('PR Thương Hiệu'!T32:AE32,1,SUMPRODUCT(MAX(('PR Thương Hiệu'!T32:AE32&lt;&gt;"")*(COLUMN('PR Thương Hiệu'!T32:AE32)-COLUMN('PR Thương Hiệu'!T32)+1)))))</f>
        <v/>
      </c>
      <c r="L828" s="52" t="str">
        <f>IF(AND(G828&lt;&gt;"",G828='Tổng hợp'!$C$4),MAX(L$1:L827)+1,"")</f>
        <v/>
      </c>
    </row>
    <row r="829" ht="15.75" customHeight="1">
      <c r="A829" s="52" t="str">
        <f>IF('PR Thương Hiệu'!C33="","","PR Thương Hiệu")</f>
        <v>PR Thương Hiệu</v>
      </c>
      <c r="B829" s="52" t="str">
        <f>IF('PR Thương Hiệu'!B33="","",'PR Thương Hiệu'!B33)</f>
        <v>PR-028</v>
      </c>
      <c r="C829" s="52" t="str">
        <f>IF('PR Thương Hiệu'!C33="","",'PR Thương Hiệu'!C33)</f>
        <v>Page</v>
      </c>
      <c r="D829" s="79" t="str">
        <f>IF('PR Thương Hiệu'!D33="","",'PR Thương Hiệu'!D33)</f>
        <v>61582526559547</v>
      </c>
      <c r="E829" s="52" t="str">
        <f>IF('PR Thương Hiệu'!E33="","",'PR Thương Hiệu'!E33)</f>
        <v>Bác Sĩ David Bùi - Cơ Thể Kể Chuyện</v>
      </c>
      <c r="F829" s="134" t="str">
        <f>IF('PR Thương Hiệu'!F33="","",'PR Thương Hiệu'!F33)</f>
        <v>https://www.facebook.com/BsDavidBui.Apexmed</v>
      </c>
      <c r="G829" s="52" t="str">
        <f>IF('PR Thương Hiệu'!G33="","",'PR Thương Hiệu'!G33)</f>
        <v>NGUYỄN THỊ ÁNH TUYẾT</v>
      </c>
      <c r="H829" s="52" t="str">
        <f>IF('PR Thương Hiệu'!J33="","",'PR Thương Hiệu'!J33)</f>
        <v>Biên tập viên</v>
      </c>
      <c r="I829" s="52" t="str">
        <f>IF('PR Thương Hiệu'!M33="","",'PR Thương Hiệu'!M33)</f>
        <v/>
      </c>
      <c r="J829" s="52" t="str">
        <f>IF('PR Thương Hiệu'!R33="","",'PR Thương Hiệu'!R33)</f>
        <v/>
      </c>
      <c r="K829" s="52" t="str">
        <f t="array" ref="K829">IF(COUNTA('PR Thương Hiệu'!T33:AE33)=0,"",INDEX('PR Thương Hiệu'!T33:AE33,1,SUMPRODUCT(MAX(('PR Thương Hiệu'!T33:AE33&lt;&gt;"")*(COLUMN('PR Thương Hiệu'!T33:AE33)-COLUMN('PR Thương Hiệu'!T33)+1)))))</f>
        <v/>
      </c>
      <c r="L829" s="52" t="str">
        <f>IF(AND(G829&lt;&gt;"",G829='Tổng hợp'!$C$4),MAX(L$1:L828)+1,"")</f>
        <v/>
      </c>
    </row>
    <row r="830" ht="15.75" customHeight="1">
      <c r="A830" s="52" t="str">
        <f>IF('PR Thương Hiệu'!C34="","","PR Thương Hiệu")</f>
        <v>PR Thương Hiệu</v>
      </c>
      <c r="B830" s="52" t="str">
        <f>IF('PR Thương Hiệu'!B34="","",'PR Thương Hiệu'!B34)</f>
        <v>PR-029</v>
      </c>
      <c r="C830" s="52" t="str">
        <f>IF('PR Thương Hiệu'!C34="","",'PR Thương Hiệu'!C34)</f>
        <v>Page</v>
      </c>
      <c r="D830" s="79" t="str">
        <f>IF('PR Thương Hiệu'!D34="","",'PR Thương Hiệu'!D34)</f>
        <v>61591465536394</v>
      </c>
      <c r="E830" s="52" t="str">
        <f>IF('PR Thương Hiệu'!E34="","",'PR Thương Hiệu'!E34)</f>
        <v>Bác sĩ Minh Tâm - Sản Phụ Khoa</v>
      </c>
      <c r="F830" s="134" t="str">
        <f>IF('PR Thương Hiệu'!F34="","",'PR Thương Hiệu'!F34)</f>
        <v>https://www.facebook.com/Bacsisanphukhoa.Apexmed</v>
      </c>
      <c r="G830" s="52" t="str">
        <f>IF('PR Thương Hiệu'!G34="","",'PR Thương Hiệu'!G34)</f>
        <v>NGUYỄN THỊ ÁNH TUYẾT</v>
      </c>
      <c r="H830" s="52" t="str">
        <f>IF('PR Thương Hiệu'!J34="","",'PR Thương Hiệu'!J34)</f>
        <v>Biên tập viên</v>
      </c>
      <c r="I830" s="52" t="str">
        <f>IF('PR Thương Hiệu'!M34="","",'PR Thương Hiệu'!M34)</f>
        <v/>
      </c>
      <c r="J830" s="52" t="str">
        <f>IF('PR Thương Hiệu'!R34="","",'PR Thương Hiệu'!R34)</f>
        <v/>
      </c>
      <c r="K830" s="52" t="str">
        <f t="array" ref="K830">IF(COUNTA('PR Thương Hiệu'!T34:AE34)=0,"",INDEX('PR Thương Hiệu'!T34:AE34,1,SUMPRODUCT(MAX(('PR Thương Hiệu'!T34:AE34&lt;&gt;"")*(COLUMN('PR Thương Hiệu'!T34:AE34)-COLUMN('PR Thương Hiệu'!T34)+1)))))</f>
        <v/>
      </c>
      <c r="L830" s="52" t="str">
        <f>IF(AND(G830&lt;&gt;"",G830='Tổng hợp'!$C$4),MAX(L$1:L829)+1,"")</f>
        <v/>
      </c>
    </row>
    <row r="831" ht="15.75" customHeight="1">
      <c r="A831" s="52" t="str">
        <f>IF('PR Thương Hiệu'!C35="","","PR Thương Hiệu")</f>
        <v>PR Thương Hiệu</v>
      </c>
      <c r="B831" s="52" t="str">
        <f>IF('PR Thương Hiệu'!B35="","",'PR Thương Hiệu'!B35)</f>
        <v>PR-030</v>
      </c>
      <c r="C831" s="52" t="str">
        <f>IF('PR Thương Hiệu'!C35="","",'PR Thương Hiệu'!C35)</f>
        <v>Kênh Tiktok</v>
      </c>
      <c r="D831" s="79" t="str">
        <f>IF('PR Thương Hiệu'!D35="","",'PR Thương Hiệu'!D35)</f>
        <v>7512727103999345671</v>
      </c>
      <c r="E831" s="52" t="str">
        <f>IF('PR Thương Hiệu'!E35="","",'PR Thương Hiệu'!E35)</f>
        <v>Bác Tiến 1</v>
      </c>
      <c r="F831" s="134" t="str">
        <f>IF('PR Thương Hiệu'!F35="","",'PR Thương Hiệu'!F35)</f>
        <v>https://www.tiktok.com/@drvutrongtien.apexmed</v>
      </c>
      <c r="G831" s="52" t="str">
        <f>IF('PR Thương Hiệu'!G35="","",'PR Thương Hiệu'!G35)</f>
        <v>NGUYỄN THỊ ÁNH TUYẾT</v>
      </c>
      <c r="H831" s="52" t="str">
        <f>IF('PR Thương Hiệu'!J35="","",'PR Thương Hiệu'!J35)</f>
        <v>Biên tập viên</v>
      </c>
      <c r="I831" s="52" t="str">
        <f>IF('PR Thương Hiệu'!M35="","",'PR Thương Hiệu'!M35)</f>
        <v>Có</v>
      </c>
      <c r="J831" s="52" t="str">
        <f>IF('PR Thương Hiệu'!R35="","",'PR Thương Hiệu'!R35)</f>
        <v/>
      </c>
      <c r="K831" s="52" t="str">
        <f t="array" ref="K831">IF(COUNTA('PR Thương Hiệu'!T35:AE35)=0,"",INDEX('PR Thương Hiệu'!T35:AE35,1,SUMPRODUCT(MAX(('PR Thương Hiệu'!T35:AE35&lt;&gt;"")*(COLUMN('PR Thương Hiệu'!T35:AE35)-COLUMN('PR Thương Hiệu'!T35)+1)))))</f>
        <v/>
      </c>
      <c r="L831" s="52" t="str">
        <f>IF(AND(G831&lt;&gt;"",G831='Tổng hợp'!$C$4),MAX(L$1:L830)+1,"")</f>
        <v/>
      </c>
    </row>
    <row r="832" ht="15.75" customHeight="1">
      <c r="A832" s="52" t="str">
        <f>IF('PR Thương Hiệu'!C36="","","PR Thương Hiệu")</f>
        <v>PR Thương Hiệu</v>
      </c>
      <c r="B832" s="52" t="str">
        <f>IF('PR Thương Hiệu'!B36="","",'PR Thương Hiệu'!B36)</f>
        <v>PR-031</v>
      </c>
      <c r="C832" s="52" t="str">
        <f>IF('PR Thương Hiệu'!C36="","",'PR Thương Hiệu'!C36)</f>
        <v>Kênh Tiktok</v>
      </c>
      <c r="D832" s="79" t="str">
        <f>IF('PR Thương Hiệu'!D36="","",'PR Thương Hiệu'!D36)</f>
        <v>7496344490505864197</v>
      </c>
      <c r="E832" s="52" t="str">
        <f>IF('PR Thương Hiệu'!E36="","",'PR Thương Hiệu'!E36)</f>
        <v>Bác Tiến 2</v>
      </c>
      <c r="F832" s="134" t="str">
        <f>IF('PR Thương Hiệu'!F36="","",'PR Thương Hiệu'!F36)</f>
        <v>https://www.tiktok.com/@drvutrongtien </v>
      </c>
      <c r="G832" s="52" t="str">
        <f>IF('PR Thương Hiệu'!G36="","",'PR Thương Hiệu'!G36)</f>
        <v>NGUYỄN THỊ ÁNH TUYẾT</v>
      </c>
      <c r="H832" s="52" t="str">
        <f>IF('PR Thương Hiệu'!J36="","",'PR Thương Hiệu'!J36)</f>
        <v>Biên tập viên</v>
      </c>
      <c r="I832" s="52" t="str">
        <f>IF('PR Thương Hiệu'!M36="","",'PR Thương Hiệu'!M36)</f>
        <v>Có</v>
      </c>
      <c r="J832" s="52" t="str">
        <f>IF('PR Thương Hiệu'!R36="","",'PR Thương Hiệu'!R36)</f>
        <v/>
      </c>
      <c r="K832" s="52" t="str">
        <f t="array" ref="K832">IF(COUNTA('PR Thương Hiệu'!T36:AE36)=0,"",INDEX('PR Thương Hiệu'!T36:AE36,1,SUMPRODUCT(MAX(('PR Thương Hiệu'!T36:AE36&lt;&gt;"")*(COLUMN('PR Thương Hiệu'!T36:AE36)-COLUMN('PR Thương Hiệu'!T36)+1)))))</f>
        <v/>
      </c>
      <c r="L832" s="52" t="str">
        <f>IF(AND(G832&lt;&gt;"",G832='Tổng hợp'!$C$4),MAX(L$1:L831)+1,"")</f>
        <v/>
      </c>
    </row>
    <row r="833" ht="15.75" customHeight="1">
      <c r="A833" s="52" t="str">
        <f>IF('PR Thương Hiệu'!C37="","","PR Thương Hiệu")</f>
        <v>PR Thương Hiệu</v>
      </c>
      <c r="B833" s="52" t="str">
        <f>IF('PR Thương Hiệu'!B37="","",'PR Thương Hiệu'!B37)</f>
        <v>PR-032</v>
      </c>
      <c r="C833" s="52" t="str">
        <f>IF('PR Thương Hiệu'!C37="","",'PR Thương Hiệu'!C37)</f>
        <v>Kênh Tiktok</v>
      </c>
      <c r="D833" s="79" t="str">
        <f>IF('PR Thương Hiệu'!D37="","",'PR Thương Hiệu'!D37)</f>
        <v>7639939804540617745</v>
      </c>
      <c r="E833" s="52" t="str">
        <f>IF('PR Thương Hiệu'!E37="","",'PR Thương Hiệu'!E37)</f>
        <v>Bác Tiến 3</v>
      </c>
      <c r="F833" s="134" t="str">
        <f>IF('PR Thương Hiệu'!F37="","",'PR Thương Hiệu'!F37)</f>
        <v>https://www.tiktok.com/@vutrongtien.trending </v>
      </c>
      <c r="G833" s="52" t="str">
        <f>IF('PR Thương Hiệu'!G37="","",'PR Thương Hiệu'!G37)</f>
        <v>NGUYỄN THỊ ÁNH TUYẾT</v>
      </c>
      <c r="H833" s="52" t="str">
        <f>IF('PR Thương Hiệu'!J37="","",'PR Thương Hiệu'!J37)</f>
        <v>Biên tập viên</v>
      </c>
      <c r="I833" s="52" t="str">
        <f>IF('PR Thương Hiệu'!M37="","",'PR Thương Hiệu'!M37)</f>
        <v>Có</v>
      </c>
      <c r="J833" s="52" t="str">
        <f>IF('PR Thương Hiệu'!R37="","",'PR Thương Hiệu'!R37)</f>
        <v/>
      </c>
      <c r="K833" s="52" t="str">
        <f t="array" ref="K833">IF(COUNTA('PR Thương Hiệu'!T37:AE37)=0,"",INDEX('PR Thương Hiệu'!T37:AE37,1,SUMPRODUCT(MAX(('PR Thương Hiệu'!T37:AE37&lt;&gt;"")*(COLUMN('PR Thương Hiệu'!T37:AE37)-COLUMN('PR Thương Hiệu'!T37)+1)))))</f>
        <v/>
      </c>
      <c r="L833" s="52" t="str">
        <f>IF(AND(G833&lt;&gt;"",G833='Tổng hợp'!$C$4),MAX(L$1:L832)+1,"")</f>
        <v/>
      </c>
    </row>
    <row r="834" ht="15.75" customHeight="1">
      <c r="A834" s="52" t="str">
        <f>IF('PR Thương Hiệu'!C38="","","PR Thương Hiệu")</f>
        <v>PR Thương Hiệu</v>
      </c>
      <c r="B834" s="52" t="str">
        <f>IF('PR Thương Hiệu'!B38="","",'PR Thương Hiệu'!B38)</f>
        <v>PR-033</v>
      </c>
      <c r="C834" s="52" t="str">
        <f>IF('PR Thương Hiệu'!C38="","",'PR Thương Hiệu'!C38)</f>
        <v>Kênh Tiktok</v>
      </c>
      <c r="D834" s="79" t="str">
        <f>IF('PR Thương Hiệu'!D38="","",'PR Thương Hiệu'!D38)</f>
        <v>7555766175021270017</v>
      </c>
      <c r="E834" s="52" t="str">
        <f>IF('PR Thương Hiệu'!E38="","",'PR Thương Hiệu'!E38)</f>
        <v>David 1</v>
      </c>
      <c r="F834" s="134" t="str">
        <f>IF('PR Thương Hiệu'!F38="","",'PR Thương Hiệu'!F38)</f>
        <v>https://www.tiktok.com/@drdavidbui </v>
      </c>
      <c r="G834" s="52" t="str">
        <f>IF('PR Thương Hiệu'!G38="","",'PR Thương Hiệu'!G38)</f>
        <v>NGUYỄN THỊ ÁNH TUYẾT</v>
      </c>
      <c r="H834" s="52" t="str">
        <f>IF('PR Thương Hiệu'!J38="","",'PR Thương Hiệu'!J38)</f>
        <v>Biên tập viên</v>
      </c>
      <c r="I834" s="52" t="str">
        <f>IF('PR Thương Hiệu'!M38="","",'PR Thương Hiệu'!M38)</f>
        <v>Có</v>
      </c>
      <c r="J834" s="52" t="str">
        <f>IF('PR Thương Hiệu'!R38="","",'PR Thương Hiệu'!R38)</f>
        <v/>
      </c>
      <c r="K834" s="52" t="str">
        <f t="array" ref="K834">IF(COUNTA('PR Thương Hiệu'!T38:AE38)=0,"",INDEX('PR Thương Hiệu'!T38:AE38,1,SUMPRODUCT(MAX(('PR Thương Hiệu'!T38:AE38&lt;&gt;"")*(COLUMN('PR Thương Hiệu'!T38:AE38)-COLUMN('PR Thương Hiệu'!T38)+1)))))</f>
        <v/>
      </c>
      <c r="L834" s="52" t="str">
        <f>IF(AND(G834&lt;&gt;"",G834='Tổng hợp'!$C$4),MAX(L$1:L833)+1,"")</f>
        <v/>
      </c>
    </row>
    <row r="835" ht="15.75" customHeight="1">
      <c r="A835" s="52" t="str">
        <f>IF('PR Thương Hiệu'!C39="","","PR Thương Hiệu")</f>
        <v>PR Thương Hiệu</v>
      </c>
      <c r="B835" s="52" t="str">
        <f>IF('PR Thương Hiệu'!B39="","",'PR Thương Hiệu'!B39)</f>
        <v>PR-034</v>
      </c>
      <c r="C835" s="52" t="str">
        <f>IF('PR Thương Hiệu'!C39="","",'PR Thương Hiệu'!C39)</f>
        <v>Kênh Tiktok</v>
      </c>
      <c r="D835" s="79" t="str">
        <f>IF('PR Thương Hiệu'!D39="","",'PR Thương Hiệu'!D39)</f>
        <v>7561291141216306183</v>
      </c>
      <c r="E835" s="52" t="str">
        <f>IF('PR Thương Hiệu'!E39="","",'PR Thương Hiệu'!E39)</f>
        <v>David 2</v>
      </c>
      <c r="F835" s="134" t="str">
        <f>IF('PR Thương Hiệu'!F39="","",'PR Thương Hiệu'!F39)</f>
        <v>https://www.tiktok.com/@bacsidavidbui </v>
      </c>
      <c r="G835" s="52" t="str">
        <f>IF('PR Thương Hiệu'!G39="","",'PR Thương Hiệu'!G39)</f>
        <v>NGUYỄN THỊ ÁNH TUYẾT</v>
      </c>
      <c r="H835" s="52" t="str">
        <f>IF('PR Thương Hiệu'!J39="","",'PR Thương Hiệu'!J39)</f>
        <v>Biên tập viên</v>
      </c>
      <c r="I835" s="52" t="str">
        <f>IF('PR Thương Hiệu'!M39="","",'PR Thương Hiệu'!M39)</f>
        <v>Có</v>
      </c>
      <c r="J835" s="52" t="str">
        <f>IF('PR Thương Hiệu'!R39="","",'PR Thương Hiệu'!R39)</f>
        <v/>
      </c>
      <c r="K835" s="52" t="str">
        <f t="array" ref="K835">IF(COUNTA('PR Thương Hiệu'!T39:AE39)=0,"",INDEX('PR Thương Hiệu'!T39:AE39,1,SUMPRODUCT(MAX(('PR Thương Hiệu'!T39:AE39&lt;&gt;"")*(COLUMN('PR Thương Hiệu'!T39:AE39)-COLUMN('PR Thương Hiệu'!T39)+1)))))</f>
        <v/>
      </c>
      <c r="L835" s="52" t="str">
        <f>IF(AND(G835&lt;&gt;"",G835='Tổng hợp'!$C$4),MAX(L$1:L834)+1,"")</f>
        <v/>
      </c>
    </row>
    <row r="836" ht="15.75" customHeight="1">
      <c r="A836" s="52" t="str">
        <f>IF('PR Thương Hiệu'!C40="","","PR Thương Hiệu")</f>
        <v>PR Thương Hiệu</v>
      </c>
      <c r="B836" s="52" t="str">
        <f>IF('PR Thương Hiệu'!B40="","",'PR Thương Hiệu'!B40)</f>
        <v>PR-035</v>
      </c>
      <c r="C836" s="52" t="str">
        <f>IF('PR Thương Hiệu'!C40="","",'PR Thương Hiệu'!C40)</f>
        <v>Kênh Tiktok</v>
      </c>
      <c r="D836" s="79" t="str">
        <f>IF('PR Thương Hiệu'!D40="","",'PR Thương Hiệu'!D40)</f>
        <v>7582109699341239297</v>
      </c>
      <c r="E836" s="52" t="str">
        <f>IF('PR Thương Hiệu'!E40="","",'PR Thương Hiệu'!E40)</f>
        <v>David 3</v>
      </c>
      <c r="F836" s="134" t="str">
        <f>IF('PR Thương Hiệu'!F40="","",'PR Thương Hiệu'!F40)</f>
        <v>https://www.tiktok.com/@bacsidavidbui.tiktok</v>
      </c>
      <c r="G836" s="52" t="str">
        <f>IF('PR Thương Hiệu'!G40="","",'PR Thương Hiệu'!G40)</f>
        <v>NGUYỄN THỊ ÁNH TUYẾT</v>
      </c>
      <c r="H836" s="52" t="str">
        <f>IF('PR Thương Hiệu'!J40="","",'PR Thương Hiệu'!J40)</f>
        <v>Biên tập viên</v>
      </c>
      <c r="I836" s="52" t="str">
        <f>IF('PR Thương Hiệu'!M40="","",'PR Thương Hiệu'!M40)</f>
        <v>Có</v>
      </c>
      <c r="J836" s="52" t="str">
        <f>IF('PR Thương Hiệu'!R40="","",'PR Thương Hiệu'!R40)</f>
        <v/>
      </c>
      <c r="K836" s="52" t="str">
        <f t="array" ref="K836">IF(COUNTA('PR Thương Hiệu'!T40:AE40)=0,"",INDEX('PR Thương Hiệu'!T40:AE40,1,SUMPRODUCT(MAX(('PR Thương Hiệu'!T40:AE40&lt;&gt;"")*(COLUMN('PR Thương Hiệu'!T40:AE40)-COLUMN('PR Thương Hiệu'!T40)+1)))))</f>
        <v/>
      </c>
      <c r="L836" s="52" t="str">
        <f>IF(AND(G836&lt;&gt;"",G836='Tổng hợp'!$C$4),MAX(L$1:L835)+1,"")</f>
        <v/>
      </c>
    </row>
    <row r="837" ht="15.75" customHeight="1">
      <c r="A837" s="52" t="str">
        <f>IF('PR Thương Hiệu'!C41="","","PR Thương Hiệu")</f>
        <v>PR Thương Hiệu</v>
      </c>
      <c r="B837" s="52" t="str">
        <f>IF('PR Thương Hiệu'!B41="","",'PR Thương Hiệu'!B41)</f>
        <v>PR-036</v>
      </c>
      <c r="C837" s="52" t="str">
        <f>IF('PR Thương Hiệu'!C41="","",'PR Thương Hiệu'!C41)</f>
        <v>Kênh Tiktok</v>
      </c>
      <c r="D837" s="79" t="str">
        <f>IF('PR Thương Hiệu'!D41="","",'PR Thương Hiệu'!D41)</f>
        <v>7598780735713346581</v>
      </c>
      <c r="E837" s="52" t="str">
        <f>IF('PR Thương Hiệu'!E41="","",'PR Thương Hiệu'!E41)</f>
        <v>Cô Tâm </v>
      </c>
      <c r="F837" s="134" t="str">
        <f>IF('PR Thương Hiệu'!F41="","",'PR Thương Hiệu'!F41)</f>
        <v>https://www.tiktok.com/@bsminhtam.sanphukhoa</v>
      </c>
      <c r="G837" s="52" t="str">
        <f>IF('PR Thương Hiệu'!G41="","",'PR Thương Hiệu'!G41)</f>
        <v>NGUYỄN THỊ ÁNH TUYẾT</v>
      </c>
      <c r="H837" s="52" t="str">
        <f>IF('PR Thương Hiệu'!J41="","",'PR Thương Hiệu'!J41)</f>
        <v>Biên tập viên</v>
      </c>
      <c r="I837" s="52" t="str">
        <f>IF('PR Thương Hiệu'!M41="","",'PR Thương Hiệu'!M41)</f>
        <v>Có</v>
      </c>
      <c r="J837" s="52" t="str">
        <f>IF('PR Thương Hiệu'!R41="","",'PR Thương Hiệu'!R41)</f>
        <v/>
      </c>
      <c r="K837" s="52" t="str">
        <f t="array" ref="K837">IF(COUNTA('PR Thương Hiệu'!T41:AE41)=0,"",INDEX('PR Thương Hiệu'!T41:AE41,1,SUMPRODUCT(MAX(('PR Thương Hiệu'!T41:AE41&lt;&gt;"")*(COLUMN('PR Thương Hiệu'!T41:AE41)-COLUMN('PR Thương Hiệu'!T41)+1)))))</f>
        <v/>
      </c>
      <c r="L837" s="52" t="str">
        <f>IF(AND(G837&lt;&gt;"",G837='Tổng hợp'!$C$4),MAX(L$1:L836)+1,"")</f>
        <v/>
      </c>
    </row>
    <row r="838" ht="15.75" customHeight="1">
      <c r="A838" s="52" t="str">
        <f>IF('PR Thương Hiệu'!C42="","","PR Thương Hiệu")</f>
        <v>PR Thương Hiệu</v>
      </c>
      <c r="B838" s="52" t="str">
        <f>IF('PR Thương Hiệu'!B42="","",'PR Thương Hiệu'!B42)</f>
        <v>PR-037</v>
      </c>
      <c r="C838" s="52" t="str">
        <f>IF('PR Thương Hiệu'!C42="","",'PR Thương Hiệu'!C42)</f>
        <v>Youtube</v>
      </c>
      <c r="D838" s="79" t="str">
        <f>IF('PR Thương Hiệu'!D42="","",'PR Thương Hiệu'!D42)</f>
        <v>UCvwmsDEIgLlCNymFZqCrbXg</v>
      </c>
      <c r="E838" s="52" t="str">
        <f>IF('PR Thương Hiệu'!E42="","",'PR Thương Hiệu'!E42)</f>
        <v>Bác Tiến </v>
      </c>
      <c r="F838" s="134" t="str">
        <f>IF('PR Thương Hiệu'!F42="","",'PR Thương Hiệu'!F42)</f>
        <v>https://www.youtube.com/@bacsivutrongtien</v>
      </c>
      <c r="G838" s="52" t="str">
        <f>IF('PR Thương Hiệu'!G42="","",'PR Thương Hiệu'!G42)</f>
        <v>NGUYỄN THỊ ÁNH TUYẾT</v>
      </c>
      <c r="H838" s="52" t="str">
        <f>IF('PR Thương Hiệu'!J42="","",'PR Thương Hiệu'!J42)</f>
        <v>Biên tập viên</v>
      </c>
      <c r="I838" s="52" t="str">
        <f>IF('PR Thương Hiệu'!M42="","",'PR Thương Hiệu'!M42)</f>
        <v>Không rõ</v>
      </c>
      <c r="J838" s="52" t="str">
        <f>IF('PR Thương Hiệu'!R42="","",'PR Thương Hiệu'!R42)</f>
        <v/>
      </c>
      <c r="K838" s="52" t="str">
        <f t="array" ref="K838">IF(COUNTA('PR Thương Hiệu'!T42:AE42)=0,"",INDEX('PR Thương Hiệu'!T42:AE42,1,SUMPRODUCT(MAX(('PR Thương Hiệu'!T42:AE42&lt;&gt;"")*(COLUMN('PR Thương Hiệu'!T42:AE42)-COLUMN('PR Thương Hiệu'!T42)+1)))))</f>
        <v/>
      </c>
      <c r="L838" s="52" t="str">
        <f>IF(AND(G838&lt;&gt;"",G838='Tổng hợp'!$C$4),MAX(L$1:L837)+1,"")</f>
        <v/>
      </c>
    </row>
    <row r="839" ht="15.75" customHeight="1">
      <c r="A839" s="52" t="str">
        <f>IF('PR Thương Hiệu'!C43="","","PR Thương Hiệu")</f>
        <v>PR Thương Hiệu</v>
      </c>
      <c r="B839" s="52" t="str">
        <f>IF('PR Thương Hiệu'!B43="","",'PR Thương Hiệu'!B43)</f>
        <v>PR-038</v>
      </c>
      <c r="C839" s="52" t="str">
        <f>IF('PR Thương Hiệu'!C43="","",'PR Thương Hiệu'!C43)</f>
        <v>Youtube</v>
      </c>
      <c r="D839" s="79" t="str">
        <f>IF('PR Thương Hiệu'!D43="","",'PR Thương Hiệu'!D43)</f>
        <v>UCgbCXEJZ86SwwvAGEjih3AA</v>
      </c>
      <c r="E839" s="52" t="str">
        <f>IF('PR Thương Hiệu'!E43="","",'PR Thương Hiệu'!E43)</f>
        <v>David </v>
      </c>
      <c r="F839" s="134" t="str">
        <f>IF('PR Thương Hiệu'!F43="","",'PR Thương Hiệu'!F43)</f>
        <v>https://www.youtube.com/@bacsidavidbui</v>
      </c>
      <c r="G839" s="52" t="str">
        <f>IF('PR Thương Hiệu'!G43="","",'PR Thương Hiệu'!G43)</f>
        <v>NGUYỄN THỊ ÁNH TUYẾT</v>
      </c>
      <c r="H839" s="52" t="str">
        <f>IF('PR Thương Hiệu'!J43="","",'PR Thương Hiệu'!J43)</f>
        <v>Biên tập viên</v>
      </c>
      <c r="I839" s="52" t="str">
        <f>IF('PR Thương Hiệu'!M43="","",'PR Thương Hiệu'!M43)</f>
        <v>Không rõ</v>
      </c>
      <c r="J839" s="52" t="str">
        <f>IF('PR Thương Hiệu'!R43="","",'PR Thương Hiệu'!R43)</f>
        <v/>
      </c>
      <c r="K839" s="52" t="str">
        <f t="array" ref="K839">IF(COUNTA('PR Thương Hiệu'!T43:AE43)=0,"",INDEX('PR Thương Hiệu'!T43:AE43,1,SUMPRODUCT(MAX(('PR Thương Hiệu'!T43:AE43&lt;&gt;"")*(COLUMN('PR Thương Hiệu'!T43:AE43)-COLUMN('PR Thương Hiệu'!T43)+1)))))</f>
        <v/>
      </c>
      <c r="L839" s="52" t="str">
        <f>IF(AND(G839&lt;&gt;"",G839='Tổng hợp'!$C$4),MAX(L$1:L838)+1,"")</f>
        <v/>
      </c>
    </row>
    <row r="840" ht="15.75" customHeight="1">
      <c r="A840" s="52" t="str">
        <f>IF('PR Thương Hiệu'!C44="","","PR Thương Hiệu")</f>
        <v>PR Thương Hiệu</v>
      </c>
      <c r="B840" s="52" t="str">
        <f>IF('PR Thương Hiệu'!B44="","",'PR Thương Hiệu'!B44)</f>
        <v>PR-039</v>
      </c>
      <c r="C840" s="52" t="str">
        <f>IF('PR Thương Hiệu'!C44="","",'PR Thương Hiệu'!C44)</f>
        <v>Youtube</v>
      </c>
      <c r="D840" s="79" t="str">
        <f>IF('PR Thương Hiệu'!D44="","",'PR Thương Hiệu'!D44)</f>
        <v>UCA8kUYHaGB1Ht2Z2rt79HDg</v>
      </c>
      <c r="E840" s="52" t="str">
        <f>IF('PR Thương Hiệu'!E44="","",'PR Thương Hiệu'!E44)</f>
        <v>Cô Tâm </v>
      </c>
      <c r="F840" s="134" t="str">
        <f>IF('PR Thương Hiệu'!F44="","",'PR Thương Hiệu'!F44)</f>
        <v>https://www.youtube.com/@Bacsiminhtam.sanphukhoa</v>
      </c>
      <c r="G840" s="52" t="str">
        <f>IF('PR Thương Hiệu'!G44="","",'PR Thương Hiệu'!G44)</f>
        <v>NGUYỄN THỊ ÁNH TUYẾT</v>
      </c>
      <c r="H840" s="52" t="str">
        <f>IF('PR Thương Hiệu'!J44="","",'PR Thương Hiệu'!J44)</f>
        <v>Biên tập viên</v>
      </c>
      <c r="I840" s="52" t="str">
        <f>IF('PR Thương Hiệu'!M44="","",'PR Thương Hiệu'!M44)</f>
        <v>Có</v>
      </c>
      <c r="J840" s="52" t="str">
        <f>IF('PR Thương Hiệu'!R44="","",'PR Thương Hiệu'!R44)</f>
        <v/>
      </c>
      <c r="K840" s="52" t="str">
        <f t="array" ref="K840">IF(COUNTA('PR Thương Hiệu'!T44:AE44)=0,"",INDEX('PR Thương Hiệu'!T44:AE44,1,SUMPRODUCT(MAX(('PR Thương Hiệu'!T44:AE44&lt;&gt;"")*(COLUMN('PR Thương Hiệu'!T44:AE44)-COLUMN('PR Thương Hiệu'!T44)+1)))))</f>
        <v/>
      </c>
      <c r="L840" s="52" t="str">
        <f>IF(AND(G840&lt;&gt;"",G840='Tổng hợp'!$C$4),MAX(L$1:L839)+1,"")</f>
        <v/>
      </c>
    </row>
    <row r="841" ht="15.75" customHeight="1">
      <c r="A841" s="52" t="str">
        <f>IF('PR Thương Hiệu'!C45="","","PR Thương Hiệu")</f>
        <v>PR Thương Hiệu</v>
      </c>
      <c r="B841" s="52" t="str">
        <f>IF('PR Thương Hiệu'!B45="","",'PR Thương Hiệu'!B45)</f>
        <v>PR-040</v>
      </c>
      <c r="C841" s="52" t="str">
        <f>IF('PR Thương Hiệu'!C45="","",'PR Thương Hiệu'!C45)</f>
        <v>Kênh Tiktok</v>
      </c>
      <c r="D841" s="79" t="str">
        <f>IF('PR Thương Hiệu'!D45="","",'PR Thương Hiệu'!D45)</f>
        <v>7662661659426538513</v>
      </c>
      <c r="E841" s="52" t="str">
        <f>IF('PR Thương Hiệu'!E45="","",'PR Thương Hiệu'!E45)</f>
        <v>Apexmed </v>
      </c>
      <c r="F841" s="134" t="str">
        <f>IF('PR Thương Hiệu'!F45="","",'PR Thương Hiệu'!F45)</f>
        <v>https://www.tiktok.com/@phongkhamthammy.apexmed</v>
      </c>
      <c r="G841" s="52" t="str">
        <f>IF('PR Thương Hiệu'!G45="","",'PR Thương Hiệu'!G45)</f>
        <v>TRẦN MINH ANH</v>
      </c>
      <c r="H841" s="52" t="str">
        <f>IF('PR Thương Hiệu'!J45="","",'PR Thương Hiệu'!J45)</f>
        <v>Biên tập viên</v>
      </c>
      <c r="I841" s="52" t="str">
        <f>IF('PR Thương Hiệu'!M45="","",'PR Thương Hiệu'!M45)</f>
        <v>Không rõ</v>
      </c>
      <c r="J841" s="52" t="str">
        <f>IF('PR Thương Hiệu'!R45="","",'PR Thương Hiệu'!R45)</f>
        <v/>
      </c>
      <c r="K841" s="52" t="str">
        <f t="array" ref="K841">IF(COUNTA('PR Thương Hiệu'!T45:AE45)=0,"",INDEX('PR Thương Hiệu'!T45:AE45,1,SUMPRODUCT(MAX(('PR Thương Hiệu'!T45:AE45&lt;&gt;"")*(COLUMN('PR Thương Hiệu'!T45:AE45)-COLUMN('PR Thương Hiệu'!T45)+1)))))</f>
        <v/>
      </c>
      <c r="L841" s="52" t="str">
        <f>IF(AND(G841&lt;&gt;"",G841='Tổng hợp'!$C$4),MAX(L$1:L840)+1,"")</f>
        <v/>
      </c>
    </row>
    <row r="842" ht="15.75" customHeight="1">
      <c r="A842" s="52" t="str">
        <f>IF('PR Thương Hiệu'!C46="","","PR Thương Hiệu")</f>
        <v>PR Thương Hiệu</v>
      </c>
      <c r="B842" s="52" t="str">
        <f>IF('PR Thương Hiệu'!B46="","",'PR Thương Hiệu'!B46)</f>
        <v>PR-041</v>
      </c>
      <c r="C842" s="52" t="str">
        <f>IF('PR Thương Hiệu'!C46="","",'PR Thương Hiệu'!C46)</f>
        <v>Youtube</v>
      </c>
      <c r="D842" s="79" t="str">
        <f>IF('PR Thương Hiệu'!D46="","",'PR Thương Hiệu'!D46)</f>
        <v>UCwdkQMEg0BqgXzkDg_gNFXw</v>
      </c>
      <c r="E842" s="52" t="str">
        <f>IF('PR Thương Hiệu'!E46="","",'PR Thương Hiệu'!E46)</f>
        <v>Apexmed</v>
      </c>
      <c r="F842" s="134" t="str">
        <f>IF('PR Thương Hiệu'!F46="","",'PR Thương Hiệu'!F46)</f>
        <v>https://www.youtube.com/@phongkhamthammyapexmed</v>
      </c>
      <c r="G842" s="52" t="str">
        <f>IF('PR Thương Hiệu'!G46="","",'PR Thương Hiệu'!G46)</f>
        <v>TRẦN MINH ANH</v>
      </c>
      <c r="H842" s="52" t="str">
        <f>IF('PR Thương Hiệu'!J46="","",'PR Thương Hiệu'!J46)</f>
        <v>Biên tập viên</v>
      </c>
      <c r="I842" s="52" t="str">
        <f>IF('PR Thương Hiệu'!M46="","",'PR Thương Hiệu'!M46)</f>
        <v>Không rõ</v>
      </c>
      <c r="J842" s="52" t="str">
        <f>IF('PR Thương Hiệu'!R46="","",'PR Thương Hiệu'!R46)</f>
        <v/>
      </c>
      <c r="K842" s="52" t="str">
        <f t="array" ref="K842">IF(COUNTA('PR Thương Hiệu'!T46:AE46)=0,"",INDEX('PR Thương Hiệu'!T46:AE46,1,SUMPRODUCT(MAX(('PR Thương Hiệu'!T46:AE46&lt;&gt;"")*(COLUMN('PR Thương Hiệu'!T46:AE46)-COLUMN('PR Thương Hiệu'!T46)+1)))))</f>
        <v/>
      </c>
      <c r="L842" s="52" t="str">
        <f>IF(AND(G842&lt;&gt;"",G842='Tổng hợp'!$C$4),MAX(L$1:L841)+1,"")</f>
        <v/>
      </c>
    </row>
    <row r="843" ht="15.75" customHeight="1">
      <c r="A843" s="52" t="str">
        <f>IF('PR Thương Hiệu'!C47="","","PR Thương Hiệu")</f>
        <v>PR Thương Hiệu</v>
      </c>
      <c r="B843" s="52" t="str">
        <f>IF('PR Thương Hiệu'!B47="","",'PR Thương Hiệu'!B47)</f>
        <v>PR-042</v>
      </c>
      <c r="C843" s="52" t="str">
        <f>IF('PR Thương Hiệu'!C47="","",'PR Thương Hiệu'!C47)</f>
        <v>CapCut</v>
      </c>
      <c r="D843" s="52" t="str">
        <f>IF('PR Thương Hiệu'!D47="","",'PR Thương Hiệu'!D47)</f>
        <v/>
      </c>
      <c r="E843" s="52" t="str">
        <f>IF('PR Thương Hiệu'!E47="","",'PR Thương Hiệu'!E47)</f>
        <v>TK Capcut</v>
      </c>
      <c r="F843" s="52" t="str">
        <f>IF('PR Thương Hiệu'!F47="","",'PR Thương Hiệu'!F47)</f>
        <v/>
      </c>
      <c r="G843" s="52" t="str">
        <f>IF('PR Thương Hiệu'!G47="","",'PR Thương Hiệu'!G47)</f>
        <v/>
      </c>
      <c r="H843" s="52" t="str">
        <f>IF('PR Thương Hiệu'!J47="","",'PR Thương Hiệu'!J47)</f>
        <v>Kiểm duyệt viên</v>
      </c>
      <c r="I843" s="52" t="str">
        <f>IF('PR Thương Hiệu'!M47="","",'PR Thương Hiệu'!M47)</f>
        <v>Có</v>
      </c>
      <c r="J843" s="52" t="str">
        <f>IF('PR Thương Hiệu'!R47="","",'PR Thương Hiệu'!R47)</f>
        <v/>
      </c>
      <c r="K843" s="52" t="str">
        <f t="array" ref="K843">IF(COUNTA('PR Thương Hiệu'!T47:AE47)=0,"",INDEX('PR Thương Hiệu'!T47:AE47,1,SUMPRODUCT(MAX(('PR Thương Hiệu'!T47:AE47&lt;&gt;"")*(COLUMN('PR Thương Hiệu'!T47:AE47)-COLUMN('PR Thương Hiệu'!T47)+1)))))</f>
        <v/>
      </c>
      <c r="L843" s="52" t="str">
        <f>IF(AND(G843&lt;&gt;"",G843='Tổng hợp'!$C$4),MAX(L$1:L842)+1,"")</f>
        <v/>
      </c>
    </row>
    <row r="844" ht="15.75" customHeight="1">
      <c r="A844" s="52" t="str">
        <f>IF('PR Thương Hiệu'!C48="","","PR Thương Hiệu")</f>
        <v>PR Thương Hiệu</v>
      </c>
      <c r="B844" s="52" t="str">
        <f>IF('PR Thương Hiệu'!B48="","",'PR Thương Hiệu'!B48)</f>
        <v>PR-043</v>
      </c>
      <c r="C844" s="52" t="str">
        <f>IF('PR Thương Hiệu'!C48="","",'PR Thương Hiệu'!C48)</f>
        <v>Via</v>
      </c>
      <c r="D844" s="79" t="str">
        <f>IF('PR Thương Hiệu'!D48="","",'PR Thương Hiệu'!D48)</f>
        <v>61591732420566</v>
      </c>
      <c r="E844" s="52" t="str">
        <f>IF('PR Thương Hiệu'!E48="","",'PR Thương Hiệu'!E48)</f>
        <v>Thẩm Mỹ Apexmed</v>
      </c>
      <c r="F844" s="134" t="str">
        <f>IF('PR Thương Hiệu'!F48="","",'PR Thương Hiệu'!F48)</f>
        <v>https://www.facebook.com/profile.php?id=61591732420566</v>
      </c>
      <c r="G844" s="52" t="str">
        <f>IF('PR Thương Hiệu'!G48="","",'PR Thương Hiệu'!G48)</f>
        <v>LÊ HÀ CHI</v>
      </c>
      <c r="H844" s="52" t="str">
        <f>IF('PR Thương Hiệu'!J48="","",'PR Thương Hiệu'!J48)</f>
        <v>Biên tập viên</v>
      </c>
      <c r="I844" s="52" t="str">
        <f>IF('PR Thương Hiệu'!M48="","",'PR Thương Hiệu'!M48)</f>
        <v/>
      </c>
      <c r="J844" s="52" t="str">
        <f>IF('PR Thương Hiệu'!R48="","",'PR Thương Hiệu'!R48)</f>
        <v/>
      </c>
      <c r="K844" s="52" t="str">
        <f t="array" ref="K844">IF(COUNTA('PR Thương Hiệu'!T48:AE48)=0,"",INDEX('PR Thương Hiệu'!T48:AE48,1,SUMPRODUCT(MAX(('PR Thương Hiệu'!T48:AE48&lt;&gt;"")*(COLUMN('PR Thương Hiệu'!T48:AE48)-COLUMN('PR Thương Hiệu'!T48)+1)))))</f>
        <v/>
      </c>
      <c r="L844" s="52" t="str">
        <f>IF(AND(G844&lt;&gt;"",G844='Tổng hợp'!$C$4),MAX(L$1:L843)+1,"")</f>
        <v/>
      </c>
    </row>
    <row r="845" ht="15.75" customHeight="1">
      <c r="A845" s="52" t="str">
        <f>IF('PR Thương Hiệu'!C49="","","PR Thương Hiệu")</f>
        <v>PR Thương Hiệu</v>
      </c>
      <c r="B845" s="52" t="str">
        <f>IF('PR Thương Hiệu'!B49="","",'PR Thương Hiệu'!B49)</f>
        <v>PR-044</v>
      </c>
      <c r="C845" s="52" t="str">
        <f>IF('PR Thương Hiệu'!C49="","",'PR Thương Hiệu'!C49)</f>
        <v>Page</v>
      </c>
      <c r="D845" s="79" t="str">
        <f>IF('PR Thương Hiệu'!D49="","",'PR Thương Hiệu'!D49)</f>
        <v>100069127330255</v>
      </c>
      <c r="E845" s="52" t="str">
        <f>IF('PR Thương Hiệu'!E49="","",'PR Thương Hiệu'!E49)</f>
        <v>Apexmed 162k </v>
      </c>
      <c r="F845" s="134" t="str">
        <f>IF('PR Thương Hiệu'!F49="","",'PR Thương Hiệu'!F49)</f>
        <v>https://www.facebook.com/profile.php?id=100069127330255</v>
      </c>
      <c r="G845" s="52" t="str">
        <f>IF('PR Thương Hiệu'!G49="","",'PR Thương Hiệu'!G49)</f>
        <v>LÊ HÀ CHI</v>
      </c>
      <c r="H845" s="52" t="str">
        <f>IF('PR Thương Hiệu'!J49="","",'PR Thương Hiệu'!J49)</f>
        <v>Biên tập viên</v>
      </c>
      <c r="I845" s="52" t="str">
        <f>IF('PR Thương Hiệu'!M49="","",'PR Thương Hiệu'!M49)</f>
        <v/>
      </c>
      <c r="J845" s="52" t="str">
        <f>IF('PR Thương Hiệu'!R49="","",'PR Thương Hiệu'!R49)</f>
        <v/>
      </c>
      <c r="K845" s="52" t="str">
        <f t="array" ref="K845">IF(COUNTA('PR Thương Hiệu'!T49:AE49)=0,"",INDEX('PR Thương Hiệu'!T49:AE49,1,SUMPRODUCT(MAX(('PR Thương Hiệu'!T49:AE49&lt;&gt;"")*(COLUMN('PR Thương Hiệu'!T49:AE49)-COLUMN('PR Thương Hiệu'!T49)+1)))))</f>
        <v/>
      </c>
      <c r="L845" s="52" t="str">
        <f>IF(AND(G845&lt;&gt;"",G845='Tổng hợp'!$C$4),MAX(L$1:L844)+1,"")</f>
        <v/>
      </c>
    </row>
    <row r="846" ht="15.75" customHeight="1">
      <c r="A846" s="52" t="str">
        <f>IF('PR Thương Hiệu'!C50="","","PR Thương Hiệu")</f>
        <v/>
      </c>
      <c r="B846" s="52" t="str">
        <f>IF('PR Thương Hiệu'!B50="","",'PR Thương Hiệu'!B50)</f>
        <v/>
      </c>
      <c r="C846" s="52" t="str">
        <f>IF('PR Thương Hiệu'!C50="","",'PR Thương Hiệu'!C50)</f>
        <v/>
      </c>
      <c r="D846" s="52" t="str">
        <f>IF('PR Thương Hiệu'!D50="","",'PR Thương Hiệu'!D50)</f>
        <v/>
      </c>
      <c r="E846" s="52" t="str">
        <f>IF('PR Thương Hiệu'!E50="","",'PR Thương Hiệu'!E50)</f>
        <v/>
      </c>
      <c r="F846" s="52" t="str">
        <f>IF('PR Thương Hiệu'!F50="","",'PR Thương Hiệu'!F50)</f>
        <v/>
      </c>
      <c r="G846" s="52" t="str">
        <f>IF('PR Thương Hiệu'!G50="","",'PR Thương Hiệu'!G50)</f>
        <v/>
      </c>
      <c r="H846" s="52" t="str">
        <f>IF('PR Thương Hiệu'!J50="","",'PR Thương Hiệu'!J50)</f>
        <v/>
      </c>
      <c r="I846" s="52" t="str">
        <f>IF('PR Thương Hiệu'!M50="","",'PR Thương Hiệu'!M50)</f>
        <v/>
      </c>
      <c r="J846" s="52" t="str">
        <f>IF('PR Thương Hiệu'!R50="","",'PR Thương Hiệu'!R50)</f>
        <v/>
      </c>
      <c r="K846" s="52" t="str">
        <f t="array" ref="K846">IF(COUNTA('PR Thương Hiệu'!T50:AE50)=0,"",INDEX('PR Thương Hiệu'!T50:AE50,1,SUMPRODUCT(MAX(('PR Thương Hiệu'!T50:AE50&lt;&gt;"")*(COLUMN('PR Thương Hiệu'!T50:AE50)-COLUMN('PR Thương Hiệu'!T50)+1)))))</f>
        <v/>
      </c>
      <c r="L846" s="52" t="str">
        <f>IF(AND(G846&lt;&gt;"",G846='Tổng hợp'!$C$4),MAX(L$1:L845)+1,"")</f>
        <v/>
      </c>
    </row>
    <row r="847" ht="15.75" customHeight="1">
      <c r="A847" s="52" t="str">
        <f>IF('PR Thương Hiệu'!C51="","","PR Thương Hiệu")</f>
        <v/>
      </c>
      <c r="B847" s="52" t="str">
        <f>IF('PR Thương Hiệu'!B51="","",'PR Thương Hiệu'!B51)</f>
        <v/>
      </c>
      <c r="C847" s="52" t="str">
        <f>IF('PR Thương Hiệu'!C51="","",'PR Thương Hiệu'!C51)</f>
        <v/>
      </c>
      <c r="D847" s="52" t="str">
        <f>IF('PR Thương Hiệu'!D51="","",'PR Thương Hiệu'!D51)</f>
        <v/>
      </c>
      <c r="E847" s="52" t="str">
        <f>IF('PR Thương Hiệu'!E51="","",'PR Thương Hiệu'!E51)</f>
        <v/>
      </c>
      <c r="F847" s="52" t="str">
        <f>IF('PR Thương Hiệu'!F51="","",'PR Thương Hiệu'!F51)</f>
        <v/>
      </c>
      <c r="G847" s="52" t="str">
        <f>IF('PR Thương Hiệu'!G51="","",'PR Thương Hiệu'!G51)</f>
        <v/>
      </c>
      <c r="H847" s="52" t="str">
        <f>IF('PR Thương Hiệu'!J51="","",'PR Thương Hiệu'!J51)</f>
        <v/>
      </c>
      <c r="I847" s="52" t="str">
        <f>IF('PR Thương Hiệu'!M51="","",'PR Thương Hiệu'!M51)</f>
        <v/>
      </c>
      <c r="J847" s="52" t="str">
        <f>IF('PR Thương Hiệu'!R51="","",'PR Thương Hiệu'!R51)</f>
        <v/>
      </c>
      <c r="K847" s="52" t="str">
        <f t="array" ref="K847">IF(COUNTA('PR Thương Hiệu'!T51:AE51)=0,"",INDEX('PR Thương Hiệu'!T51:AE51,1,SUMPRODUCT(MAX(('PR Thương Hiệu'!T51:AE51&lt;&gt;"")*(COLUMN('PR Thương Hiệu'!T51:AE51)-COLUMN('PR Thương Hiệu'!T51)+1)))))</f>
        <v/>
      </c>
      <c r="L847" s="52" t="str">
        <f>IF(AND(G847&lt;&gt;"",G847='Tổng hợp'!$C$4),MAX(L$1:L846)+1,"")</f>
        <v/>
      </c>
    </row>
    <row r="848" ht="15.75" customHeight="1">
      <c r="A848" s="52" t="str">
        <f>IF('PR Thương Hiệu'!C52="","","PR Thương Hiệu")</f>
        <v/>
      </c>
      <c r="B848" s="52" t="str">
        <f>IF('PR Thương Hiệu'!B52="","",'PR Thương Hiệu'!B52)</f>
        <v/>
      </c>
      <c r="C848" s="52" t="str">
        <f>IF('PR Thương Hiệu'!C52="","",'PR Thương Hiệu'!C52)</f>
        <v/>
      </c>
      <c r="D848" s="52" t="str">
        <f>IF('PR Thương Hiệu'!D52="","",'PR Thương Hiệu'!D52)</f>
        <v/>
      </c>
      <c r="E848" s="52" t="str">
        <f>IF('PR Thương Hiệu'!E52="","",'PR Thương Hiệu'!E52)</f>
        <v/>
      </c>
      <c r="F848" s="52" t="str">
        <f>IF('PR Thương Hiệu'!F52="","",'PR Thương Hiệu'!F52)</f>
        <v/>
      </c>
      <c r="G848" s="52" t="str">
        <f>IF('PR Thương Hiệu'!G52="","",'PR Thương Hiệu'!G52)</f>
        <v/>
      </c>
      <c r="H848" s="52" t="str">
        <f>IF('PR Thương Hiệu'!J52="","",'PR Thương Hiệu'!J52)</f>
        <v/>
      </c>
      <c r="I848" s="52" t="str">
        <f>IF('PR Thương Hiệu'!M52="","",'PR Thương Hiệu'!M52)</f>
        <v/>
      </c>
      <c r="J848" s="52" t="str">
        <f>IF('PR Thương Hiệu'!R52="","",'PR Thương Hiệu'!R52)</f>
        <v/>
      </c>
      <c r="K848" s="52" t="str">
        <f t="array" ref="K848">IF(COUNTA('PR Thương Hiệu'!T52:AE52)=0,"",INDEX('PR Thương Hiệu'!T52:AE52,1,SUMPRODUCT(MAX(('PR Thương Hiệu'!T52:AE52&lt;&gt;"")*(COLUMN('PR Thương Hiệu'!T52:AE52)-COLUMN('PR Thương Hiệu'!T52)+1)))))</f>
        <v/>
      </c>
      <c r="L848" s="52" t="str">
        <f>IF(AND(G848&lt;&gt;"",G848='Tổng hợp'!$C$4),MAX(L$1:L847)+1,"")</f>
        <v/>
      </c>
    </row>
    <row r="849" ht="15.75" customHeight="1">
      <c r="A849" s="52" t="str">
        <f>IF('PR Thương Hiệu'!C53="","","PR Thương Hiệu")</f>
        <v/>
      </c>
      <c r="B849" s="52" t="str">
        <f>IF('PR Thương Hiệu'!B53="","",'PR Thương Hiệu'!B53)</f>
        <v/>
      </c>
      <c r="C849" s="52" t="str">
        <f>IF('PR Thương Hiệu'!C53="","",'PR Thương Hiệu'!C53)</f>
        <v/>
      </c>
      <c r="D849" s="52" t="str">
        <f>IF('PR Thương Hiệu'!D53="","",'PR Thương Hiệu'!D53)</f>
        <v/>
      </c>
      <c r="E849" s="52" t="str">
        <f>IF('PR Thương Hiệu'!E53="","",'PR Thương Hiệu'!E53)</f>
        <v/>
      </c>
      <c r="F849" s="52" t="str">
        <f>IF('PR Thương Hiệu'!F53="","",'PR Thương Hiệu'!F53)</f>
        <v/>
      </c>
      <c r="G849" s="52" t="str">
        <f>IF('PR Thương Hiệu'!G53="","",'PR Thương Hiệu'!G53)</f>
        <v/>
      </c>
      <c r="H849" s="52" t="str">
        <f>IF('PR Thương Hiệu'!J53="","",'PR Thương Hiệu'!J53)</f>
        <v/>
      </c>
      <c r="I849" s="52" t="str">
        <f>IF('PR Thương Hiệu'!M53="","",'PR Thương Hiệu'!M53)</f>
        <v/>
      </c>
      <c r="J849" s="52" t="str">
        <f>IF('PR Thương Hiệu'!R53="","",'PR Thương Hiệu'!R53)</f>
        <v/>
      </c>
      <c r="K849" s="52" t="str">
        <f t="array" ref="K849">IF(COUNTA('PR Thương Hiệu'!T53:AE53)=0,"",INDEX('PR Thương Hiệu'!T53:AE53,1,SUMPRODUCT(MAX(('PR Thương Hiệu'!T53:AE53&lt;&gt;"")*(COLUMN('PR Thương Hiệu'!T53:AE53)-COLUMN('PR Thương Hiệu'!T53)+1)))))</f>
        <v/>
      </c>
      <c r="L849" s="52" t="str">
        <f>IF(AND(G849&lt;&gt;"",G849='Tổng hợp'!$C$4),MAX(L$1:L848)+1,"")</f>
        <v/>
      </c>
    </row>
    <row r="850" ht="15.75" customHeight="1">
      <c r="A850" s="52" t="str">
        <f>IF('PR Thương Hiệu'!C54="","","PR Thương Hiệu")</f>
        <v/>
      </c>
      <c r="B850" s="52" t="str">
        <f>IF('PR Thương Hiệu'!B54="","",'PR Thương Hiệu'!B54)</f>
        <v/>
      </c>
      <c r="C850" s="52" t="str">
        <f>IF('PR Thương Hiệu'!C54="","",'PR Thương Hiệu'!C54)</f>
        <v/>
      </c>
      <c r="D850" s="52" t="str">
        <f>IF('PR Thương Hiệu'!D54="","",'PR Thương Hiệu'!D54)</f>
        <v/>
      </c>
      <c r="E850" s="52" t="str">
        <f>IF('PR Thương Hiệu'!E54="","",'PR Thương Hiệu'!E54)</f>
        <v/>
      </c>
      <c r="F850" s="52" t="str">
        <f>IF('PR Thương Hiệu'!F54="","",'PR Thương Hiệu'!F54)</f>
        <v/>
      </c>
      <c r="G850" s="52" t="str">
        <f>IF('PR Thương Hiệu'!G54="","",'PR Thương Hiệu'!G54)</f>
        <v/>
      </c>
      <c r="H850" s="52" t="str">
        <f>IF('PR Thương Hiệu'!J54="","",'PR Thương Hiệu'!J54)</f>
        <v/>
      </c>
      <c r="I850" s="52" t="str">
        <f>IF('PR Thương Hiệu'!M54="","",'PR Thương Hiệu'!M54)</f>
        <v/>
      </c>
      <c r="J850" s="52" t="str">
        <f>IF('PR Thương Hiệu'!R54="","",'PR Thương Hiệu'!R54)</f>
        <v/>
      </c>
      <c r="K850" s="52" t="str">
        <f t="array" ref="K850">IF(COUNTA('PR Thương Hiệu'!T54:AE54)=0,"",INDEX('PR Thương Hiệu'!T54:AE54,1,SUMPRODUCT(MAX(('PR Thương Hiệu'!T54:AE54&lt;&gt;"")*(COLUMN('PR Thương Hiệu'!T54:AE54)-COLUMN('PR Thương Hiệu'!T54)+1)))))</f>
        <v/>
      </c>
      <c r="L850" s="52" t="str">
        <f>IF(AND(G850&lt;&gt;"",G850='Tổng hợp'!$C$4),MAX(L$1:L849)+1,"")</f>
        <v/>
      </c>
    </row>
    <row r="851" ht="15.75" customHeight="1">
      <c r="A851" s="52" t="str">
        <f>IF('PR Thương Hiệu'!C55="","","PR Thương Hiệu")</f>
        <v/>
      </c>
      <c r="B851" s="52" t="str">
        <f>IF('PR Thương Hiệu'!B55="","",'PR Thương Hiệu'!B55)</f>
        <v/>
      </c>
      <c r="C851" s="52" t="str">
        <f>IF('PR Thương Hiệu'!C55="","",'PR Thương Hiệu'!C55)</f>
        <v/>
      </c>
      <c r="D851" s="52" t="str">
        <f>IF('PR Thương Hiệu'!D55="","",'PR Thương Hiệu'!D55)</f>
        <v/>
      </c>
      <c r="E851" s="52" t="str">
        <f>IF('PR Thương Hiệu'!E55="","",'PR Thương Hiệu'!E55)</f>
        <v/>
      </c>
      <c r="F851" s="52" t="str">
        <f>IF('PR Thương Hiệu'!F55="","",'PR Thương Hiệu'!F55)</f>
        <v/>
      </c>
      <c r="G851" s="52" t="str">
        <f>IF('PR Thương Hiệu'!G55="","",'PR Thương Hiệu'!G55)</f>
        <v/>
      </c>
      <c r="H851" s="52" t="str">
        <f>IF('PR Thương Hiệu'!J55="","",'PR Thương Hiệu'!J55)</f>
        <v/>
      </c>
      <c r="I851" s="52" t="str">
        <f>IF('PR Thương Hiệu'!M55="","",'PR Thương Hiệu'!M55)</f>
        <v/>
      </c>
      <c r="J851" s="52" t="str">
        <f>IF('PR Thương Hiệu'!R55="","",'PR Thương Hiệu'!R55)</f>
        <v/>
      </c>
      <c r="K851" s="52" t="str">
        <f t="array" ref="K851">IF(COUNTA('PR Thương Hiệu'!T55:AE55)=0,"",INDEX('PR Thương Hiệu'!T55:AE55,1,SUMPRODUCT(MAX(('PR Thương Hiệu'!T55:AE55&lt;&gt;"")*(COLUMN('PR Thương Hiệu'!T55:AE55)-COLUMN('PR Thương Hiệu'!T55)+1)))))</f>
        <v/>
      </c>
      <c r="L851" s="52" t="str">
        <f>IF(AND(G851&lt;&gt;"",G851='Tổng hợp'!$C$4),MAX(L$1:L850)+1,"")</f>
        <v/>
      </c>
    </row>
    <row r="852" ht="15.75" customHeight="1">
      <c r="A852" s="52" t="str">
        <f>IF('PR Thương Hiệu'!C56="","","PR Thương Hiệu")</f>
        <v/>
      </c>
      <c r="B852" s="52" t="str">
        <f>IF('PR Thương Hiệu'!B56="","",'PR Thương Hiệu'!B56)</f>
        <v/>
      </c>
      <c r="C852" s="52" t="str">
        <f>IF('PR Thương Hiệu'!C56="","",'PR Thương Hiệu'!C56)</f>
        <v/>
      </c>
      <c r="D852" s="52" t="str">
        <f>IF('PR Thương Hiệu'!D56="","",'PR Thương Hiệu'!D56)</f>
        <v/>
      </c>
      <c r="E852" s="52" t="str">
        <f>IF('PR Thương Hiệu'!E56="","",'PR Thương Hiệu'!E56)</f>
        <v/>
      </c>
      <c r="F852" s="52" t="str">
        <f>IF('PR Thương Hiệu'!F56="","",'PR Thương Hiệu'!F56)</f>
        <v/>
      </c>
      <c r="G852" s="52" t="str">
        <f>IF('PR Thương Hiệu'!G56="","",'PR Thương Hiệu'!G56)</f>
        <v/>
      </c>
      <c r="H852" s="52" t="str">
        <f>IF('PR Thương Hiệu'!J56="","",'PR Thương Hiệu'!J56)</f>
        <v/>
      </c>
      <c r="I852" s="52" t="str">
        <f>IF('PR Thương Hiệu'!M56="","",'PR Thương Hiệu'!M56)</f>
        <v/>
      </c>
      <c r="J852" s="52" t="str">
        <f>IF('PR Thương Hiệu'!R56="","",'PR Thương Hiệu'!R56)</f>
        <v/>
      </c>
      <c r="K852" s="52" t="str">
        <f t="array" ref="K852">IF(COUNTA('PR Thương Hiệu'!T56:AE56)=0,"",INDEX('PR Thương Hiệu'!T56:AE56,1,SUMPRODUCT(MAX(('PR Thương Hiệu'!T56:AE56&lt;&gt;"")*(COLUMN('PR Thương Hiệu'!T56:AE56)-COLUMN('PR Thương Hiệu'!T56)+1)))))</f>
        <v/>
      </c>
      <c r="L852" s="52" t="str">
        <f>IF(AND(G852&lt;&gt;"",G852='Tổng hợp'!$C$4),MAX(L$1:L851)+1,"")</f>
        <v/>
      </c>
    </row>
    <row r="853" ht="15.75" customHeight="1">
      <c r="A853" s="52" t="str">
        <f>IF('PR Thương Hiệu'!C57="","","PR Thương Hiệu")</f>
        <v/>
      </c>
      <c r="B853" s="52" t="str">
        <f>IF('PR Thương Hiệu'!B57="","",'PR Thương Hiệu'!B57)</f>
        <v/>
      </c>
      <c r="C853" s="52" t="str">
        <f>IF('PR Thương Hiệu'!C57="","",'PR Thương Hiệu'!C57)</f>
        <v/>
      </c>
      <c r="D853" s="52" t="str">
        <f>IF('PR Thương Hiệu'!D57="","",'PR Thương Hiệu'!D57)</f>
        <v/>
      </c>
      <c r="E853" s="52" t="str">
        <f>IF('PR Thương Hiệu'!E57="","",'PR Thương Hiệu'!E57)</f>
        <v/>
      </c>
      <c r="F853" s="52" t="str">
        <f>IF('PR Thương Hiệu'!F57="","",'PR Thương Hiệu'!F57)</f>
        <v/>
      </c>
      <c r="G853" s="52" t="str">
        <f>IF('PR Thương Hiệu'!G57="","",'PR Thương Hiệu'!G57)</f>
        <v/>
      </c>
      <c r="H853" s="52" t="str">
        <f>IF('PR Thương Hiệu'!J57="","",'PR Thương Hiệu'!J57)</f>
        <v/>
      </c>
      <c r="I853" s="52" t="str">
        <f>IF('PR Thương Hiệu'!M57="","",'PR Thương Hiệu'!M57)</f>
        <v/>
      </c>
      <c r="J853" s="52" t="str">
        <f>IF('PR Thương Hiệu'!R57="","",'PR Thương Hiệu'!R57)</f>
        <v/>
      </c>
      <c r="K853" s="52" t="str">
        <f t="array" ref="K853">IF(COUNTA('PR Thương Hiệu'!T57:AE57)=0,"",INDEX('PR Thương Hiệu'!T57:AE57,1,SUMPRODUCT(MAX(('PR Thương Hiệu'!T57:AE57&lt;&gt;"")*(COLUMN('PR Thương Hiệu'!T57:AE57)-COLUMN('PR Thương Hiệu'!T57)+1)))))</f>
        <v/>
      </c>
      <c r="L853" s="52" t="str">
        <f>IF(AND(G853&lt;&gt;"",G853='Tổng hợp'!$C$4),MAX(L$1:L852)+1,"")</f>
        <v/>
      </c>
    </row>
    <row r="854" ht="15.75" customHeight="1">
      <c r="A854" s="52" t="str">
        <f>IF('PR Thương Hiệu'!C58="","","PR Thương Hiệu")</f>
        <v/>
      </c>
      <c r="B854" s="52" t="str">
        <f>IF('PR Thương Hiệu'!B58="","",'PR Thương Hiệu'!B58)</f>
        <v/>
      </c>
      <c r="C854" s="52" t="str">
        <f>IF('PR Thương Hiệu'!C58="","",'PR Thương Hiệu'!C58)</f>
        <v/>
      </c>
      <c r="D854" s="52" t="str">
        <f>IF('PR Thương Hiệu'!D58="","",'PR Thương Hiệu'!D58)</f>
        <v/>
      </c>
      <c r="E854" s="52" t="str">
        <f>IF('PR Thương Hiệu'!E58="","",'PR Thương Hiệu'!E58)</f>
        <v/>
      </c>
      <c r="F854" s="52" t="str">
        <f>IF('PR Thương Hiệu'!F58="","",'PR Thương Hiệu'!F58)</f>
        <v/>
      </c>
      <c r="G854" s="52" t="str">
        <f>IF('PR Thương Hiệu'!G58="","",'PR Thương Hiệu'!G58)</f>
        <v/>
      </c>
      <c r="H854" s="52" t="str">
        <f>IF('PR Thương Hiệu'!J58="","",'PR Thương Hiệu'!J58)</f>
        <v/>
      </c>
      <c r="I854" s="52" t="str">
        <f>IF('PR Thương Hiệu'!M58="","",'PR Thương Hiệu'!M58)</f>
        <v/>
      </c>
      <c r="J854" s="52" t="str">
        <f>IF('PR Thương Hiệu'!R58="","",'PR Thương Hiệu'!R58)</f>
        <v/>
      </c>
      <c r="K854" s="52" t="str">
        <f t="array" ref="K854">IF(COUNTA('PR Thương Hiệu'!T58:AE58)=0,"",INDEX('PR Thương Hiệu'!T58:AE58,1,SUMPRODUCT(MAX(('PR Thương Hiệu'!T58:AE58&lt;&gt;"")*(COLUMN('PR Thương Hiệu'!T58:AE58)-COLUMN('PR Thương Hiệu'!T58)+1)))))</f>
        <v/>
      </c>
      <c r="L854" s="52" t="str">
        <f>IF(AND(G854&lt;&gt;"",G854='Tổng hợp'!$C$4),MAX(L$1:L853)+1,"")</f>
        <v/>
      </c>
    </row>
    <row r="855" ht="15.75" customHeight="1">
      <c r="A855" s="52" t="str">
        <f>IF('PR Thương Hiệu'!C59="","","PR Thương Hiệu")</f>
        <v/>
      </c>
      <c r="B855" s="52" t="str">
        <f>IF('PR Thương Hiệu'!B59="","",'PR Thương Hiệu'!B59)</f>
        <v/>
      </c>
      <c r="C855" s="52" t="str">
        <f>IF('PR Thương Hiệu'!C59="","",'PR Thương Hiệu'!C59)</f>
        <v/>
      </c>
      <c r="D855" s="52" t="str">
        <f>IF('PR Thương Hiệu'!D59="","",'PR Thương Hiệu'!D59)</f>
        <v/>
      </c>
      <c r="E855" s="52" t="str">
        <f>IF('PR Thương Hiệu'!E59="","",'PR Thương Hiệu'!E59)</f>
        <v/>
      </c>
      <c r="F855" s="52" t="str">
        <f>IF('PR Thương Hiệu'!F59="","",'PR Thương Hiệu'!F59)</f>
        <v/>
      </c>
      <c r="G855" s="52" t="str">
        <f>IF('PR Thương Hiệu'!G59="","",'PR Thương Hiệu'!G59)</f>
        <v/>
      </c>
      <c r="H855" s="52" t="str">
        <f>IF('PR Thương Hiệu'!J59="","",'PR Thương Hiệu'!J59)</f>
        <v/>
      </c>
      <c r="I855" s="52" t="str">
        <f>IF('PR Thương Hiệu'!M59="","",'PR Thương Hiệu'!M59)</f>
        <v/>
      </c>
      <c r="J855" s="52" t="str">
        <f>IF('PR Thương Hiệu'!R59="","",'PR Thương Hiệu'!R59)</f>
        <v/>
      </c>
      <c r="K855" s="52" t="str">
        <f t="array" ref="K855">IF(COUNTA('PR Thương Hiệu'!T59:AE59)=0,"",INDEX('PR Thương Hiệu'!T59:AE59,1,SUMPRODUCT(MAX(('PR Thương Hiệu'!T59:AE59&lt;&gt;"")*(COLUMN('PR Thương Hiệu'!T59:AE59)-COLUMN('PR Thương Hiệu'!T59)+1)))))</f>
        <v/>
      </c>
      <c r="L855" s="52" t="str">
        <f>IF(AND(G855&lt;&gt;"",G855='Tổng hợp'!$C$4),MAX(L$1:L854)+1,"")</f>
        <v/>
      </c>
    </row>
    <row r="856" ht="15.75" customHeight="1">
      <c r="A856" s="52" t="str">
        <f>IF('PR Thương Hiệu'!C60="","","PR Thương Hiệu")</f>
        <v/>
      </c>
      <c r="B856" s="52" t="str">
        <f>IF('PR Thương Hiệu'!B60="","",'PR Thương Hiệu'!B60)</f>
        <v/>
      </c>
      <c r="C856" s="52" t="str">
        <f>IF('PR Thương Hiệu'!C60="","",'PR Thương Hiệu'!C60)</f>
        <v/>
      </c>
      <c r="D856" s="52" t="str">
        <f>IF('PR Thương Hiệu'!D60="","",'PR Thương Hiệu'!D60)</f>
        <v/>
      </c>
      <c r="E856" s="52" t="str">
        <f>IF('PR Thương Hiệu'!E60="","",'PR Thương Hiệu'!E60)</f>
        <v/>
      </c>
      <c r="F856" s="52" t="str">
        <f>IF('PR Thương Hiệu'!F60="","",'PR Thương Hiệu'!F60)</f>
        <v/>
      </c>
      <c r="G856" s="52" t="str">
        <f>IF('PR Thương Hiệu'!G60="","",'PR Thương Hiệu'!G60)</f>
        <v/>
      </c>
      <c r="H856" s="52" t="str">
        <f>IF('PR Thương Hiệu'!J60="","",'PR Thương Hiệu'!J60)</f>
        <v/>
      </c>
      <c r="I856" s="52" t="str">
        <f>IF('PR Thương Hiệu'!M60="","",'PR Thương Hiệu'!M60)</f>
        <v/>
      </c>
      <c r="J856" s="52" t="str">
        <f>IF('PR Thương Hiệu'!R60="","",'PR Thương Hiệu'!R60)</f>
        <v/>
      </c>
      <c r="K856" s="52" t="str">
        <f t="array" ref="K856">IF(COUNTA('PR Thương Hiệu'!T60:AE60)=0,"",INDEX('PR Thương Hiệu'!T60:AE60,1,SUMPRODUCT(MAX(('PR Thương Hiệu'!T60:AE60&lt;&gt;"")*(COLUMN('PR Thương Hiệu'!T60:AE60)-COLUMN('PR Thương Hiệu'!T60)+1)))))</f>
        <v/>
      </c>
      <c r="L856" s="52" t="str">
        <f>IF(AND(G856&lt;&gt;"",G856='Tổng hợp'!$C$4),MAX(L$1:L855)+1,"")</f>
        <v/>
      </c>
    </row>
    <row r="857" ht="15.75" customHeight="1">
      <c r="A857" s="52" t="str">
        <f>IF('PR Thương Hiệu'!C61="","","PR Thương Hiệu")</f>
        <v/>
      </c>
      <c r="B857" s="52" t="str">
        <f>IF('PR Thương Hiệu'!B61="","",'PR Thương Hiệu'!B61)</f>
        <v/>
      </c>
      <c r="C857" s="52" t="str">
        <f>IF('PR Thương Hiệu'!C61="","",'PR Thương Hiệu'!C61)</f>
        <v/>
      </c>
      <c r="D857" s="52" t="str">
        <f>IF('PR Thương Hiệu'!D61="","",'PR Thương Hiệu'!D61)</f>
        <v/>
      </c>
      <c r="E857" s="52" t="str">
        <f>IF('PR Thương Hiệu'!E61="","",'PR Thương Hiệu'!E61)</f>
        <v/>
      </c>
      <c r="F857" s="52" t="str">
        <f>IF('PR Thương Hiệu'!F61="","",'PR Thương Hiệu'!F61)</f>
        <v/>
      </c>
      <c r="G857" s="52" t="str">
        <f>IF('PR Thương Hiệu'!G61="","",'PR Thương Hiệu'!G61)</f>
        <v/>
      </c>
      <c r="H857" s="52" t="str">
        <f>IF('PR Thương Hiệu'!J61="","",'PR Thương Hiệu'!J61)</f>
        <v/>
      </c>
      <c r="I857" s="52" t="str">
        <f>IF('PR Thương Hiệu'!M61="","",'PR Thương Hiệu'!M61)</f>
        <v/>
      </c>
      <c r="J857" s="52" t="str">
        <f>IF('PR Thương Hiệu'!R61="","",'PR Thương Hiệu'!R61)</f>
        <v/>
      </c>
      <c r="K857" s="52" t="str">
        <f t="array" ref="K857">IF(COUNTA('PR Thương Hiệu'!T61:AE61)=0,"",INDEX('PR Thương Hiệu'!T61:AE61,1,SUMPRODUCT(MAX(('PR Thương Hiệu'!T61:AE61&lt;&gt;"")*(COLUMN('PR Thương Hiệu'!T61:AE61)-COLUMN('PR Thương Hiệu'!T61)+1)))))</f>
        <v/>
      </c>
      <c r="L857" s="52" t="str">
        <f>IF(AND(G857&lt;&gt;"",G857='Tổng hợp'!$C$4),MAX(L$1:L856)+1,"")</f>
        <v/>
      </c>
    </row>
    <row r="858" ht="15.75" customHeight="1">
      <c r="A858" s="52" t="str">
        <f>IF('PR Thương Hiệu'!C62="","","PR Thương Hiệu")</f>
        <v/>
      </c>
      <c r="B858" s="52" t="str">
        <f>IF('PR Thương Hiệu'!B62="","",'PR Thương Hiệu'!B62)</f>
        <v/>
      </c>
      <c r="C858" s="52" t="str">
        <f>IF('PR Thương Hiệu'!C62="","",'PR Thương Hiệu'!C62)</f>
        <v/>
      </c>
      <c r="D858" s="52" t="str">
        <f>IF('PR Thương Hiệu'!D62="","",'PR Thương Hiệu'!D62)</f>
        <v/>
      </c>
      <c r="E858" s="52" t="str">
        <f>IF('PR Thương Hiệu'!E62="","",'PR Thương Hiệu'!E62)</f>
        <v/>
      </c>
      <c r="F858" s="52" t="str">
        <f>IF('PR Thương Hiệu'!F62="","",'PR Thương Hiệu'!F62)</f>
        <v/>
      </c>
      <c r="G858" s="52" t="str">
        <f>IF('PR Thương Hiệu'!G62="","",'PR Thương Hiệu'!G62)</f>
        <v/>
      </c>
      <c r="H858" s="52" t="str">
        <f>IF('PR Thương Hiệu'!J62="","",'PR Thương Hiệu'!J62)</f>
        <v/>
      </c>
      <c r="I858" s="52" t="str">
        <f>IF('PR Thương Hiệu'!M62="","",'PR Thương Hiệu'!M62)</f>
        <v/>
      </c>
      <c r="J858" s="52" t="str">
        <f>IF('PR Thương Hiệu'!R62="","",'PR Thương Hiệu'!R62)</f>
        <v/>
      </c>
      <c r="K858" s="52" t="str">
        <f t="array" ref="K858">IF(COUNTA('PR Thương Hiệu'!T62:AE62)=0,"",INDEX('PR Thương Hiệu'!T62:AE62,1,SUMPRODUCT(MAX(('PR Thương Hiệu'!T62:AE62&lt;&gt;"")*(COLUMN('PR Thương Hiệu'!T62:AE62)-COLUMN('PR Thương Hiệu'!T62)+1)))))</f>
        <v/>
      </c>
      <c r="L858" s="52" t="str">
        <f>IF(AND(G858&lt;&gt;"",G858='Tổng hợp'!$C$4),MAX(L$1:L857)+1,"")</f>
        <v/>
      </c>
    </row>
    <row r="859" ht="15.75" customHeight="1">
      <c r="A859" s="52" t="str">
        <f>IF('PR Thương Hiệu'!C63="","","PR Thương Hiệu")</f>
        <v/>
      </c>
      <c r="B859" s="52" t="str">
        <f>IF('PR Thương Hiệu'!B63="","",'PR Thương Hiệu'!B63)</f>
        <v/>
      </c>
      <c r="C859" s="52" t="str">
        <f>IF('PR Thương Hiệu'!C63="","",'PR Thương Hiệu'!C63)</f>
        <v/>
      </c>
      <c r="D859" s="52" t="str">
        <f>IF('PR Thương Hiệu'!D63="","",'PR Thương Hiệu'!D63)</f>
        <v/>
      </c>
      <c r="E859" s="52" t="str">
        <f>IF('PR Thương Hiệu'!E63="","",'PR Thương Hiệu'!E63)</f>
        <v/>
      </c>
      <c r="F859" s="52" t="str">
        <f>IF('PR Thương Hiệu'!F63="","",'PR Thương Hiệu'!F63)</f>
        <v/>
      </c>
      <c r="G859" s="52" t="str">
        <f>IF('PR Thương Hiệu'!G63="","",'PR Thương Hiệu'!G63)</f>
        <v/>
      </c>
      <c r="H859" s="52" t="str">
        <f>IF('PR Thương Hiệu'!J63="","",'PR Thương Hiệu'!J63)</f>
        <v/>
      </c>
      <c r="I859" s="52" t="str">
        <f>IF('PR Thương Hiệu'!M63="","",'PR Thương Hiệu'!M63)</f>
        <v/>
      </c>
      <c r="J859" s="52" t="str">
        <f>IF('PR Thương Hiệu'!R63="","",'PR Thương Hiệu'!R63)</f>
        <v/>
      </c>
      <c r="K859" s="52" t="str">
        <f t="array" ref="K859">IF(COUNTA('PR Thương Hiệu'!T63:AE63)=0,"",INDEX('PR Thương Hiệu'!T63:AE63,1,SUMPRODUCT(MAX(('PR Thương Hiệu'!T63:AE63&lt;&gt;"")*(COLUMN('PR Thương Hiệu'!T63:AE63)-COLUMN('PR Thương Hiệu'!T63)+1)))))</f>
        <v/>
      </c>
      <c r="L859" s="52" t="str">
        <f>IF(AND(G859&lt;&gt;"",G859='Tổng hợp'!$C$4),MAX(L$1:L858)+1,"")</f>
        <v/>
      </c>
    </row>
    <row r="860" ht="15.75" customHeight="1">
      <c r="A860" s="52" t="str">
        <f>IF('PR Thương Hiệu'!C64="","","PR Thương Hiệu")</f>
        <v/>
      </c>
      <c r="B860" s="52" t="str">
        <f>IF('PR Thương Hiệu'!B64="","",'PR Thương Hiệu'!B64)</f>
        <v/>
      </c>
      <c r="C860" s="52" t="str">
        <f>IF('PR Thương Hiệu'!C64="","",'PR Thương Hiệu'!C64)</f>
        <v/>
      </c>
      <c r="D860" s="52" t="str">
        <f>IF('PR Thương Hiệu'!D64="","",'PR Thương Hiệu'!D64)</f>
        <v/>
      </c>
      <c r="E860" s="52" t="str">
        <f>IF('PR Thương Hiệu'!E64="","",'PR Thương Hiệu'!E64)</f>
        <v/>
      </c>
      <c r="F860" s="52" t="str">
        <f>IF('PR Thương Hiệu'!F64="","",'PR Thương Hiệu'!F64)</f>
        <v/>
      </c>
      <c r="G860" s="52" t="str">
        <f>IF('PR Thương Hiệu'!G64="","",'PR Thương Hiệu'!G64)</f>
        <v/>
      </c>
      <c r="H860" s="52" t="str">
        <f>IF('PR Thương Hiệu'!J64="","",'PR Thương Hiệu'!J64)</f>
        <v/>
      </c>
      <c r="I860" s="52" t="str">
        <f>IF('PR Thương Hiệu'!M64="","",'PR Thương Hiệu'!M64)</f>
        <v/>
      </c>
      <c r="J860" s="52" t="str">
        <f>IF('PR Thương Hiệu'!R64="","",'PR Thương Hiệu'!R64)</f>
        <v/>
      </c>
      <c r="K860" s="52" t="str">
        <f t="array" ref="K860">IF(COUNTA('PR Thương Hiệu'!T64:AE64)=0,"",INDEX('PR Thương Hiệu'!T64:AE64,1,SUMPRODUCT(MAX(('PR Thương Hiệu'!T64:AE64&lt;&gt;"")*(COLUMN('PR Thương Hiệu'!T64:AE64)-COLUMN('PR Thương Hiệu'!T64)+1)))))</f>
        <v/>
      </c>
      <c r="L860" s="52" t="str">
        <f>IF(AND(G860&lt;&gt;"",G860='Tổng hợp'!$C$4),MAX(L$1:L859)+1,"")</f>
        <v/>
      </c>
    </row>
    <row r="861" ht="15.75" customHeight="1">
      <c r="A861" s="52" t="str">
        <f>IF('PR Thương Hiệu'!C65="","","PR Thương Hiệu")</f>
        <v/>
      </c>
      <c r="B861" s="52" t="str">
        <f>IF('PR Thương Hiệu'!B65="","",'PR Thương Hiệu'!B65)</f>
        <v/>
      </c>
      <c r="C861" s="52" t="str">
        <f>IF('PR Thương Hiệu'!C65="","",'PR Thương Hiệu'!C65)</f>
        <v/>
      </c>
      <c r="D861" s="52" t="str">
        <f>IF('PR Thương Hiệu'!D65="","",'PR Thương Hiệu'!D65)</f>
        <v/>
      </c>
      <c r="E861" s="52" t="str">
        <f>IF('PR Thương Hiệu'!E65="","",'PR Thương Hiệu'!E65)</f>
        <v/>
      </c>
      <c r="F861" s="52" t="str">
        <f>IF('PR Thương Hiệu'!F65="","",'PR Thương Hiệu'!F65)</f>
        <v/>
      </c>
      <c r="G861" s="52" t="str">
        <f>IF('PR Thương Hiệu'!G65="","",'PR Thương Hiệu'!G65)</f>
        <v/>
      </c>
      <c r="H861" s="52" t="str">
        <f>IF('PR Thương Hiệu'!J65="","",'PR Thương Hiệu'!J65)</f>
        <v/>
      </c>
      <c r="I861" s="52" t="str">
        <f>IF('PR Thương Hiệu'!M65="","",'PR Thương Hiệu'!M65)</f>
        <v/>
      </c>
      <c r="J861" s="52" t="str">
        <f>IF('PR Thương Hiệu'!R65="","",'PR Thương Hiệu'!R65)</f>
        <v/>
      </c>
      <c r="K861" s="52" t="str">
        <f t="array" ref="K861">IF(COUNTA('PR Thương Hiệu'!T65:AE65)=0,"",INDEX('PR Thương Hiệu'!T65:AE65,1,SUMPRODUCT(MAX(('PR Thương Hiệu'!T65:AE65&lt;&gt;"")*(COLUMN('PR Thương Hiệu'!T65:AE65)-COLUMN('PR Thương Hiệu'!T65)+1)))))</f>
        <v/>
      </c>
      <c r="L861" s="52" t="str">
        <f>IF(AND(G861&lt;&gt;"",G861='Tổng hợp'!$C$4),MAX(L$1:L860)+1,"")</f>
        <v/>
      </c>
    </row>
    <row r="862" ht="15.75" customHeight="1">
      <c r="A862" s="52" t="str">
        <f>IF('PR Thương Hiệu'!C66="","","PR Thương Hiệu")</f>
        <v/>
      </c>
      <c r="B862" s="52" t="str">
        <f>IF('PR Thương Hiệu'!B66="","",'PR Thương Hiệu'!B66)</f>
        <v/>
      </c>
      <c r="C862" s="52" t="str">
        <f>IF('PR Thương Hiệu'!C66="","",'PR Thương Hiệu'!C66)</f>
        <v/>
      </c>
      <c r="D862" s="52" t="str">
        <f>IF('PR Thương Hiệu'!D66="","",'PR Thương Hiệu'!D66)</f>
        <v/>
      </c>
      <c r="E862" s="52" t="str">
        <f>IF('PR Thương Hiệu'!E66="","",'PR Thương Hiệu'!E66)</f>
        <v/>
      </c>
      <c r="F862" s="52" t="str">
        <f>IF('PR Thương Hiệu'!F66="","",'PR Thương Hiệu'!F66)</f>
        <v/>
      </c>
      <c r="G862" s="52" t="str">
        <f>IF('PR Thương Hiệu'!G66="","",'PR Thương Hiệu'!G66)</f>
        <v/>
      </c>
      <c r="H862" s="52" t="str">
        <f>IF('PR Thương Hiệu'!J66="","",'PR Thương Hiệu'!J66)</f>
        <v/>
      </c>
      <c r="I862" s="52" t="str">
        <f>IF('PR Thương Hiệu'!M66="","",'PR Thương Hiệu'!M66)</f>
        <v/>
      </c>
      <c r="J862" s="52" t="str">
        <f>IF('PR Thương Hiệu'!R66="","",'PR Thương Hiệu'!R66)</f>
        <v/>
      </c>
      <c r="K862" s="52" t="str">
        <f t="array" ref="K862">IF(COUNTA('PR Thương Hiệu'!T66:AE66)=0,"",INDEX('PR Thương Hiệu'!T66:AE66,1,SUMPRODUCT(MAX(('PR Thương Hiệu'!T66:AE66&lt;&gt;"")*(COLUMN('PR Thương Hiệu'!T66:AE66)-COLUMN('PR Thương Hiệu'!T66)+1)))))</f>
        <v/>
      </c>
      <c r="L862" s="52" t="str">
        <f>IF(AND(G862&lt;&gt;"",G862='Tổng hợp'!$C$4),MAX(L$1:L861)+1,"")</f>
        <v/>
      </c>
    </row>
    <row r="863" ht="15.75" customHeight="1">
      <c r="A863" s="52" t="str">
        <f>IF('PR Thương Hiệu'!C67="","","PR Thương Hiệu")</f>
        <v/>
      </c>
      <c r="B863" s="52" t="str">
        <f>IF('PR Thương Hiệu'!B67="","",'PR Thương Hiệu'!B67)</f>
        <v/>
      </c>
      <c r="C863" s="52" t="str">
        <f>IF('PR Thương Hiệu'!C67="","",'PR Thương Hiệu'!C67)</f>
        <v/>
      </c>
      <c r="D863" s="52" t="str">
        <f>IF('PR Thương Hiệu'!D67="","",'PR Thương Hiệu'!D67)</f>
        <v/>
      </c>
      <c r="E863" s="52" t="str">
        <f>IF('PR Thương Hiệu'!E67="","",'PR Thương Hiệu'!E67)</f>
        <v/>
      </c>
      <c r="F863" s="52" t="str">
        <f>IF('PR Thương Hiệu'!F67="","",'PR Thương Hiệu'!F67)</f>
        <v/>
      </c>
      <c r="G863" s="52" t="str">
        <f>IF('PR Thương Hiệu'!G67="","",'PR Thương Hiệu'!G67)</f>
        <v/>
      </c>
      <c r="H863" s="52" t="str">
        <f>IF('PR Thương Hiệu'!J67="","",'PR Thương Hiệu'!J67)</f>
        <v/>
      </c>
      <c r="I863" s="52" t="str">
        <f>IF('PR Thương Hiệu'!M67="","",'PR Thương Hiệu'!M67)</f>
        <v/>
      </c>
      <c r="J863" s="52" t="str">
        <f>IF('PR Thương Hiệu'!R67="","",'PR Thương Hiệu'!R67)</f>
        <v/>
      </c>
      <c r="K863" s="52" t="str">
        <f t="array" ref="K863">IF(COUNTA('PR Thương Hiệu'!T67:AE67)=0,"",INDEX('PR Thương Hiệu'!T67:AE67,1,SUMPRODUCT(MAX(('PR Thương Hiệu'!T67:AE67&lt;&gt;"")*(COLUMN('PR Thương Hiệu'!T67:AE67)-COLUMN('PR Thương Hiệu'!T67)+1)))))</f>
        <v/>
      </c>
      <c r="L863" s="52" t="str">
        <f>IF(AND(G863&lt;&gt;"",G863='Tổng hợp'!$C$4),MAX(L$1:L862)+1,"")</f>
        <v/>
      </c>
    </row>
    <row r="864" ht="15.75" customHeight="1">
      <c r="A864" s="52" t="str">
        <f>IF('PR Thương Hiệu'!C68="","","PR Thương Hiệu")</f>
        <v/>
      </c>
      <c r="B864" s="52" t="str">
        <f>IF('PR Thương Hiệu'!B68="","",'PR Thương Hiệu'!B68)</f>
        <v/>
      </c>
      <c r="C864" s="52" t="str">
        <f>IF('PR Thương Hiệu'!C68="","",'PR Thương Hiệu'!C68)</f>
        <v/>
      </c>
      <c r="D864" s="52" t="str">
        <f>IF('PR Thương Hiệu'!D68="","",'PR Thương Hiệu'!D68)</f>
        <v/>
      </c>
      <c r="E864" s="52" t="str">
        <f>IF('PR Thương Hiệu'!E68="","",'PR Thương Hiệu'!E68)</f>
        <v/>
      </c>
      <c r="F864" s="52" t="str">
        <f>IF('PR Thương Hiệu'!F68="","",'PR Thương Hiệu'!F68)</f>
        <v/>
      </c>
      <c r="G864" s="52" t="str">
        <f>IF('PR Thương Hiệu'!G68="","",'PR Thương Hiệu'!G68)</f>
        <v/>
      </c>
      <c r="H864" s="52" t="str">
        <f>IF('PR Thương Hiệu'!J68="","",'PR Thương Hiệu'!J68)</f>
        <v/>
      </c>
      <c r="I864" s="52" t="str">
        <f>IF('PR Thương Hiệu'!M68="","",'PR Thương Hiệu'!M68)</f>
        <v/>
      </c>
      <c r="J864" s="52" t="str">
        <f>IF('PR Thương Hiệu'!R68="","",'PR Thương Hiệu'!R68)</f>
        <v/>
      </c>
      <c r="K864" s="52" t="str">
        <f t="array" ref="K864">IF(COUNTA('PR Thương Hiệu'!T68:AE68)=0,"",INDEX('PR Thương Hiệu'!T68:AE68,1,SUMPRODUCT(MAX(('PR Thương Hiệu'!T68:AE68&lt;&gt;"")*(COLUMN('PR Thương Hiệu'!T68:AE68)-COLUMN('PR Thương Hiệu'!T68)+1)))))</f>
        <v/>
      </c>
      <c r="L864" s="52" t="str">
        <f>IF(AND(G864&lt;&gt;"",G864='Tổng hợp'!$C$4),MAX(L$1:L863)+1,"")</f>
        <v/>
      </c>
    </row>
    <row r="865" ht="15.75" customHeight="1">
      <c r="A865" s="52" t="str">
        <f>IF('PR Thương Hiệu'!C69="","","PR Thương Hiệu")</f>
        <v/>
      </c>
      <c r="B865" s="52" t="str">
        <f>IF('PR Thương Hiệu'!B69="","",'PR Thương Hiệu'!B69)</f>
        <v/>
      </c>
      <c r="C865" s="52" t="str">
        <f>IF('PR Thương Hiệu'!C69="","",'PR Thương Hiệu'!C69)</f>
        <v/>
      </c>
      <c r="D865" s="52" t="str">
        <f>IF('PR Thương Hiệu'!D69="","",'PR Thương Hiệu'!D69)</f>
        <v/>
      </c>
      <c r="E865" s="52" t="str">
        <f>IF('PR Thương Hiệu'!E69="","",'PR Thương Hiệu'!E69)</f>
        <v/>
      </c>
      <c r="F865" s="52" t="str">
        <f>IF('PR Thương Hiệu'!F69="","",'PR Thương Hiệu'!F69)</f>
        <v/>
      </c>
      <c r="G865" s="52" t="str">
        <f>IF('PR Thương Hiệu'!G69="","",'PR Thương Hiệu'!G69)</f>
        <v/>
      </c>
      <c r="H865" s="52" t="str">
        <f>IF('PR Thương Hiệu'!J69="","",'PR Thương Hiệu'!J69)</f>
        <v/>
      </c>
      <c r="I865" s="52" t="str">
        <f>IF('PR Thương Hiệu'!M69="","",'PR Thương Hiệu'!M69)</f>
        <v/>
      </c>
      <c r="J865" s="52" t="str">
        <f>IF('PR Thương Hiệu'!R69="","",'PR Thương Hiệu'!R69)</f>
        <v/>
      </c>
      <c r="K865" s="52" t="str">
        <f t="array" ref="K865">IF(COUNTA('PR Thương Hiệu'!T69:AE69)=0,"",INDEX('PR Thương Hiệu'!T69:AE69,1,SUMPRODUCT(MAX(('PR Thương Hiệu'!T69:AE69&lt;&gt;"")*(COLUMN('PR Thương Hiệu'!T69:AE69)-COLUMN('PR Thương Hiệu'!T69)+1)))))</f>
        <v/>
      </c>
      <c r="L865" s="52" t="str">
        <f>IF(AND(G865&lt;&gt;"",G865='Tổng hợp'!$C$4),MAX(L$1:L864)+1,"")</f>
        <v/>
      </c>
    </row>
    <row r="866" ht="15.75" customHeight="1">
      <c r="A866" s="52" t="str">
        <f>IF('PR Thương Hiệu'!C70="","","PR Thương Hiệu")</f>
        <v/>
      </c>
      <c r="B866" s="52" t="str">
        <f>IF('PR Thương Hiệu'!B70="","",'PR Thương Hiệu'!B70)</f>
        <v/>
      </c>
      <c r="C866" s="52" t="str">
        <f>IF('PR Thương Hiệu'!C70="","",'PR Thương Hiệu'!C70)</f>
        <v/>
      </c>
      <c r="D866" s="52" t="str">
        <f>IF('PR Thương Hiệu'!D70="","",'PR Thương Hiệu'!D70)</f>
        <v/>
      </c>
      <c r="E866" s="52" t="str">
        <f>IF('PR Thương Hiệu'!E70="","",'PR Thương Hiệu'!E70)</f>
        <v/>
      </c>
      <c r="F866" s="52" t="str">
        <f>IF('PR Thương Hiệu'!F70="","",'PR Thương Hiệu'!F70)</f>
        <v/>
      </c>
      <c r="G866" s="52" t="str">
        <f>IF('PR Thương Hiệu'!G70="","",'PR Thương Hiệu'!G70)</f>
        <v/>
      </c>
      <c r="H866" s="52" t="str">
        <f>IF('PR Thương Hiệu'!J70="","",'PR Thương Hiệu'!J70)</f>
        <v/>
      </c>
      <c r="I866" s="52" t="str">
        <f>IF('PR Thương Hiệu'!M70="","",'PR Thương Hiệu'!M70)</f>
        <v/>
      </c>
      <c r="J866" s="52" t="str">
        <f>IF('PR Thương Hiệu'!R70="","",'PR Thương Hiệu'!R70)</f>
        <v/>
      </c>
      <c r="K866" s="52" t="str">
        <f t="array" ref="K866">IF(COUNTA('PR Thương Hiệu'!T70:AE70)=0,"",INDEX('PR Thương Hiệu'!T70:AE70,1,SUMPRODUCT(MAX(('PR Thương Hiệu'!T70:AE70&lt;&gt;"")*(COLUMN('PR Thương Hiệu'!T70:AE70)-COLUMN('PR Thương Hiệu'!T70)+1)))))</f>
        <v/>
      </c>
      <c r="L866" s="52" t="str">
        <f>IF(AND(G866&lt;&gt;"",G866='Tổng hợp'!$C$4),MAX(L$1:L865)+1,"")</f>
        <v/>
      </c>
    </row>
    <row r="867" ht="15.75" customHeight="1">
      <c r="A867" s="52" t="str">
        <f>IF('PR Thương Hiệu'!C71="","","PR Thương Hiệu")</f>
        <v/>
      </c>
      <c r="B867" s="52" t="str">
        <f>IF('PR Thương Hiệu'!B71="","",'PR Thương Hiệu'!B71)</f>
        <v/>
      </c>
      <c r="C867" s="52" t="str">
        <f>IF('PR Thương Hiệu'!C71="","",'PR Thương Hiệu'!C71)</f>
        <v/>
      </c>
      <c r="D867" s="52" t="str">
        <f>IF('PR Thương Hiệu'!D71="","",'PR Thương Hiệu'!D71)</f>
        <v/>
      </c>
      <c r="E867" s="52" t="str">
        <f>IF('PR Thương Hiệu'!E71="","",'PR Thương Hiệu'!E71)</f>
        <v/>
      </c>
      <c r="F867" s="52" t="str">
        <f>IF('PR Thương Hiệu'!F71="","",'PR Thương Hiệu'!F71)</f>
        <v/>
      </c>
      <c r="G867" s="52" t="str">
        <f>IF('PR Thương Hiệu'!G71="","",'PR Thương Hiệu'!G71)</f>
        <v/>
      </c>
      <c r="H867" s="52" t="str">
        <f>IF('PR Thương Hiệu'!J71="","",'PR Thương Hiệu'!J71)</f>
        <v/>
      </c>
      <c r="I867" s="52" t="str">
        <f>IF('PR Thương Hiệu'!M71="","",'PR Thương Hiệu'!M71)</f>
        <v/>
      </c>
      <c r="J867" s="52" t="str">
        <f>IF('PR Thương Hiệu'!R71="","",'PR Thương Hiệu'!R71)</f>
        <v/>
      </c>
      <c r="K867" s="52" t="str">
        <f t="array" ref="K867">IF(COUNTA('PR Thương Hiệu'!T71:AE71)=0,"",INDEX('PR Thương Hiệu'!T71:AE71,1,SUMPRODUCT(MAX(('PR Thương Hiệu'!T71:AE71&lt;&gt;"")*(COLUMN('PR Thương Hiệu'!T71:AE71)-COLUMN('PR Thương Hiệu'!T71)+1)))))</f>
        <v/>
      </c>
      <c r="L867" s="52" t="str">
        <f>IF(AND(G867&lt;&gt;"",G867='Tổng hợp'!$C$4),MAX(L$1:L866)+1,"")</f>
        <v/>
      </c>
    </row>
    <row r="868" ht="15.75" customHeight="1">
      <c r="A868" s="52" t="str">
        <f>IF('PR Thương Hiệu'!C72="","","PR Thương Hiệu")</f>
        <v/>
      </c>
      <c r="B868" s="52" t="str">
        <f>IF('PR Thương Hiệu'!B72="","",'PR Thương Hiệu'!B72)</f>
        <v/>
      </c>
      <c r="C868" s="52" t="str">
        <f>IF('PR Thương Hiệu'!C72="","",'PR Thương Hiệu'!C72)</f>
        <v/>
      </c>
      <c r="D868" s="52" t="str">
        <f>IF('PR Thương Hiệu'!D72="","",'PR Thương Hiệu'!D72)</f>
        <v/>
      </c>
      <c r="E868" s="52" t="str">
        <f>IF('PR Thương Hiệu'!E72="","",'PR Thương Hiệu'!E72)</f>
        <v/>
      </c>
      <c r="F868" s="52" t="str">
        <f>IF('PR Thương Hiệu'!F72="","",'PR Thương Hiệu'!F72)</f>
        <v/>
      </c>
      <c r="G868" s="52" t="str">
        <f>IF('PR Thương Hiệu'!G72="","",'PR Thương Hiệu'!G72)</f>
        <v/>
      </c>
      <c r="H868" s="52" t="str">
        <f>IF('PR Thương Hiệu'!J72="","",'PR Thương Hiệu'!J72)</f>
        <v/>
      </c>
      <c r="I868" s="52" t="str">
        <f>IF('PR Thương Hiệu'!M72="","",'PR Thương Hiệu'!M72)</f>
        <v/>
      </c>
      <c r="J868" s="52" t="str">
        <f>IF('PR Thương Hiệu'!R72="","",'PR Thương Hiệu'!R72)</f>
        <v/>
      </c>
      <c r="K868" s="52" t="str">
        <f t="array" ref="K868">IF(COUNTA('PR Thương Hiệu'!T72:AE72)=0,"",INDEX('PR Thương Hiệu'!T72:AE72,1,SUMPRODUCT(MAX(('PR Thương Hiệu'!T72:AE72&lt;&gt;"")*(COLUMN('PR Thương Hiệu'!T72:AE72)-COLUMN('PR Thương Hiệu'!T72)+1)))))</f>
        <v/>
      </c>
      <c r="L868" s="52" t="str">
        <f>IF(AND(G868&lt;&gt;"",G868='Tổng hợp'!$C$4),MAX(L$1:L867)+1,"")</f>
        <v/>
      </c>
    </row>
    <row r="869" ht="15.75" customHeight="1">
      <c r="A869" s="52" t="str">
        <f>IF('PR Thương Hiệu'!C73="","","PR Thương Hiệu")</f>
        <v/>
      </c>
      <c r="B869" s="52" t="str">
        <f>IF('PR Thương Hiệu'!B73="","",'PR Thương Hiệu'!B73)</f>
        <v/>
      </c>
      <c r="C869" s="52" t="str">
        <f>IF('PR Thương Hiệu'!C73="","",'PR Thương Hiệu'!C73)</f>
        <v/>
      </c>
      <c r="D869" s="52" t="str">
        <f>IF('PR Thương Hiệu'!D73="","",'PR Thương Hiệu'!D73)</f>
        <v/>
      </c>
      <c r="E869" s="52" t="str">
        <f>IF('PR Thương Hiệu'!E73="","",'PR Thương Hiệu'!E73)</f>
        <v/>
      </c>
      <c r="F869" s="52" t="str">
        <f>IF('PR Thương Hiệu'!F73="","",'PR Thương Hiệu'!F73)</f>
        <v/>
      </c>
      <c r="G869" s="52" t="str">
        <f>IF('PR Thương Hiệu'!G73="","",'PR Thương Hiệu'!G73)</f>
        <v/>
      </c>
      <c r="H869" s="52" t="str">
        <f>IF('PR Thương Hiệu'!J73="","",'PR Thương Hiệu'!J73)</f>
        <v/>
      </c>
      <c r="I869" s="52" t="str">
        <f>IF('PR Thương Hiệu'!M73="","",'PR Thương Hiệu'!M73)</f>
        <v/>
      </c>
      <c r="J869" s="52" t="str">
        <f>IF('PR Thương Hiệu'!R73="","",'PR Thương Hiệu'!R73)</f>
        <v/>
      </c>
      <c r="K869" s="52" t="str">
        <f t="array" ref="K869">IF(COUNTA('PR Thương Hiệu'!T73:AE73)=0,"",INDEX('PR Thương Hiệu'!T73:AE73,1,SUMPRODUCT(MAX(('PR Thương Hiệu'!T73:AE73&lt;&gt;"")*(COLUMN('PR Thương Hiệu'!T73:AE73)-COLUMN('PR Thương Hiệu'!T73)+1)))))</f>
        <v/>
      </c>
      <c r="L869" s="52" t="str">
        <f>IF(AND(G869&lt;&gt;"",G869='Tổng hợp'!$C$4),MAX(L$1:L868)+1,"")</f>
        <v/>
      </c>
    </row>
    <row r="870" ht="15.75" customHeight="1">
      <c r="A870" s="52" t="str">
        <f>IF('PR Thương Hiệu'!C74="","","PR Thương Hiệu")</f>
        <v/>
      </c>
      <c r="B870" s="52" t="str">
        <f>IF('PR Thương Hiệu'!B74="","",'PR Thương Hiệu'!B74)</f>
        <v/>
      </c>
      <c r="C870" s="52" t="str">
        <f>IF('PR Thương Hiệu'!C74="","",'PR Thương Hiệu'!C74)</f>
        <v/>
      </c>
      <c r="D870" s="52" t="str">
        <f>IF('PR Thương Hiệu'!D74="","",'PR Thương Hiệu'!D74)</f>
        <v/>
      </c>
      <c r="E870" s="52" t="str">
        <f>IF('PR Thương Hiệu'!E74="","",'PR Thương Hiệu'!E74)</f>
        <v/>
      </c>
      <c r="F870" s="52" t="str">
        <f>IF('PR Thương Hiệu'!F74="","",'PR Thương Hiệu'!F74)</f>
        <v/>
      </c>
      <c r="G870" s="52" t="str">
        <f>IF('PR Thương Hiệu'!G74="","",'PR Thương Hiệu'!G74)</f>
        <v/>
      </c>
      <c r="H870" s="52" t="str">
        <f>IF('PR Thương Hiệu'!J74="","",'PR Thương Hiệu'!J74)</f>
        <v/>
      </c>
      <c r="I870" s="52" t="str">
        <f>IF('PR Thương Hiệu'!M74="","",'PR Thương Hiệu'!M74)</f>
        <v/>
      </c>
      <c r="J870" s="52" t="str">
        <f>IF('PR Thương Hiệu'!R74="","",'PR Thương Hiệu'!R74)</f>
        <v/>
      </c>
      <c r="K870" s="52" t="str">
        <f t="array" ref="K870">IF(COUNTA('PR Thương Hiệu'!T74:AE74)=0,"",INDEX('PR Thương Hiệu'!T74:AE74,1,SUMPRODUCT(MAX(('PR Thương Hiệu'!T74:AE74&lt;&gt;"")*(COLUMN('PR Thương Hiệu'!T74:AE74)-COLUMN('PR Thương Hiệu'!T74)+1)))))</f>
        <v/>
      </c>
      <c r="L870" s="52" t="str">
        <f>IF(AND(G870&lt;&gt;"",G870='Tổng hợp'!$C$4),MAX(L$1:L869)+1,"")</f>
        <v/>
      </c>
    </row>
    <row r="871" ht="15.75" customHeight="1">
      <c r="A871" s="52" t="str">
        <f>IF('PR Thương Hiệu'!C75="","","PR Thương Hiệu")</f>
        <v/>
      </c>
      <c r="B871" s="52" t="str">
        <f>IF('PR Thương Hiệu'!B75="","",'PR Thương Hiệu'!B75)</f>
        <v/>
      </c>
      <c r="C871" s="52" t="str">
        <f>IF('PR Thương Hiệu'!C75="","",'PR Thương Hiệu'!C75)</f>
        <v/>
      </c>
      <c r="D871" s="52" t="str">
        <f>IF('PR Thương Hiệu'!D75="","",'PR Thương Hiệu'!D75)</f>
        <v/>
      </c>
      <c r="E871" s="52" t="str">
        <f>IF('PR Thương Hiệu'!E75="","",'PR Thương Hiệu'!E75)</f>
        <v/>
      </c>
      <c r="F871" s="52" t="str">
        <f>IF('PR Thương Hiệu'!F75="","",'PR Thương Hiệu'!F75)</f>
        <v/>
      </c>
      <c r="G871" s="52" t="str">
        <f>IF('PR Thương Hiệu'!G75="","",'PR Thương Hiệu'!G75)</f>
        <v/>
      </c>
      <c r="H871" s="52" t="str">
        <f>IF('PR Thương Hiệu'!J75="","",'PR Thương Hiệu'!J75)</f>
        <v/>
      </c>
      <c r="I871" s="52" t="str">
        <f>IF('PR Thương Hiệu'!M75="","",'PR Thương Hiệu'!M75)</f>
        <v/>
      </c>
      <c r="J871" s="52" t="str">
        <f>IF('PR Thương Hiệu'!R75="","",'PR Thương Hiệu'!R75)</f>
        <v/>
      </c>
      <c r="K871" s="52" t="str">
        <f t="array" ref="K871">IF(COUNTA('PR Thương Hiệu'!T75:AE75)=0,"",INDEX('PR Thương Hiệu'!T75:AE75,1,SUMPRODUCT(MAX(('PR Thương Hiệu'!T75:AE75&lt;&gt;"")*(COLUMN('PR Thương Hiệu'!T75:AE75)-COLUMN('PR Thương Hiệu'!T75)+1)))))</f>
        <v/>
      </c>
      <c r="L871" s="52" t="str">
        <f>IF(AND(G871&lt;&gt;"",G871='Tổng hợp'!$C$4),MAX(L$1:L870)+1,"")</f>
        <v/>
      </c>
    </row>
    <row r="872" ht="15.75" customHeight="1">
      <c r="A872" s="52" t="str">
        <f>IF('PR Thương Hiệu'!C76="","","PR Thương Hiệu")</f>
        <v/>
      </c>
      <c r="B872" s="52" t="str">
        <f>IF('PR Thương Hiệu'!B76="","",'PR Thương Hiệu'!B76)</f>
        <v/>
      </c>
      <c r="C872" s="52" t="str">
        <f>IF('PR Thương Hiệu'!C76="","",'PR Thương Hiệu'!C76)</f>
        <v/>
      </c>
      <c r="D872" s="52" t="str">
        <f>IF('PR Thương Hiệu'!D76="","",'PR Thương Hiệu'!D76)</f>
        <v/>
      </c>
      <c r="E872" s="52" t="str">
        <f>IF('PR Thương Hiệu'!E76="","",'PR Thương Hiệu'!E76)</f>
        <v/>
      </c>
      <c r="F872" s="52" t="str">
        <f>IF('PR Thương Hiệu'!F76="","",'PR Thương Hiệu'!F76)</f>
        <v/>
      </c>
      <c r="G872" s="52" t="str">
        <f>IF('PR Thương Hiệu'!G76="","",'PR Thương Hiệu'!G76)</f>
        <v/>
      </c>
      <c r="H872" s="52" t="str">
        <f>IF('PR Thương Hiệu'!J76="","",'PR Thương Hiệu'!J76)</f>
        <v/>
      </c>
      <c r="I872" s="52" t="str">
        <f>IF('PR Thương Hiệu'!M76="","",'PR Thương Hiệu'!M76)</f>
        <v/>
      </c>
      <c r="J872" s="52" t="str">
        <f>IF('PR Thương Hiệu'!R76="","",'PR Thương Hiệu'!R76)</f>
        <v/>
      </c>
      <c r="K872" s="52" t="str">
        <f t="array" ref="K872">IF(COUNTA('PR Thương Hiệu'!T76:AE76)=0,"",INDEX('PR Thương Hiệu'!T76:AE76,1,SUMPRODUCT(MAX(('PR Thương Hiệu'!T76:AE76&lt;&gt;"")*(COLUMN('PR Thương Hiệu'!T76:AE76)-COLUMN('PR Thương Hiệu'!T76)+1)))))</f>
        <v/>
      </c>
      <c r="L872" s="52" t="str">
        <f>IF(AND(G872&lt;&gt;"",G872='Tổng hợp'!$C$4),MAX(L$1:L871)+1,"")</f>
        <v/>
      </c>
    </row>
    <row r="873" ht="15.75" customHeight="1">
      <c r="A873" s="52" t="str">
        <f>IF('PR Thương Hiệu'!C77="","","PR Thương Hiệu")</f>
        <v/>
      </c>
      <c r="B873" s="52" t="str">
        <f>IF('PR Thương Hiệu'!B77="","",'PR Thương Hiệu'!B77)</f>
        <v/>
      </c>
      <c r="C873" s="52" t="str">
        <f>IF('PR Thương Hiệu'!C77="","",'PR Thương Hiệu'!C77)</f>
        <v/>
      </c>
      <c r="D873" s="52" t="str">
        <f>IF('PR Thương Hiệu'!D77="","",'PR Thương Hiệu'!D77)</f>
        <v/>
      </c>
      <c r="E873" s="52" t="str">
        <f>IF('PR Thương Hiệu'!E77="","",'PR Thương Hiệu'!E77)</f>
        <v/>
      </c>
      <c r="F873" s="52" t="str">
        <f>IF('PR Thương Hiệu'!F77="","",'PR Thương Hiệu'!F77)</f>
        <v/>
      </c>
      <c r="G873" s="52" t="str">
        <f>IF('PR Thương Hiệu'!G77="","",'PR Thương Hiệu'!G77)</f>
        <v/>
      </c>
      <c r="H873" s="52" t="str">
        <f>IF('PR Thương Hiệu'!J77="","",'PR Thương Hiệu'!J77)</f>
        <v/>
      </c>
      <c r="I873" s="52" t="str">
        <f>IF('PR Thương Hiệu'!M77="","",'PR Thương Hiệu'!M77)</f>
        <v/>
      </c>
      <c r="J873" s="52" t="str">
        <f>IF('PR Thương Hiệu'!R77="","",'PR Thương Hiệu'!R77)</f>
        <v/>
      </c>
      <c r="K873" s="52" t="str">
        <f t="array" ref="K873">IF(COUNTA('PR Thương Hiệu'!T77:AE77)=0,"",INDEX('PR Thương Hiệu'!T77:AE77,1,SUMPRODUCT(MAX(('PR Thương Hiệu'!T77:AE77&lt;&gt;"")*(COLUMN('PR Thương Hiệu'!T77:AE77)-COLUMN('PR Thương Hiệu'!T77)+1)))))</f>
        <v/>
      </c>
      <c r="L873" s="52" t="str">
        <f>IF(AND(G873&lt;&gt;"",G873='Tổng hợp'!$C$4),MAX(L$1:L872)+1,"")</f>
        <v/>
      </c>
    </row>
    <row r="874" ht="15.75" customHeight="1">
      <c r="A874" s="52" t="str">
        <f>IF('PR Thương Hiệu'!C78="","","PR Thương Hiệu")</f>
        <v/>
      </c>
      <c r="B874" s="52" t="str">
        <f>IF('PR Thương Hiệu'!B78="","",'PR Thương Hiệu'!B78)</f>
        <v/>
      </c>
      <c r="C874" s="52" t="str">
        <f>IF('PR Thương Hiệu'!C78="","",'PR Thương Hiệu'!C78)</f>
        <v/>
      </c>
      <c r="D874" s="52" t="str">
        <f>IF('PR Thương Hiệu'!D78="","",'PR Thương Hiệu'!D78)</f>
        <v/>
      </c>
      <c r="E874" s="52" t="str">
        <f>IF('PR Thương Hiệu'!E78="","",'PR Thương Hiệu'!E78)</f>
        <v/>
      </c>
      <c r="F874" s="52" t="str">
        <f>IF('PR Thương Hiệu'!F78="","",'PR Thương Hiệu'!F78)</f>
        <v/>
      </c>
      <c r="G874" s="52" t="str">
        <f>IF('PR Thương Hiệu'!G78="","",'PR Thương Hiệu'!G78)</f>
        <v/>
      </c>
      <c r="H874" s="52" t="str">
        <f>IF('PR Thương Hiệu'!J78="","",'PR Thương Hiệu'!J78)</f>
        <v/>
      </c>
      <c r="I874" s="52" t="str">
        <f>IF('PR Thương Hiệu'!M78="","",'PR Thương Hiệu'!M78)</f>
        <v/>
      </c>
      <c r="J874" s="52" t="str">
        <f>IF('PR Thương Hiệu'!R78="","",'PR Thương Hiệu'!R78)</f>
        <v/>
      </c>
      <c r="K874" s="52" t="str">
        <f t="array" ref="K874">IF(COUNTA('PR Thương Hiệu'!T78:AE78)=0,"",INDEX('PR Thương Hiệu'!T78:AE78,1,SUMPRODUCT(MAX(('PR Thương Hiệu'!T78:AE78&lt;&gt;"")*(COLUMN('PR Thương Hiệu'!T78:AE78)-COLUMN('PR Thương Hiệu'!T78)+1)))))</f>
        <v/>
      </c>
      <c r="L874" s="52" t="str">
        <f>IF(AND(G874&lt;&gt;"",G874='Tổng hợp'!$C$4),MAX(L$1:L873)+1,"")</f>
        <v/>
      </c>
    </row>
    <row r="875" ht="15.75" customHeight="1">
      <c r="A875" s="52" t="str">
        <f>IF('PR Thương Hiệu'!C79="","","PR Thương Hiệu")</f>
        <v/>
      </c>
      <c r="B875" s="52" t="str">
        <f>IF('PR Thương Hiệu'!B79="","",'PR Thương Hiệu'!B79)</f>
        <v/>
      </c>
      <c r="C875" s="52" t="str">
        <f>IF('PR Thương Hiệu'!C79="","",'PR Thương Hiệu'!C79)</f>
        <v/>
      </c>
      <c r="D875" s="52" t="str">
        <f>IF('PR Thương Hiệu'!D79="","",'PR Thương Hiệu'!D79)</f>
        <v/>
      </c>
      <c r="E875" s="52" t="str">
        <f>IF('PR Thương Hiệu'!E79="","",'PR Thương Hiệu'!E79)</f>
        <v/>
      </c>
      <c r="F875" s="52" t="str">
        <f>IF('PR Thương Hiệu'!F79="","",'PR Thương Hiệu'!F79)</f>
        <v/>
      </c>
      <c r="G875" s="52" t="str">
        <f>IF('PR Thương Hiệu'!G79="","",'PR Thương Hiệu'!G79)</f>
        <v/>
      </c>
      <c r="H875" s="52" t="str">
        <f>IF('PR Thương Hiệu'!J79="","",'PR Thương Hiệu'!J79)</f>
        <v/>
      </c>
      <c r="I875" s="52" t="str">
        <f>IF('PR Thương Hiệu'!M79="","",'PR Thương Hiệu'!M79)</f>
        <v/>
      </c>
      <c r="J875" s="52" t="str">
        <f>IF('PR Thương Hiệu'!R79="","",'PR Thương Hiệu'!R79)</f>
        <v/>
      </c>
      <c r="K875" s="52" t="str">
        <f t="array" ref="K875">IF(COUNTA('PR Thương Hiệu'!T79:AE79)=0,"",INDEX('PR Thương Hiệu'!T79:AE79,1,SUMPRODUCT(MAX(('PR Thương Hiệu'!T79:AE79&lt;&gt;"")*(COLUMN('PR Thương Hiệu'!T79:AE79)-COLUMN('PR Thương Hiệu'!T79)+1)))))</f>
        <v/>
      </c>
      <c r="L875" s="52" t="str">
        <f>IF(AND(G875&lt;&gt;"",G875='Tổng hợp'!$C$4),MAX(L$1:L874)+1,"")</f>
        <v/>
      </c>
    </row>
    <row r="876" ht="15.75" customHeight="1">
      <c r="A876" s="52" t="str">
        <f>IF('PR Thương Hiệu'!C80="","","PR Thương Hiệu")</f>
        <v/>
      </c>
      <c r="B876" s="52" t="str">
        <f>IF('PR Thương Hiệu'!B80="","",'PR Thương Hiệu'!B80)</f>
        <v/>
      </c>
      <c r="C876" s="52" t="str">
        <f>IF('PR Thương Hiệu'!C80="","",'PR Thương Hiệu'!C80)</f>
        <v/>
      </c>
      <c r="D876" s="52" t="str">
        <f>IF('PR Thương Hiệu'!D80="","",'PR Thương Hiệu'!D80)</f>
        <v/>
      </c>
      <c r="E876" s="52" t="str">
        <f>IF('PR Thương Hiệu'!E80="","",'PR Thương Hiệu'!E80)</f>
        <v/>
      </c>
      <c r="F876" s="52" t="str">
        <f>IF('PR Thương Hiệu'!F80="","",'PR Thương Hiệu'!F80)</f>
        <v/>
      </c>
      <c r="G876" s="52" t="str">
        <f>IF('PR Thương Hiệu'!G80="","",'PR Thương Hiệu'!G80)</f>
        <v/>
      </c>
      <c r="H876" s="52" t="str">
        <f>IF('PR Thương Hiệu'!J80="","",'PR Thương Hiệu'!J80)</f>
        <v/>
      </c>
      <c r="I876" s="52" t="str">
        <f>IF('PR Thương Hiệu'!M80="","",'PR Thương Hiệu'!M80)</f>
        <v/>
      </c>
      <c r="J876" s="52" t="str">
        <f>IF('PR Thương Hiệu'!R80="","",'PR Thương Hiệu'!R80)</f>
        <v/>
      </c>
      <c r="K876" s="52" t="str">
        <f t="array" ref="K876">IF(COUNTA('PR Thương Hiệu'!T80:AE80)=0,"",INDEX('PR Thương Hiệu'!T80:AE80,1,SUMPRODUCT(MAX(('PR Thương Hiệu'!T80:AE80&lt;&gt;"")*(COLUMN('PR Thương Hiệu'!T80:AE80)-COLUMN('PR Thương Hiệu'!T80)+1)))))</f>
        <v/>
      </c>
      <c r="L876" s="52" t="str">
        <f>IF(AND(G876&lt;&gt;"",G876='Tổng hợp'!$C$4),MAX(L$1:L875)+1,"")</f>
        <v/>
      </c>
    </row>
    <row r="877" ht="15.75" customHeight="1">
      <c r="A877" s="52" t="str">
        <f>IF('PR Thương Hiệu'!C81="","","PR Thương Hiệu")</f>
        <v/>
      </c>
      <c r="B877" s="52" t="str">
        <f>IF('PR Thương Hiệu'!B81="","",'PR Thương Hiệu'!B81)</f>
        <v/>
      </c>
      <c r="C877" s="52" t="str">
        <f>IF('PR Thương Hiệu'!C81="","",'PR Thương Hiệu'!C81)</f>
        <v/>
      </c>
      <c r="D877" s="52" t="str">
        <f>IF('PR Thương Hiệu'!D81="","",'PR Thương Hiệu'!D81)</f>
        <v/>
      </c>
      <c r="E877" s="52" t="str">
        <f>IF('PR Thương Hiệu'!E81="","",'PR Thương Hiệu'!E81)</f>
        <v/>
      </c>
      <c r="F877" s="52" t="str">
        <f>IF('PR Thương Hiệu'!F81="","",'PR Thương Hiệu'!F81)</f>
        <v/>
      </c>
      <c r="G877" s="52" t="str">
        <f>IF('PR Thương Hiệu'!G81="","",'PR Thương Hiệu'!G81)</f>
        <v/>
      </c>
      <c r="H877" s="52" t="str">
        <f>IF('PR Thương Hiệu'!J81="","",'PR Thương Hiệu'!J81)</f>
        <v/>
      </c>
      <c r="I877" s="52" t="str">
        <f>IF('PR Thương Hiệu'!M81="","",'PR Thương Hiệu'!M81)</f>
        <v/>
      </c>
      <c r="J877" s="52" t="str">
        <f>IF('PR Thương Hiệu'!R81="","",'PR Thương Hiệu'!R81)</f>
        <v/>
      </c>
      <c r="K877" s="52" t="str">
        <f t="array" ref="K877">IF(COUNTA('PR Thương Hiệu'!T81:AE81)=0,"",INDEX('PR Thương Hiệu'!T81:AE81,1,SUMPRODUCT(MAX(('PR Thương Hiệu'!T81:AE81&lt;&gt;"")*(COLUMN('PR Thương Hiệu'!T81:AE81)-COLUMN('PR Thương Hiệu'!T81)+1)))))</f>
        <v/>
      </c>
      <c r="L877" s="52" t="str">
        <f>IF(AND(G877&lt;&gt;"",G877='Tổng hợp'!$C$4),MAX(L$1:L876)+1,"")</f>
        <v/>
      </c>
    </row>
    <row r="878" ht="15.75" customHeight="1">
      <c r="A878" s="52" t="str">
        <f>IF('PR Thương Hiệu'!C82="","","PR Thương Hiệu")</f>
        <v/>
      </c>
      <c r="B878" s="52" t="str">
        <f>IF('PR Thương Hiệu'!B82="","",'PR Thương Hiệu'!B82)</f>
        <v/>
      </c>
      <c r="C878" s="52" t="str">
        <f>IF('PR Thương Hiệu'!C82="","",'PR Thương Hiệu'!C82)</f>
        <v/>
      </c>
      <c r="D878" s="52" t="str">
        <f>IF('PR Thương Hiệu'!D82="","",'PR Thương Hiệu'!D82)</f>
        <v/>
      </c>
      <c r="E878" s="52" t="str">
        <f>IF('PR Thương Hiệu'!E82="","",'PR Thương Hiệu'!E82)</f>
        <v/>
      </c>
      <c r="F878" s="52" t="str">
        <f>IF('PR Thương Hiệu'!F82="","",'PR Thương Hiệu'!F82)</f>
        <v/>
      </c>
      <c r="G878" s="52" t="str">
        <f>IF('PR Thương Hiệu'!G82="","",'PR Thương Hiệu'!G82)</f>
        <v/>
      </c>
      <c r="H878" s="52" t="str">
        <f>IF('PR Thương Hiệu'!J82="","",'PR Thương Hiệu'!J82)</f>
        <v/>
      </c>
      <c r="I878" s="52" t="str">
        <f>IF('PR Thương Hiệu'!M82="","",'PR Thương Hiệu'!M82)</f>
        <v/>
      </c>
      <c r="J878" s="52" t="str">
        <f>IF('PR Thương Hiệu'!R82="","",'PR Thương Hiệu'!R82)</f>
        <v/>
      </c>
      <c r="K878" s="52" t="str">
        <f t="array" ref="K878">IF(COUNTA('PR Thương Hiệu'!T82:AE82)=0,"",INDEX('PR Thương Hiệu'!T82:AE82,1,SUMPRODUCT(MAX(('PR Thương Hiệu'!T82:AE82&lt;&gt;"")*(COLUMN('PR Thương Hiệu'!T82:AE82)-COLUMN('PR Thương Hiệu'!T82)+1)))))</f>
        <v/>
      </c>
      <c r="L878" s="52" t="str">
        <f>IF(AND(G878&lt;&gt;"",G878='Tổng hợp'!$C$4),MAX(L$1:L877)+1,"")</f>
        <v/>
      </c>
    </row>
    <row r="879" ht="15.75" customHeight="1">
      <c r="A879" s="52" t="str">
        <f>IF('PR Thương Hiệu'!C83="","","PR Thương Hiệu")</f>
        <v/>
      </c>
      <c r="B879" s="52" t="str">
        <f>IF('PR Thương Hiệu'!B83="","",'PR Thương Hiệu'!B83)</f>
        <v/>
      </c>
      <c r="C879" s="52" t="str">
        <f>IF('PR Thương Hiệu'!C83="","",'PR Thương Hiệu'!C83)</f>
        <v/>
      </c>
      <c r="D879" s="52" t="str">
        <f>IF('PR Thương Hiệu'!D83="","",'PR Thương Hiệu'!D83)</f>
        <v/>
      </c>
      <c r="E879" s="52" t="str">
        <f>IF('PR Thương Hiệu'!E83="","",'PR Thương Hiệu'!E83)</f>
        <v/>
      </c>
      <c r="F879" s="52" t="str">
        <f>IF('PR Thương Hiệu'!F83="","",'PR Thương Hiệu'!F83)</f>
        <v/>
      </c>
      <c r="G879" s="52" t="str">
        <f>IF('PR Thương Hiệu'!G83="","",'PR Thương Hiệu'!G83)</f>
        <v/>
      </c>
      <c r="H879" s="52" t="str">
        <f>IF('PR Thương Hiệu'!J83="","",'PR Thương Hiệu'!J83)</f>
        <v/>
      </c>
      <c r="I879" s="52" t="str">
        <f>IF('PR Thương Hiệu'!M83="","",'PR Thương Hiệu'!M83)</f>
        <v/>
      </c>
      <c r="J879" s="52" t="str">
        <f>IF('PR Thương Hiệu'!R83="","",'PR Thương Hiệu'!R83)</f>
        <v/>
      </c>
      <c r="K879" s="52" t="str">
        <f t="array" ref="K879">IF(COUNTA('PR Thương Hiệu'!T83:AE83)=0,"",INDEX('PR Thương Hiệu'!T83:AE83,1,SUMPRODUCT(MAX(('PR Thương Hiệu'!T83:AE83&lt;&gt;"")*(COLUMN('PR Thương Hiệu'!T83:AE83)-COLUMN('PR Thương Hiệu'!T83)+1)))))</f>
        <v/>
      </c>
      <c r="L879" s="52" t="str">
        <f>IF(AND(G879&lt;&gt;"",G879='Tổng hợp'!$C$4),MAX(L$1:L878)+1,"")</f>
        <v/>
      </c>
    </row>
    <row r="880" ht="15.75" customHeight="1">
      <c r="A880" s="52" t="str">
        <f>IF('PR Thương Hiệu'!C84="","","PR Thương Hiệu")</f>
        <v/>
      </c>
      <c r="B880" s="52" t="str">
        <f>IF('PR Thương Hiệu'!B84="","",'PR Thương Hiệu'!B84)</f>
        <v/>
      </c>
      <c r="C880" s="52" t="str">
        <f>IF('PR Thương Hiệu'!C84="","",'PR Thương Hiệu'!C84)</f>
        <v/>
      </c>
      <c r="D880" s="52" t="str">
        <f>IF('PR Thương Hiệu'!D84="","",'PR Thương Hiệu'!D84)</f>
        <v/>
      </c>
      <c r="E880" s="52" t="str">
        <f>IF('PR Thương Hiệu'!E84="","",'PR Thương Hiệu'!E84)</f>
        <v/>
      </c>
      <c r="F880" s="52" t="str">
        <f>IF('PR Thương Hiệu'!F84="","",'PR Thương Hiệu'!F84)</f>
        <v/>
      </c>
      <c r="G880" s="52" t="str">
        <f>IF('PR Thương Hiệu'!G84="","",'PR Thương Hiệu'!G84)</f>
        <v/>
      </c>
      <c r="H880" s="52" t="str">
        <f>IF('PR Thương Hiệu'!J84="","",'PR Thương Hiệu'!J84)</f>
        <v/>
      </c>
      <c r="I880" s="52" t="str">
        <f>IF('PR Thương Hiệu'!M84="","",'PR Thương Hiệu'!M84)</f>
        <v/>
      </c>
      <c r="J880" s="52" t="str">
        <f>IF('PR Thương Hiệu'!R84="","",'PR Thương Hiệu'!R84)</f>
        <v/>
      </c>
      <c r="K880" s="52" t="str">
        <f t="array" ref="K880">IF(COUNTA('PR Thương Hiệu'!T84:AE84)=0,"",INDEX('PR Thương Hiệu'!T84:AE84,1,SUMPRODUCT(MAX(('PR Thương Hiệu'!T84:AE84&lt;&gt;"")*(COLUMN('PR Thương Hiệu'!T84:AE84)-COLUMN('PR Thương Hiệu'!T84)+1)))))</f>
        <v/>
      </c>
      <c r="L880" s="52" t="str">
        <f>IF(AND(G880&lt;&gt;"",G880='Tổng hợp'!$C$4),MAX(L$1:L879)+1,"")</f>
        <v/>
      </c>
    </row>
    <row r="881" ht="15.75" customHeight="1">
      <c r="A881" s="52" t="str">
        <f>IF('PR Thương Hiệu'!C85="","","PR Thương Hiệu")</f>
        <v/>
      </c>
      <c r="B881" s="52" t="str">
        <f>IF('PR Thương Hiệu'!B85="","",'PR Thương Hiệu'!B85)</f>
        <v/>
      </c>
      <c r="C881" s="52" t="str">
        <f>IF('PR Thương Hiệu'!C85="","",'PR Thương Hiệu'!C85)</f>
        <v/>
      </c>
      <c r="D881" s="52" t="str">
        <f>IF('PR Thương Hiệu'!D85="","",'PR Thương Hiệu'!D85)</f>
        <v/>
      </c>
      <c r="E881" s="52" t="str">
        <f>IF('PR Thương Hiệu'!E85="","",'PR Thương Hiệu'!E85)</f>
        <v/>
      </c>
      <c r="F881" s="52" t="str">
        <f>IF('PR Thương Hiệu'!F85="","",'PR Thương Hiệu'!F85)</f>
        <v/>
      </c>
      <c r="G881" s="52" t="str">
        <f>IF('PR Thương Hiệu'!G85="","",'PR Thương Hiệu'!G85)</f>
        <v/>
      </c>
      <c r="H881" s="52" t="str">
        <f>IF('PR Thương Hiệu'!J85="","",'PR Thương Hiệu'!J85)</f>
        <v/>
      </c>
      <c r="I881" s="52" t="str">
        <f>IF('PR Thương Hiệu'!M85="","",'PR Thương Hiệu'!M85)</f>
        <v/>
      </c>
      <c r="J881" s="52" t="str">
        <f>IF('PR Thương Hiệu'!R85="","",'PR Thương Hiệu'!R85)</f>
        <v/>
      </c>
      <c r="K881" s="52" t="str">
        <f t="array" ref="K881">IF(COUNTA('PR Thương Hiệu'!T85:AE85)=0,"",INDEX('PR Thương Hiệu'!T85:AE85,1,SUMPRODUCT(MAX(('PR Thương Hiệu'!T85:AE85&lt;&gt;"")*(COLUMN('PR Thương Hiệu'!T85:AE85)-COLUMN('PR Thương Hiệu'!T85)+1)))))</f>
        <v/>
      </c>
      <c r="L881" s="52" t="str">
        <f>IF(AND(G881&lt;&gt;"",G881='Tổng hợp'!$C$4),MAX(L$1:L880)+1,"")</f>
        <v/>
      </c>
    </row>
    <row r="882" ht="15.75" customHeight="1">
      <c r="A882" s="52" t="str">
        <f>IF('PR Thương Hiệu'!C86="","","PR Thương Hiệu")</f>
        <v/>
      </c>
      <c r="B882" s="52" t="str">
        <f>IF('PR Thương Hiệu'!B86="","",'PR Thương Hiệu'!B86)</f>
        <v/>
      </c>
      <c r="C882" s="52" t="str">
        <f>IF('PR Thương Hiệu'!C86="","",'PR Thương Hiệu'!C86)</f>
        <v/>
      </c>
      <c r="D882" s="52" t="str">
        <f>IF('PR Thương Hiệu'!D86="","",'PR Thương Hiệu'!D86)</f>
        <v/>
      </c>
      <c r="E882" s="52" t="str">
        <f>IF('PR Thương Hiệu'!E86="","",'PR Thương Hiệu'!E86)</f>
        <v/>
      </c>
      <c r="F882" s="52" t="str">
        <f>IF('PR Thương Hiệu'!F86="","",'PR Thương Hiệu'!F86)</f>
        <v/>
      </c>
      <c r="G882" s="52" t="str">
        <f>IF('PR Thương Hiệu'!G86="","",'PR Thương Hiệu'!G86)</f>
        <v/>
      </c>
      <c r="H882" s="52" t="str">
        <f>IF('PR Thương Hiệu'!J86="","",'PR Thương Hiệu'!J86)</f>
        <v/>
      </c>
      <c r="I882" s="52" t="str">
        <f>IF('PR Thương Hiệu'!M86="","",'PR Thương Hiệu'!M86)</f>
        <v/>
      </c>
      <c r="J882" s="52" t="str">
        <f>IF('PR Thương Hiệu'!R86="","",'PR Thương Hiệu'!R86)</f>
        <v/>
      </c>
      <c r="K882" s="52" t="str">
        <f t="array" ref="K882">IF(COUNTA('PR Thương Hiệu'!T86:AE86)=0,"",INDEX('PR Thương Hiệu'!T86:AE86,1,SUMPRODUCT(MAX(('PR Thương Hiệu'!T86:AE86&lt;&gt;"")*(COLUMN('PR Thương Hiệu'!T86:AE86)-COLUMN('PR Thương Hiệu'!T86)+1)))))</f>
        <v/>
      </c>
      <c r="L882" s="52" t="str">
        <f>IF(AND(G882&lt;&gt;"",G882='Tổng hợp'!$C$4),MAX(L$1:L881)+1,"")</f>
        <v/>
      </c>
    </row>
    <row r="883" ht="15.75" customHeight="1">
      <c r="A883" s="52" t="str">
        <f>IF('PR Thương Hiệu'!C87="","","PR Thương Hiệu")</f>
        <v/>
      </c>
      <c r="B883" s="52" t="str">
        <f>IF('PR Thương Hiệu'!B87="","",'PR Thương Hiệu'!B87)</f>
        <v/>
      </c>
      <c r="C883" s="52" t="str">
        <f>IF('PR Thương Hiệu'!C87="","",'PR Thương Hiệu'!C87)</f>
        <v/>
      </c>
      <c r="D883" s="52" t="str">
        <f>IF('PR Thương Hiệu'!D87="","",'PR Thương Hiệu'!D87)</f>
        <v/>
      </c>
      <c r="E883" s="52" t="str">
        <f>IF('PR Thương Hiệu'!E87="","",'PR Thương Hiệu'!E87)</f>
        <v/>
      </c>
      <c r="F883" s="52" t="str">
        <f>IF('PR Thương Hiệu'!F87="","",'PR Thương Hiệu'!F87)</f>
        <v/>
      </c>
      <c r="G883" s="52" t="str">
        <f>IF('PR Thương Hiệu'!G87="","",'PR Thương Hiệu'!G87)</f>
        <v/>
      </c>
      <c r="H883" s="52" t="str">
        <f>IF('PR Thương Hiệu'!J87="","",'PR Thương Hiệu'!J87)</f>
        <v/>
      </c>
      <c r="I883" s="52" t="str">
        <f>IF('PR Thương Hiệu'!M87="","",'PR Thương Hiệu'!M87)</f>
        <v/>
      </c>
      <c r="J883" s="52" t="str">
        <f>IF('PR Thương Hiệu'!R87="","",'PR Thương Hiệu'!R87)</f>
        <v/>
      </c>
      <c r="K883" s="52" t="str">
        <f t="array" ref="K883">IF(COUNTA('PR Thương Hiệu'!T87:AE87)=0,"",INDEX('PR Thương Hiệu'!T87:AE87,1,SUMPRODUCT(MAX(('PR Thương Hiệu'!T87:AE87&lt;&gt;"")*(COLUMN('PR Thương Hiệu'!T87:AE87)-COLUMN('PR Thương Hiệu'!T87)+1)))))</f>
        <v/>
      </c>
      <c r="L883" s="52" t="str">
        <f>IF(AND(G883&lt;&gt;"",G883='Tổng hợp'!$C$4),MAX(L$1:L882)+1,"")</f>
        <v/>
      </c>
    </row>
    <row r="884" ht="15.75" customHeight="1">
      <c r="A884" s="52" t="str">
        <f>IF('PR Thương Hiệu'!C88="","","PR Thương Hiệu")</f>
        <v/>
      </c>
      <c r="B884" s="52" t="str">
        <f>IF('PR Thương Hiệu'!B88="","",'PR Thương Hiệu'!B88)</f>
        <v/>
      </c>
      <c r="C884" s="52" t="str">
        <f>IF('PR Thương Hiệu'!C88="","",'PR Thương Hiệu'!C88)</f>
        <v/>
      </c>
      <c r="D884" s="52" t="str">
        <f>IF('PR Thương Hiệu'!D88="","",'PR Thương Hiệu'!D88)</f>
        <v/>
      </c>
      <c r="E884" s="52" t="str">
        <f>IF('PR Thương Hiệu'!E88="","",'PR Thương Hiệu'!E88)</f>
        <v/>
      </c>
      <c r="F884" s="52" t="str">
        <f>IF('PR Thương Hiệu'!F88="","",'PR Thương Hiệu'!F88)</f>
        <v/>
      </c>
      <c r="G884" s="52" t="str">
        <f>IF('PR Thương Hiệu'!G88="","",'PR Thương Hiệu'!G88)</f>
        <v/>
      </c>
      <c r="H884" s="52" t="str">
        <f>IF('PR Thương Hiệu'!J88="","",'PR Thương Hiệu'!J88)</f>
        <v/>
      </c>
      <c r="I884" s="52" t="str">
        <f>IF('PR Thương Hiệu'!M88="","",'PR Thương Hiệu'!M88)</f>
        <v/>
      </c>
      <c r="J884" s="52" t="str">
        <f>IF('PR Thương Hiệu'!R88="","",'PR Thương Hiệu'!R88)</f>
        <v/>
      </c>
      <c r="K884" s="52" t="str">
        <f t="array" ref="K884">IF(COUNTA('PR Thương Hiệu'!T88:AE88)=0,"",INDEX('PR Thương Hiệu'!T88:AE88,1,SUMPRODUCT(MAX(('PR Thương Hiệu'!T88:AE88&lt;&gt;"")*(COLUMN('PR Thương Hiệu'!T88:AE88)-COLUMN('PR Thương Hiệu'!T88)+1)))))</f>
        <v/>
      </c>
      <c r="L884" s="52" t="str">
        <f>IF(AND(G884&lt;&gt;"",G884='Tổng hợp'!$C$4),MAX(L$1:L883)+1,"")</f>
        <v/>
      </c>
    </row>
    <row r="885" ht="15.75" customHeight="1">
      <c r="A885" s="52" t="str">
        <f>IF('PR Thương Hiệu'!C89="","","PR Thương Hiệu")</f>
        <v/>
      </c>
      <c r="B885" s="52" t="str">
        <f>IF('PR Thương Hiệu'!B89="","",'PR Thương Hiệu'!B89)</f>
        <v/>
      </c>
      <c r="C885" s="52" t="str">
        <f>IF('PR Thương Hiệu'!C89="","",'PR Thương Hiệu'!C89)</f>
        <v/>
      </c>
      <c r="D885" s="52" t="str">
        <f>IF('PR Thương Hiệu'!D89="","",'PR Thương Hiệu'!D89)</f>
        <v/>
      </c>
      <c r="E885" s="52" t="str">
        <f>IF('PR Thương Hiệu'!E89="","",'PR Thương Hiệu'!E89)</f>
        <v/>
      </c>
      <c r="F885" s="52" t="str">
        <f>IF('PR Thương Hiệu'!F89="","",'PR Thương Hiệu'!F89)</f>
        <v/>
      </c>
      <c r="G885" s="52" t="str">
        <f>IF('PR Thương Hiệu'!G89="","",'PR Thương Hiệu'!G89)</f>
        <v/>
      </c>
      <c r="H885" s="52" t="str">
        <f>IF('PR Thương Hiệu'!J89="","",'PR Thương Hiệu'!J89)</f>
        <v/>
      </c>
      <c r="I885" s="52" t="str">
        <f>IF('PR Thương Hiệu'!M89="","",'PR Thương Hiệu'!M89)</f>
        <v/>
      </c>
      <c r="J885" s="52" t="str">
        <f>IF('PR Thương Hiệu'!R89="","",'PR Thương Hiệu'!R89)</f>
        <v/>
      </c>
      <c r="K885" s="52" t="str">
        <f t="array" ref="K885">IF(COUNTA('PR Thương Hiệu'!T89:AE89)=0,"",INDEX('PR Thương Hiệu'!T89:AE89,1,SUMPRODUCT(MAX(('PR Thương Hiệu'!T89:AE89&lt;&gt;"")*(COLUMN('PR Thương Hiệu'!T89:AE89)-COLUMN('PR Thương Hiệu'!T89)+1)))))</f>
        <v/>
      </c>
      <c r="L885" s="52" t="str">
        <f>IF(AND(G885&lt;&gt;"",G885='Tổng hợp'!$C$4),MAX(L$1:L884)+1,"")</f>
        <v/>
      </c>
    </row>
    <row r="886" ht="15.75" customHeight="1">
      <c r="A886" s="52" t="str">
        <f>IF('PR Thương Hiệu'!C90="","","PR Thương Hiệu")</f>
        <v/>
      </c>
      <c r="B886" s="52" t="str">
        <f>IF('PR Thương Hiệu'!B90="","",'PR Thương Hiệu'!B90)</f>
        <v/>
      </c>
      <c r="C886" s="52" t="str">
        <f>IF('PR Thương Hiệu'!C90="","",'PR Thương Hiệu'!C90)</f>
        <v/>
      </c>
      <c r="D886" s="52" t="str">
        <f>IF('PR Thương Hiệu'!D90="","",'PR Thương Hiệu'!D90)</f>
        <v/>
      </c>
      <c r="E886" s="52" t="str">
        <f>IF('PR Thương Hiệu'!E90="","",'PR Thương Hiệu'!E90)</f>
        <v/>
      </c>
      <c r="F886" s="52" t="str">
        <f>IF('PR Thương Hiệu'!F90="","",'PR Thương Hiệu'!F90)</f>
        <v/>
      </c>
      <c r="G886" s="52" t="str">
        <f>IF('PR Thương Hiệu'!G90="","",'PR Thương Hiệu'!G90)</f>
        <v/>
      </c>
      <c r="H886" s="52" t="str">
        <f>IF('PR Thương Hiệu'!J90="","",'PR Thương Hiệu'!J90)</f>
        <v/>
      </c>
      <c r="I886" s="52" t="str">
        <f>IF('PR Thương Hiệu'!M90="","",'PR Thương Hiệu'!M90)</f>
        <v/>
      </c>
      <c r="J886" s="52" t="str">
        <f>IF('PR Thương Hiệu'!R90="","",'PR Thương Hiệu'!R90)</f>
        <v/>
      </c>
      <c r="K886" s="52" t="str">
        <f t="array" ref="K886">IF(COUNTA('PR Thương Hiệu'!T90:AE90)=0,"",INDEX('PR Thương Hiệu'!T90:AE90,1,SUMPRODUCT(MAX(('PR Thương Hiệu'!T90:AE90&lt;&gt;"")*(COLUMN('PR Thương Hiệu'!T90:AE90)-COLUMN('PR Thương Hiệu'!T90)+1)))))</f>
        <v/>
      </c>
      <c r="L886" s="52" t="str">
        <f>IF(AND(G886&lt;&gt;"",G886='Tổng hợp'!$C$4),MAX(L$1:L885)+1,"")</f>
        <v/>
      </c>
    </row>
    <row r="887" ht="15.75" customHeight="1">
      <c r="A887" s="52" t="str">
        <f>IF('PR Thương Hiệu'!C91="","","PR Thương Hiệu")</f>
        <v/>
      </c>
      <c r="B887" s="52" t="str">
        <f>IF('PR Thương Hiệu'!B91="","",'PR Thương Hiệu'!B91)</f>
        <v/>
      </c>
      <c r="C887" s="52" t="str">
        <f>IF('PR Thương Hiệu'!C91="","",'PR Thương Hiệu'!C91)</f>
        <v/>
      </c>
      <c r="D887" s="52" t="str">
        <f>IF('PR Thương Hiệu'!D91="","",'PR Thương Hiệu'!D91)</f>
        <v/>
      </c>
      <c r="E887" s="52" t="str">
        <f>IF('PR Thương Hiệu'!E91="","",'PR Thương Hiệu'!E91)</f>
        <v/>
      </c>
      <c r="F887" s="52" t="str">
        <f>IF('PR Thương Hiệu'!F91="","",'PR Thương Hiệu'!F91)</f>
        <v/>
      </c>
      <c r="G887" s="52" t="str">
        <f>IF('PR Thương Hiệu'!G91="","",'PR Thương Hiệu'!G91)</f>
        <v/>
      </c>
      <c r="H887" s="52" t="str">
        <f>IF('PR Thương Hiệu'!J91="","",'PR Thương Hiệu'!J91)</f>
        <v/>
      </c>
      <c r="I887" s="52" t="str">
        <f>IF('PR Thương Hiệu'!M91="","",'PR Thương Hiệu'!M91)</f>
        <v/>
      </c>
      <c r="J887" s="52" t="str">
        <f>IF('PR Thương Hiệu'!R91="","",'PR Thương Hiệu'!R91)</f>
        <v/>
      </c>
      <c r="K887" s="52" t="str">
        <f t="array" ref="K887">IF(COUNTA('PR Thương Hiệu'!T91:AE91)=0,"",INDEX('PR Thương Hiệu'!T91:AE91,1,SUMPRODUCT(MAX(('PR Thương Hiệu'!T91:AE91&lt;&gt;"")*(COLUMN('PR Thương Hiệu'!T91:AE91)-COLUMN('PR Thương Hiệu'!T91)+1)))))</f>
        <v/>
      </c>
      <c r="L887" s="52" t="str">
        <f>IF(AND(G887&lt;&gt;"",G887='Tổng hợp'!$C$4),MAX(L$1:L886)+1,"")</f>
        <v/>
      </c>
    </row>
    <row r="888" ht="15.75" customHeight="1">
      <c r="A888" s="52" t="str">
        <f>IF('PR Thương Hiệu'!C92="","","PR Thương Hiệu")</f>
        <v/>
      </c>
      <c r="B888" s="52" t="str">
        <f>IF('PR Thương Hiệu'!B92="","",'PR Thương Hiệu'!B92)</f>
        <v/>
      </c>
      <c r="C888" s="52" t="str">
        <f>IF('PR Thương Hiệu'!C92="","",'PR Thương Hiệu'!C92)</f>
        <v/>
      </c>
      <c r="D888" s="52" t="str">
        <f>IF('PR Thương Hiệu'!D92="","",'PR Thương Hiệu'!D92)</f>
        <v/>
      </c>
      <c r="E888" s="52" t="str">
        <f>IF('PR Thương Hiệu'!E92="","",'PR Thương Hiệu'!E92)</f>
        <v/>
      </c>
      <c r="F888" s="52" t="str">
        <f>IF('PR Thương Hiệu'!F92="","",'PR Thương Hiệu'!F92)</f>
        <v/>
      </c>
      <c r="G888" s="52" t="str">
        <f>IF('PR Thương Hiệu'!G92="","",'PR Thương Hiệu'!G92)</f>
        <v/>
      </c>
      <c r="H888" s="52" t="str">
        <f>IF('PR Thương Hiệu'!J92="","",'PR Thương Hiệu'!J92)</f>
        <v/>
      </c>
      <c r="I888" s="52" t="str">
        <f>IF('PR Thương Hiệu'!M92="","",'PR Thương Hiệu'!M92)</f>
        <v/>
      </c>
      <c r="J888" s="52" t="str">
        <f>IF('PR Thương Hiệu'!R92="","",'PR Thương Hiệu'!R92)</f>
        <v/>
      </c>
      <c r="K888" s="52" t="str">
        <f t="array" ref="K888">IF(COUNTA('PR Thương Hiệu'!T92:AE92)=0,"",INDEX('PR Thương Hiệu'!T92:AE92,1,SUMPRODUCT(MAX(('PR Thương Hiệu'!T92:AE92&lt;&gt;"")*(COLUMN('PR Thương Hiệu'!T92:AE92)-COLUMN('PR Thương Hiệu'!T92)+1)))))</f>
        <v/>
      </c>
      <c r="L888" s="52" t="str">
        <f>IF(AND(G888&lt;&gt;"",G888='Tổng hợp'!$C$4),MAX(L$1:L887)+1,"")</f>
        <v/>
      </c>
    </row>
    <row r="889" ht="15.75" customHeight="1">
      <c r="A889" s="52" t="str">
        <f>IF('PR Thương Hiệu'!C93="","","PR Thương Hiệu")</f>
        <v/>
      </c>
      <c r="B889" s="52" t="str">
        <f>IF('PR Thương Hiệu'!B93="","",'PR Thương Hiệu'!B93)</f>
        <v/>
      </c>
      <c r="C889" s="52" t="str">
        <f>IF('PR Thương Hiệu'!C93="","",'PR Thương Hiệu'!C93)</f>
        <v/>
      </c>
      <c r="D889" s="52" t="str">
        <f>IF('PR Thương Hiệu'!D93="","",'PR Thương Hiệu'!D93)</f>
        <v/>
      </c>
      <c r="E889" s="52" t="str">
        <f>IF('PR Thương Hiệu'!E93="","",'PR Thương Hiệu'!E93)</f>
        <v/>
      </c>
      <c r="F889" s="52" t="str">
        <f>IF('PR Thương Hiệu'!F93="","",'PR Thương Hiệu'!F93)</f>
        <v/>
      </c>
      <c r="G889" s="52" t="str">
        <f>IF('PR Thương Hiệu'!G93="","",'PR Thương Hiệu'!G93)</f>
        <v/>
      </c>
      <c r="H889" s="52" t="str">
        <f>IF('PR Thương Hiệu'!J93="","",'PR Thương Hiệu'!J93)</f>
        <v/>
      </c>
      <c r="I889" s="52" t="str">
        <f>IF('PR Thương Hiệu'!M93="","",'PR Thương Hiệu'!M93)</f>
        <v/>
      </c>
      <c r="J889" s="52" t="str">
        <f>IF('PR Thương Hiệu'!R93="","",'PR Thương Hiệu'!R93)</f>
        <v/>
      </c>
      <c r="K889" s="52" t="str">
        <f t="array" ref="K889">IF(COUNTA('PR Thương Hiệu'!T93:AE93)=0,"",INDEX('PR Thương Hiệu'!T93:AE93,1,SUMPRODUCT(MAX(('PR Thương Hiệu'!T93:AE93&lt;&gt;"")*(COLUMN('PR Thương Hiệu'!T93:AE93)-COLUMN('PR Thương Hiệu'!T93)+1)))))</f>
        <v/>
      </c>
      <c r="L889" s="52" t="str">
        <f>IF(AND(G889&lt;&gt;"",G889='Tổng hợp'!$C$4),MAX(L$1:L888)+1,"")</f>
        <v/>
      </c>
    </row>
    <row r="890" ht="15.75" customHeight="1">
      <c r="A890" s="52" t="str">
        <f>IF('PR Thương Hiệu'!C94="","","PR Thương Hiệu")</f>
        <v/>
      </c>
      <c r="B890" s="52" t="str">
        <f>IF('PR Thương Hiệu'!B94="","",'PR Thương Hiệu'!B94)</f>
        <v/>
      </c>
      <c r="C890" s="52" t="str">
        <f>IF('PR Thương Hiệu'!C94="","",'PR Thương Hiệu'!C94)</f>
        <v/>
      </c>
      <c r="D890" s="52" t="str">
        <f>IF('PR Thương Hiệu'!D94="","",'PR Thương Hiệu'!D94)</f>
        <v/>
      </c>
      <c r="E890" s="52" t="str">
        <f>IF('PR Thương Hiệu'!E94="","",'PR Thương Hiệu'!E94)</f>
        <v/>
      </c>
      <c r="F890" s="52" t="str">
        <f>IF('PR Thương Hiệu'!F94="","",'PR Thương Hiệu'!F94)</f>
        <v/>
      </c>
      <c r="G890" s="52" t="str">
        <f>IF('PR Thương Hiệu'!G94="","",'PR Thương Hiệu'!G94)</f>
        <v/>
      </c>
      <c r="H890" s="52" t="str">
        <f>IF('PR Thương Hiệu'!J94="","",'PR Thương Hiệu'!J94)</f>
        <v/>
      </c>
      <c r="I890" s="52" t="str">
        <f>IF('PR Thương Hiệu'!M94="","",'PR Thương Hiệu'!M94)</f>
        <v/>
      </c>
      <c r="J890" s="52" t="str">
        <f>IF('PR Thương Hiệu'!R94="","",'PR Thương Hiệu'!R94)</f>
        <v/>
      </c>
      <c r="K890" s="52" t="str">
        <f t="array" ref="K890">IF(COUNTA('PR Thương Hiệu'!T94:AE94)=0,"",INDEX('PR Thương Hiệu'!T94:AE94,1,SUMPRODUCT(MAX(('PR Thương Hiệu'!T94:AE94&lt;&gt;"")*(COLUMN('PR Thương Hiệu'!T94:AE94)-COLUMN('PR Thương Hiệu'!T94)+1)))))</f>
        <v/>
      </c>
      <c r="L890" s="52" t="str">
        <f>IF(AND(G890&lt;&gt;"",G890='Tổng hợp'!$C$4),MAX(L$1:L889)+1,"")</f>
        <v/>
      </c>
    </row>
    <row r="891" ht="15.75" customHeight="1">
      <c r="A891" s="52" t="str">
        <f>IF('PR Thương Hiệu'!C95="","","PR Thương Hiệu")</f>
        <v/>
      </c>
      <c r="B891" s="52" t="str">
        <f>IF('PR Thương Hiệu'!B95="","",'PR Thương Hiệu'!B95)</f>
        <v/>
      </c>
      <c r="C891" s="52" t="str">
        <f>IF('PR Thương Hiệu'!C95="","",'PR Thương Hiệu'!C95)</f>
        <v/>
      </c>
      <c r="D891" s="52" t="str">
        <f>IF('PR Thương Hiệu'!D95="","",'PR Thương Hiệu'!D95)</f>
        <v/>
      </c>
      <c r="E891" s="52" t="str">
        <f>IF('PR Thương Hiệu'!E95="","",'PR Thương Hiệu'!E95)</f>
        <v/>
      </c>
      <c r="F891" s="52" t="str">
        <f>IF('PR Thương Hiệu'!F95="","",'PR Thương Hiệu'!F95)</f>
        <v/>
      </c>
      <c r="G891" s="52" t="str">
        <f>IF('PR Thương Hiệu'!G95="","",'PR Thương Hiệu'!G95)</f>
        <v/>
      </c>
      <c r="H891" s="52" t="str">
        <f>IF('PR Thương Hiệu'!J95="","",'PR Thương Hiệu'!J95)</f>
        <v/>
      </c>
      <c r="I891" s="52" t="str">
        <f>IF('PR Thương Hiệu'!M95="","",'PR Thương Hiệu'!M95)</f>
        <v/>
      </c>
      <c r="J891" s="52" t="str">
        <f>IF('PR Thương Hiệu'!R95="","",'PR Thương Hiệu'!R95)</f>
        <v/>
      </c>
      <c r="K891" s="52" t="str">
        <f t="array" ref="K891">IF(COUNTA('PR Thương Hiệu'!T95:AE95)=0,"",INDEX('PR Thương Hiệu'!T95:AE95,1,SUMPRODUCT(MAX(('PR Thương Hiệu'!T95:AE95&lt;&gt;"")*(COLUMN('PR Thương Hiệu'!T95:AE95)-COLUMN('PR Thương Hiệu'!T95)+1)))))</f>
        <v/>
      </c>
      <c r="L891" s="52" t="str">
        <f>IF(AND(G891&lt;&gt;"",G891='Tổng hợp'!$C$4),MAX(L$1:L890)+1,"")</f>
        <v/>
      </c>
    </row>
    <row r="892" ht="15.75" customHeight="1">
      <c r="A892" s="52" t="str">
        <f>IF('PR Thương Hiệu'!C96="","","PR Thương Hiệu")</f>
        <v/>
      </c>
      <c r="B892" s="52" t="str">
        <f>IF('PR Thương Hiệu'!B96="","",'PR Thương Hiệu'!B96)</f>
        <v/>
      </c>
      <c r="C892" s="52" t="str">
        <f>IF('PR Thương Hiệu'!C96="","",'PR Thương Hiệu'!C96)</f>
        <v/>
      </c>
      <c r="D892" s="52" t="str">
        <f>IF('PR Thương Hiệu'!D96="","",'PR Thương Hiệu'!D96)</f>
        <v/>
      </c>
      <c r="E892" s="52" t="str">
        <f>IF('PR Thương Hiệu'!E96="","",'PR Thương Hiệu'!E96)</f>
        <v/>
      </c>
      <c r="F892" s="52" t="str">
        <f>IF('PR Thương Hiệu'!F96="","",'PR Thương Hiệu'!F96)</f>
        <v/>
      </c>
      <c r="G892" s="52" t="str">
        <f>IF('PR Thương Hiệu'!G96="","",'PR Thương Hiệu'!G96)</f>
        <v/>
      </c>
      <c r="H892" s="52" t="str">
        <f>IF('PR Thương Hiệu'!J96="","",'PR Thương Hiệu'!J96)</f>
        <v/>
      </c>
      <c r="I892" s="52" t="str">
        <f>IF('PR Thương Hiệu'!M96="","",'PR Thương Hiệu'!M96)</f>
        <v/>
      </c>
      <c r="J892" s="52" t="str">
        <f>IF('PR Thương Hiệu'!R96="","",'PR Thương Hiệu'!R96)</f>
        <v/>
      </c>
      <c r="K892" s="52" t="str">
        <f t="array" ref="K892">IF(COUNTA('PR Thương Hiệu'!T96:AE96)=0,"",INDEX('PR Thương Hiệu'!T96:AE96,1,SUMPRODUCT(MAX(('PR Thương Hiệu'!T96:AE96&lt;&gt;"")*(COLUMN('PR Thương Hiệu'!T96:AE96)-COLUMN('PR Thương Hiệu'!T96)+1)))))</f>
        <v/>
      </c>
      <c r="L892" s="52" t="str">
        <f>IF(AND(G892&lt;&gt;"",G892='Tổng hợp'!$C$4),MAX(L$1:L891)+1,"")</f>
        <v/>
      </c>
    </row>
    <row r="893" ht="15.75" customHeight="1">
      <c r="A893" s="52" t="str">
        <f>IF('PR Thương Hiệu'!C97="","","PR Thương Hiệu")</f>
        <v/>
      </c>
      <c r="B893" s="52" t="str">
        <f>IF('PR Thương Hiệu'!B97="","",'PR Thương Hiệu'!B97)</f>
        <v/>
      </c>
      <c r="C893" s="52" t="str">
        <f>IF('PR Thương Hiệu'!C97="","",'PR Thương Hiệu'!C97)</f>
        <v/>
      </c>
      <c r="D893" s="52" t="str">
        <f>IF('PR Thương Hiệu'!D97="","",'PR Thương Hiệu'!D97)</f>
        <v/>
      </c>
      <c r="E893" s="52" t="str">
        <f>IF('PR Thương Hiệu'!E97="","",'PR Thương Hiệu'!E97)</f>
        <v/>
      </c>
      <c r="F893" s="52" t="str">
        <f>IF('PR Thương Hiệu'!F97="","",'PR Thương Hiệu'!F97)</f>
        <v/>
      </c>
      <c r="G893" s="52" t="str">
        <f>IF('PR Thương Hiệu'!G97="","",'PR Thương Hiệu'!G97)</f>
        <v/>
      </c>
      <c r="H893" s="52" t="str">
        <f>IF('PR Thương Hiệu'!J97="","",'PR Thương Hiệu'!J97)</f>
        <v/>
      </c>
      <c r="I893" s="52" t="str">
        <f>IF('PR Thương Hiệu'!M97="","",'PR Thương Hiệu'!M97)</f>
        <v/>
      </c>
      <c r="J893" s="52" t="str">
        <f>IF('PR Thương Hiệu'!R97="","",'PR Thương Hiệu'!R97)</f>
        <v/>
      </c>
      <c r="K893" s="52" t="str">
        <f t="array" ref="K893">IF(COUNTA('PR Thương Hiệu'!T97:AE97)=0,"",INDEX('PR Thương Hiệu'!T97:AE97,1,SUMPRODUCT(MAX(('PR Thương Hiệu'!T97:AE97&lt;&gt;"")*(COLUMN('PR Thương Hiệu'!T97:AE97)-COLUMN('PR Thương Hiệu'!T97)+1)))))</f>
        <v/>
      </c>
      <c r="L893" s="52" t="str">
        <f>IF(AND(G893&lt;&gt;"",G893='Tổng hợp'!$C$4),MAX(L$1:L892)+1,"")</f>
        <v/>
      </c>
    </row>
    <row r="894" ht="15.75" customHeight="1">
      <c r="A894" s="52" t="str">
        <f>IF('PR Thương Hiệu'!C98="","","PR Thương Hiệu")</f>
        <v/>
      </c>
      <c r="B894" s="52" t="str">
        <f>IF('PR Thương Hiệu'!B98="","",'PR Thương Hiệu'!B98)</f>
        <v/>
      </c>
      <c r="C894" s="52" t="str">
        <f>IF('PR Thương Hiệu'!C98="","",'PR Thương Hiệu'!C98)</f>
        <v/>
      </c>
      <c r="D894" s="52" t="str">
        <f>IF('PR Thương Hiệu'!D98="","",'PR Thương Hiệu'!D98)</f>
        <v/>
      </c>
      <c r="E894" s="52" t="str">
        <f>IF('PR Thương Hiệu'!E98="","",'PR Thương Hiệu'!E98)</f>
        <v/>
      </c>
      <c r="F894" s="52" t="str">
        <f>IF('PR Thương Hiệu'!F98="","",'PR Thương Hiệu'!F98)</f>
        <v/>
      </c>
      <c r="G894" s="52" t="str">
        <f>IF('PR Thương Hiệu'!G98="","",'PR Thương Hiệu'!G98)</f>
        <v/>
      </c>
      <c r="H894" s="52" t="str">
        <f>IF('PR Thương Hiệu'!J98="","",'PR Thương Hiệu'!J98)</f>
        <v/>
      </c>
      <c r="I894" s="52" t="str">
        <f>IF('PR Thương Hiệu'!M98="","",'PR Thương Hiệu'!M98)</f>
        <v/>
      </c>
      <c r="J894" s="52" t="str">
        <f>IF('PR Thương Hiệu'!R98="","",'PR Thương Hiệu'!R98)</f>
        <v/>
      </c>
      <c r="K894" s="52" t="str">
        <f t="array" ref="K894">IF(COUNTA('PR Thương Hiệu'!T98:AE98)=0,"",INDEX('PR Thương Hiệu'!T98:AE98,1,SUMPRODUCT(MAX(('PR Thương Hiệu'!T98:AE98&lt;&gt;"")*(COLUMN('PR Thương Hiệu'!T98:AE98)-COLUMN('PR Thương Hiệu'!T98)+1)))))</f>
        <v/>
      </c>
      <c r="L894" s="52" t="str">
        <f>IF(AND(G894&lt;&gt;"",G894='Tổng hợp'!$C$4),MAX(L$1:L893)+1,"")</f>
        <v/>
      </c>
    </row>
    <row r="895" ht="15.75" customHeight="1">
      <c r="A895" s="52" t="str">
        <f>IF('PR Thương Hiệu'!C99="","","PR Thương Hiệu")</f>
        <v/>
      </c>
      <c r="B895" s="52" t="str">
        <f>IF('PR Thương Hiệu'!B99="","",'PR Thương Hiệu'!B99)</f>
        <v/>
      </c>
      <c r="C895" s="52" t="str">
        <f>IF('PR Thương Hiệu'!C99="","",'PR Thương Hiệu'!C99)</f>
        <v/>
      </c>
      <c r="D895" s="52" t="str">
        <f>IF('PR Thương Hiệu'!D99="","",'PR Thương Hiệu'!D99)</f>
        <v/>
      </c>
      <c r="E895" s="52" t="str">
        <f>IF('PR Thương Hiệu'!E99="","",'PR Thương Hiệu'!E99)</f>
        <v/>
      </c>
      <c r="F895" s="52" t="str">
        <f>IF('PR Thương Hiệu'!F99="","",'PR Thương Hiệu'!F99)</f>
        <v/>
      </c>
      <c r="G895" s="52" t="str">
        <f>IF('PR Thương Hiệu'!G99="","",'PR Thương Hiệu'!G99)</f>
        <v/>
      </c>
      <c r="H895" s="52" t="str">
        <f>IF('PR Thương Hiệu'!J99="","",'PR Thương Hiệu'!J99)</f>
        <v/>
      </c>
      <c r="I895" s="52" t="str">
        <f>IF('PR Thương Hiệu'!M99="","",'PR Thương Hiệu'!M99)</f>
        <v/>
      </c>
      <c r="J895" s="52" t="str">
        <f>IF('PR Thương Hiệu'!R99="","",'PR Thương Hiệu'!R99)</f>
        <v/>
      </c>
      <c r="K895" s="52" t="str">
        <f t="array" ref="K895">IF(COUNTA('PR Thương Hiệu'!T99:AE99)=0,"",INDEX('PR Thương Hiệu'!T99:AE99,1,SUMPRODUCT(MAX(('PR Thương Hiệu'!T99:AE99&lt;&gt;"")*(COLUMN('PR Thương Hiệu'!T99:AE99)-COLUMN('PR Thương Hiệu'!T99)+1)))))</f>
        <v/>
      </c>
      <c r="L895" s="52" t="str">
        <f>IF(AND(G895&lt;&gt;"",G895='Tổng hợp'!$C$4),MAX(L$1:L894)+1,"")</f>
        <v/>
      </c>
    </row>
    <row r="896" ht="15.75" customHeight="1">
      <c r="A896" s="52" t="str">
        <f>IF('PR Thương Hiệu'!C100="","","PR Thương Hiệu")</f>
        <v/>
      </c>
      <c r="B896" s="52" t="str">
        <f>IF('PR Thương Hiệu'!B100="","",'PR Thương Hiệu'!B100)</f>
        <v/>
      </c>
      <c r="C896" s="52" t="str">
        <f>IF('PR Thương Hiệu'!C100="","",'PR Thương Hiệu'!C100)</f>
        <v/>
      </c>
      <c r="D896" s="52" t="str">
        <f>IF('PR Thương Hiệu'!D100="","",'PR Thương Hiệu'!D100)</f>
        <v/>
      </c>
      <c r="E896" s="52" t="str">
        <f>IF('PR Thương Hiệu'!E100="","",'PR Thương Hiệu'!E100)</f>
        <v/>
      </c>
      <c r="F896" s="52" t="str">
        <f>IF('PR Thương Hiệu'!F100="","",'PR Thương Hiệu'!F100)</f>
        <v/>
      </c>
      <c r="G896" s="52" t="str">
        <f>IF('PR Thương Hiệu'!G100="","",'PR Thương Hiệu'!G100)</f>
        <v/>
      </c>
      <c r="H896" s="52" t="str">
        <f>IF('PR Thương Hiệu'!J100="","",'PR Thương Hiệu'!J100)</f>
        <v/>
      </c>
      <c r="I896" s="52" t="str">
        <f>IF('PR Thương Hiệu'!M100="","",'PR Thương Hiệu'!M100)</f>
        <v/>
      </c>
      <c r="J896" s="52" t="str">
        <f>IF('PR Thương Hiệu'!R100="","",'PR Thương Hiệu'!R100)</f>
        <v/>
      </c>
      <c r="K896" s="52" t="str">
        <f t="array" ref="K896">IF(COUNTA('PR Thương Hiệu'!T100:AE100)=0,"",INDEX('PR Thương Hiệu'!T100:AE100,1,SUMPRODUCT(MAX(('PR Thương Hiệu'!T100:AE100&lt;&gt;"")*(COLUMN('PR Thương Hiệu'!T100:AE100)-COLUMN('PR Thương Hiệu'!T100)+1)))))</f>
        <v/>
      </c>
      <c r="L896" s="52" t="str">
        <f>IF(AND(G896&lt;&gt;"",G896='Tổng hợp'!$C$4),MAX(L$1:L895)+1,"")</f>
        <v/>
      </c>
    </row>
    <row r="897" ht="15.75" customHeight="1">
      <c r="A897" s="52" t="str">
        <f>IF('PR Thương Hiệu'!C101="","","PR Thương Hiệu")</f>
        <v/>
      </c>
      <c r="B897" s="52" t="str">
        <f>IF('PR Thương Hiệu'!B101="","",'PR Thương Hiệu'!B101)</f>
        <v/>
      </c>
      <c r="C897" s="52" t="str">
        <f>IF('PR Thương Hiệu'!C101="","",'PR Thương Hiệu'!C101)</f>
        <v/>
      </c>
      <c r="D897" s="52" t="str">
        <f>IF('PR Thương Hiệu'!D101="","",'PR Thương Hiệu'!D101)</f>
        <v/>
      </c>
      <c r="E897" s="52" t="str">
        <f>IF('PR Thương Hiệu'!E101="","",'PR Thương Hiệu'!E101)</f>
        <v/>
      </c>
      <c r="F897" s="52" t="str">
        <f>IF('PR Thương Hiệu'!F101="","",'PR Thương Hiệu'!F101)</f>
        <v/>
      </c>
      <c r="G897" s="52" t="str">
        <f>IF('PR Thương Hiệu'!G101="","",'PR Thương Hiệu'!G101)</f>
        <v/>
      </c>
      <c r="H897" s="52" t="str">
        <f>IF('PR Thương Hiệu'!J101="","",'PR Thương Hiệu'!J101)</f>
        <v/>
      </c>
      <c r="I897" s="52" t="str">
        <f>IF('PR Thương Hiệu'!M101="","",'PR Thương Hiệu'!M101)</f>
        <v/>
      </c>
      <c r="J897" s="52" t="str">
        <f>IF('PR Thương Hiệu'!R101="","",'PR Thương Hiệu'!R101)</f>
        <v/>
      </c>
      <c r="K897" s="52" t="str">
        <f t="array" ref="K897">IF(COUNTA('PR Thương Hiệu'!T101:AE101)=0,"",INDEX('PR Thương Hiệu'!T101:AE101,1,SUMPRODUCT(MAX(('PR Thương Hiệu'!T101:AE101&lt;&gt;"")*(COLUMN('PR Thương Hiệu'!T101:AE101)-COLUMN('PR Thương Hiệu'!T101)+1)))))</f>
        <v/>
      </c>
      <c r="L897" s="52" t="str">
        <f>IF(AND(G897&lt;&gt;"",G897='Tổng hợp'!$C$4),MAX(L$1:L896)+1,"")</f>
        <v/>
      </c>
    </row>
    <row r="898" ht="15.75" customHeight="1">
      <c r="A898" s="52" t="str">
        <f>IF('PR Thương Hiệu'!C102="","","PR Thương Hiệu")</f>
        <v/>
      </c>
      <c r="B898" s="52" t="str">
        <f>IF('PR Thương Hiệu'!B102="","",'PR Thương Hiệu'!B102)</f>
        <v/>
      </c>
      <c r="C898" s="52" t="str">
        <f>IF('PR Thương Hiệu'!C102="","",'PR Thương Hiệu'!C102)</f>
        <v/>
      </c>
      <c r="D898" s="52" t="str">
        <f>IF('PR Thương Hiệu'!D102="","",'PR Thương Hiệu'!D102)</f>
        <v/>
      </c>
      <c r="E898" s="52" t="str">
        <f>IF('PR Thương Hiệu'!E102="","",'PR Thương Hiệu'!E102)</f>
        <v/>
      </c>
      <c r="F898" s="52" t="str">
        <f>IF('PR Thương Hiệu'!F102="","",'PR Thương Hiệu'!F102)</f>
        <v/>
      </c>
      <c r="G898" s="52" t="str">
        <f>IF('PR Thương Hiệu'!G102="","",'PR Thương Hiệu'!G102)</f>
        <v/>
      </c>
      <c r="H898" s="52" t="str">
        <f>IF('PR Thương Hiệu'!J102="","",'PR Thương Hiệu'!J102)</f>
        <v/>
      </c>
      <c r="I898" s="52" t="str">
        <f>IF('PR Thương Hiệu'!M102="","",'PR Thương Hiệu'!M102)</f>
        <v/>
      </c>
      <c r="J898" s="52" t="str">
        <f>IF('PR Thương Hiệu'!R102="","",'PR Thương Hiệu'!R102)</f>
        <v/>
      </c>
      <c r="K898" s="52" t="str">
        <f t="array" ref="K898">IF(COUNTA('PR Thương Hiệu'!T102:AE102)=0,"",INDEX('PR Thương Hiệu'!T102:AE102,1,SUMPRODUCT(MAX(('PR Thương Hiệu'!T102:AE102&lt;&gt;"")*(COLUMN('PR Thương Hiệu'!T102:AE102)-COLUMN('PR Thương Hiệu'!T102)+1)))))</f>
        <v/>
      </c>
      <c r="L898" s="52" t="str">
        <f>IF(AND(G898&lt;&gt;"",G898='Tổng hợp'!$C$4),MAX(L$1:L897)+1,"")</f>
        <v/>
      </c>
    </row>
    <row r="899" ht="15.75" customHeight="1">
      <c r="A899" s="52" t="str">
        <f>IF('PR Thương Hiệu'!C103="","","PR Thương Hiệu")</f>
        <v/>
      </c>
      <c r="B899" s="52" t="str">
        <f>IF('PR Thương Hiệu'!B103="","",'PR Thương Hiệu'!B103)</f>
        <v/>
      </c>
      <c r="C899" s="52" t="str">
        <f>IF('PR Thương Hiệu'!C103="","",'PR Thương Hiệu'!C103)</f>
        <v/>
      </c>
      <c r="D899" s="52" t="str">
        <f>IF('PR Thương Hiệu'!D103="","",'PR Thương Hiệu'!D103)</f>
        <v/>
      </c>
      <c r="E899" s="52" t="str">
        <f>IF('PR Thương Hiệu'!E103="","",'PR Thương Hiệu'!E103)</f>
        <v/>
      </c>
      <c r="F899" s="52" t="str">
        <f>IF('PR Thương Hiệu'!F103="","",'PR Thương Hiệu'!F103)</f>
        <v/>
      </c>
      <c r="G899" s="52" t="str">
        <f>IF('PR Thương Hiệu'!G103="","",'PR Thương Hiệu'!G103)</f>
        <v/>
      </c>
      <c r="H899" s="52" t="str">
        <f>IF('PR Thương Hiệu'!J103="","",'PR Thương Hiệu'!J103)</f>
        <v/>
      </c>
      <c r="I899" s="52" t="str">
        <f>IF('PR Thương Hiệu'!M103="","",'PR Thương Hiệu'!M103)</f>
        <v/>
      </c>
      <c r="J899" s="52" t="str">
        <f>IF('PR Thương Hiệu'!R103="","",'PR Thương Hiệu'!R103)</f>
        <v/>
      </c>
      <c r="K899" s="52" t="str">
        <f t="array" ref="K899">IF(COUNTA('PR Thương Hiệu'!T103:AE103)=0,"",INDEX('PR Thương Hiệu'!T103:AE103,1,SUMPRODUCT(MAX(('PR Thương Hiệu'!T103:AE103&lt;&gt;"")*(COLUMN('PR Thương Hiệu'!T103:AE103)-COLUMN('PR Thương Hiệu'!T103)+1)))))</f>
        <v/>
      </c>
      <c r="L899" s="52" t="str">
        <f>IF(AND(G899&lt;&gt;"",G899='Tổng hợp'!$C$4),MAX(L$1:L898)+1,"")</f>
        <v/>
      </c>
    </row>
    <row r="900" ht="15.75" customHeight="1">
      <c r="A900" s="52" t="str">
        <f>IF('PR Thương Hiệu'!C104="","","PR Thương Hiệu")</f>
        <v/>
      </c>
      <c r="B900" s="52" t="str">
        <f>IF('PR Thương Hiệu'!B104="","",'PR Thương Hiệu'!B104)</f>
        <v/>
      </c>
      <c r="C900" s="52" t="str">
        <f>IF('PR Thương Hiệu'!C104="","",'PR Thương Hiệu'!C104)</f>
        <v/>
      </c>
      <c r="D900" s="52" t="str">
        <f>IF('PR Thương Hiệu'!D104="","",'PR Thương Hiệu'!D104)</f>
        <v/>
      </c>
      <c r="E900" s="52" t="str">
        <f>IF('PR Thương Hiệu'!E104="","",'PR Thương Hiệu'!E104)</f>
        <v/>
      </c>
      <c r="F900" s="52" t="str">
        <f>IF('PR Thương Hiệu'!F104="","",'PR Thương Hiệu'!F104)</f>
        <v/>
      </c>
      <c r="G900" s="52" t="str">
        <f>IF('PR Thương Hiệu'!G104="","",'PR Thương Hiệu'!G104)</f>
        <v/>
      </c>
      <c r="H900" s="52" t="str">
        <f>IF('PR Thương Hiệu'!J104="","",'PR Thương Hiệu'!J104)</f>
        <v/>
      </c>
      <c r="I900" s="52" t="str">
        <f>IF('PR Thương Hiệu'!M104="","",'PR Thương Hiệu'!M104)</f>
        <v/>
      </c>
      <c r="J900" s="52" t="str">
        <f>IF('PR Thương Hiệu'!R104="","",'PR Thương Hiệu'!R104)</f>
        <v/>
      </c>
      <c r="K900" s="52" t="str">
        <f t="array" ref="K900">IF(COUNTA('PR Thương Hiệu'!T104:AE104)=0,"",INDEX('PR Thương Hiệu'!T104:AE104,1,SUMPRODUCT(MAX(('PR Thương Hiệu'!T104:AE104&lt;&gt;"")*(COLUMN('PR Thương Hiệu'!T104:AE104)-COLUMN('PR Thương Hiệu'!T104)+1)))))</f>
        <v/>
      </c>
      <c r="L900" s="52" t="str">
        <f>IF(AND(G900&lt;&gt;"",G900='Tổng hợp'!$C$4),MAX(L$1:L899)+1,"")</f>
        <v/>
      </c>
    </row>
    <row r="901" ht="15.75" customHeight="1">
      <c r="A901" s="52" t="str">
        <f>IF('PR Thương Hiệu'!C105="","","PR Thương Hiệu")</f>
        <v/>
      </c>
      <c r="B901" s="52" t="str">
        <f>IF('PR Thương Hiệu'!B105="","",'PR Thương Hiệu'!B105)</f>
        <v/>
      </c>
      <c r="C901" s="52" t="str">
        <f>IF('PR Thương Hiệu'!C105="","",'PR Thương Hiệu'!C105)</f>
        <v/>
      </c>
      <c r="D901" s="52" t="str">
        <f>IF('PR Thương Hiệu'!D105="","",'PR Thương Hiệu'!D105)</f>
        <v/>
      </c>
      <c r="E901" s="52" t="str">
        <f>IF('PR Thương Hiệu'!E105="","",'PR Thương Hiệu'!E105)</f>
        <v/>
      </c>
      <c r="F901" s="52" t="str">
        <f>IF('PR Thương Hiệu'!F105="","",'PR Thương Hiệu'!F105)</f>
        <v/>
      </c>
      <c r="G901" s="52" t="str">
        <f>IF('PR Thương Hiệu'!G105="","",'PR Thương Hiệu'!G105)</f>
        <v/>
      </c>
      <c r="H901" s="52" t="str">
        <f>IF('PR Thương Hiệu'!J105="","",'PR Thương Hiệu'!J105)</f>
        <v/>
      </c>
      <c r="I901" s="52" t="str">
        <f>IF('PR Thương Hiệu'!M105="","",'PR Thương Hiệu'!M105)</f>
        <v/>
      </c>
      <c r="J901" s="52" t="str">
        <f>IF('PR Thương Hiệu'!R105="","",'PR Thương Hiệu'!R105)</f>
        <v/>
      </c>
      <c r="K901" s="52" t="str">
        <f t="array" ref="K901">IF(COUNTA('PR Thương Hiệu'!T105:AE105)=0,"",INDEX('PR Thương Hiệu'!T105:AE105,1,SUMPRODUCT(MAX(('PR Thương Hiệu'!T105:AE105&lt;&gt;"")*(COLUMN('PR Thương Hiệu'!T105:AE105)-COLUMN('PR Thương Hiệu'!T105)+1)))))</f>
        <v/>
      </c>
      <c r="L901" s="52" t="str">
        <f>IF(AND(G901&lt;&gt;"",G901='Tổng hợp'!$C$4),MAX(L$1:L900)+1,"")</f>
        <v/>
      </c>
    </row>
    <row r="902" ht="15.75" customHeight="1">
      <c r="A902" s="52" t="str">
        <f>IF('PR Thương Hiệu'!C106="","","PR Thương Hiệu")</f>
        <v/>
      </c>
      <c r="B902" s="52" t="str">
        <f>IF('PR Thương Hiệu'!B106="","",'PR Thương Hiệu'!B106)</f>
        <v/>
      </c>
      <c r="C902" s="52" t="str">
        <f>IF('PR Thương Hiệu'!C106="","",'PR Thương Hiệu'!C106)</f>
        <v/>
      </c>
      <c r="D902" s="52" t="str">
        <f>IF('PR Thương Hiệu'!D106="","",'PR Thương Hiệu'!D106)</f>
        <v/>
      </c>
      <c r="E902" s="52" t="str">
        <f>IF('PR Thương Hiệu'!E106="","",'PR Thương Hiệu'!E106)</f>
        <v/>
      </c>
      <c r="F902" s="52" t="str">
        <f>IF('PR Thương Hiệu'!F106="","",'PR Thương Hiệu'!F106)</f>
        <v/>
      </c>
      <c r="G902" s="52" t="str">
        <f>IF('PR Thương Hiệu'!G106="","",'PR Thương Hiệu'!G106)</f>
        <v/>
      </c>
      <c r="H902" s="52" t="str">
        <f>IF('PR Thương Hiệu'!J106="","",'PR Thương Hiệu'!J106)</f>
        <v/>
      </c>
      <c r="I902" s="52" t="str">
        <f>IF('PR Thương Hiệu'!M106="","",'PR Thương Hiệu'!M106)</f>
        <v/>
      </c>
      <c r="J902" s="52" t="str">
        <f>IF('PR Thương Hiệu'!R106="","",'PR Thương Hiệu'!R106)</f>
        <v/>
      </c>
      <c r="K902" s="52" t="str">
        <f t="array" ref="K902">IF(COUNTA('PR Thương Hiệu'!T106:AE106)=0,"",INDEX('PR Thương Hiệu'!T106:AE106,1,SUMPRODUCT(MAX(('PR Thương Hiệu'!T106:AE106&lt;&gt;"")*(COLUMN('PR Thương Hiệu'!T106:AE106)-COLUMN('PR Thương Hiệu'!T106)+1)))))</f>
        <v/>
      </c>
      <c r="L902" s="52" t="str">
        <f>IF(AND(G902&lt;&gt;"",G902='Tổng hợp'!$C$4),MAX(L$1:L901)+1,"")</f>
        <v/>
      </c>
    </row>
    <row r="903" ht="15.75" customHeight="1">
      <c r="A903" s="52" t="str">
        <f>IF('PR Thương Hiệu'!C107="","","PR Thương Hiệu")</f>
        <v/>
      </c>
      <c r="B903" s="52" t="str">
        <f>IF('PR Thương Hiệu'!B107="","",'PR Thương Hiệu'!B107)</f>
        <v/>
      </c>
      <c r="C903" s="52" t="str">
        <f>IF('PR Thương Hiệu'!C107="","",'PR Thương Hiệu'!C107)</f>
        <v/>
      </c>
      <c r="D903" s="52" t="str">
        <f>IF('PR Thương Hiệu'!D107="","",'PR Thương Hiệu'!D107)</f>
        <v/>
      </c>
      <c r="E903" s="52" t="str">
        <f>IF('PR Thương Hiệu'!E107="","",'PR Thương Hiệu'!E107)</f>
        <v/>
      </c>
      <c r="F903" s="52" t="str">
        <f>IF('PR Thương Hiệu'!F107="","",'PR Thương Hiệu'!F107)</f>
        <v/>
      </c>
      <c r="G903" s="52" t="str">
        <f>IF('PR Thương Hiệu'!G107="","",'PR Thương Hiệu'!G107)</f>
        <v/>
      </c>
      <c r="H903" s="52" t="str">
        <f>IF('PR Thương Hiệu'!J107="","",'PR Thương Hiệu'!J107)</f>
        <v/>
      </c>
      <c r="I903" s="52" t="str">
        <f>IF('PR Thương Hiệu'!M107="","",'PR Thương Hiệu'!M107)</f>
        <v/>
      </c>
      <c r="J903" s="52" t="str">
        <f>IF('PR Thương Hiệu'!R107="","",'PR Thương Hiệu'!R107)</f>
        <v/>
      </c>
      <c r="K903" s="52" t="str">
        <f t="array" ref="K903">IF(COUNTA('PR Thương Hiệu'!T107:AE107)=0,"",INDEX('PR Thương Hiệu'!T107:AE107,1,SUMPRODUCT(MAX(('PR Thương Hiệu'!T107:AE107&lt;&gt;"")*(COLUMN('PR Thương Hiệu'!T107:AE107)-COLUMN('PR Thương Hiệu'!T107)+1)))))</f>
        <v/>
      </c>
      <c r="L903" s="52" t="str">
        <f>IF(AND(G903&lt;&gt;"",G903='Tổng hợp'!$C$4),MAX(L$1:L902)+1,"")</f>
        <v/>
      </c>
    </row>
    <row r="904" ht="15.75" customHeight="1">
      <c r="A904" s="52" t="str">
        <f>IF('PR Thương Hiệu'!C108="","","PR Thương Hiệu")</f>
        <v/>
      </c>
      <c r="B904" s="52" t="str">
        <f>IF('PR Thương Hiệu'!B108="","",'PR Thương Hiệu'!B108)</f>
        <v/>
      </c>
      <c r="C904" s="52" t="str">
        <f>IF('PR Thương Hiệu'!C108="","",'PR Thương Hiệu'!C108)</f>
        <v/>
      </c>
      <c r="D904" s="52" t="str">
        <f>IF('PR Thương Hiệu'!D108="","",'PR Thương Hiệu'!D108)</f>
        <v/>
      </c>
      <c r="E904" s="52" t="str">
        <f>IF('PR Thương Hiệu'!E108="","",'PR Thương Hiệu'!E108)</f>
        <v/>
      </c>
      <c r="F904" s="52" t="str">
        <f>IF('PR Thương Hiệu'!F108="","",'PR Thương Hiệu'!F108)</f>
        <v/>
      </c>
      <c r="G904" s="52" t="str">
        <f>IF('PR Thương Hiệu'!G108="","",'PR Thương Hiệu'!G108)</f>
        <v/>
      </c>
      <c r="H904" s="52" t="str">
        <f>IF('PR Thương Hiệu'!J108="","",'PR Thương Hiệu'!J108)</f>
        <v/>
      </c>
      <c r="I904" s="52" t="str">
        <f>IF('PR Thương Hiệu'!M108="","",'PR Thương Hiệu'!M108)</f>
        <v/>
      </c>
      <c r="J904" s="52" t="str">
        <f>IF('PR Thương Hiệu'!R108="","",'PR Thương Hiệu'!R108)</f>
        <v/>
      </c>
      <c r="K904" s="52" t="str">
        <f t="array" ref="K904">IF(COUNTA('PR Thương Hiệu'!T108:AE108)=0,"",INDEX('PR Thương Hiệu'!T108:AE108,1,SUMPRODUCT(MAX(('PR Thương Hiệu'!T108:AE108&lt;&gt;"")*(COLUMN('PR Thương Hiệu'!T108:AE108)-COLUMN('PR Thương Hiệu'!T108)+1)))))</f>
        <v/>
      </c>
      <c r="L904" s="52" t="str">
        <f>IF(AND(G904&lt;&gt;"",G904='Tổng hợp'!$C$4),MAX(L$1:L903)+1,"")</f>
        <v/>
      </c>
    </row>
    <row r="905" ht="15.75" customHeight="1">
      <c r="A905" s="52" t="str">
        <f>IF('PR Thương Hiệu'!C109="","","PR Thương Hiệu")</f>
        <v/>
      </c>
      <c r="B905" s="52" t="str">
        <f>IF('PR Thương Hiệu'!B109="","",'PR Thương Hiệu'!B109)</f>
        <v/>
      </c>
      <c r="C905" s="52" t="str">
        <f>IF('PR Thương Hiệu'!C109="","",'PR Thương Hiệu'!C109)</f>
        <v/>
      </c>
      <c r="D905" s="52" t="str">
        <f>IF('PR Thương Hiệu'!D109="","",'PR Thương Hiệu'!D109)</f>
        <v/>
      </c>
      <c r="E905" s="52" t="str">
        <f>IF('PR Thương Hiệu'!E109="","",'PR Thương Hiệu'!E109)</f>
        <v/>
      </c>
      <c r="F905" s="52" t="str">
        <f>IF('PR Thương Hiệu'!F109="","",'PR Thương Hiệu'!F109)</f>
        <v/>
      </c>
      <c r="G905" s="52" t="str">
        <f>IF('PR Thương Hiệu'!G109="","",'PR Thương Hiệu'!G109)</f>
        <v/>
      </c>
      <c r="H905" s="52" t="str">
        <f>IF('PR Thương Hiệu'!J109="","",'PR Thương Hiệu'!J109)</f>
        <v/>
      </c>
      <c r="I905" s="52" t="str">
        <f>IF('PR Thương Hiệu'!M109="","",'PR Thương Hiệu'!M109)</f>
        <v/>
      </c>
      <c r="J905" s="52" t="str">
        <f>IF('PR Thương Hiệu'!R109="","",'PR Thương Hiệu'!R109)</f>
        <v/>
      </c>
      <c r="K905" s="52" t="str">
        <f t="array" ref="K905">IF(COUNTA('PR Thương Hiệu'!T109:AE109)=0,"",INDEX('PR Thương Hiệu'!T109:AE109,1,SUMPRODUCT(MAX(('PR Thương Hiệu'!T109:AE109&lt;&gt;"")*(COLUMN('PR Thương Hiệu'!T109:AE109)-COLUMN('PR Thương Hiệu'!T109)+1)))))</f>
        <v/>
      </c>
      <c r="L905" s="52" t="str">
        <f>IF(AND(G905&lt;&gt;"",G905='Tổng hợp'!$C$4),MAX(L$1:L904)+1,"")</f>
        <v/>
      </c>
    </row>
    <row r="906" ht="15.75" customHeight="1">
      <c r="A906" s="52" t="str">
        <f>IF('PR Thương Hiệu'!C110="","","PR Thương Hiệu")</f>
        <v/>
      </c>
      <c r="B906" s="52" t="str">
        <f>IF('PR Thương Hiệu'!B110="","",'PR Thương Hiệu'!B110)</f>
        <v/>
      </c>
      <c r="C906" s="52" t="str">
        <f>IF('PR Thương Hiệu'!C110="","",'PR Thương Hiệu'!C110)</f>
        <v/>
      </c>
      <c r="D906" s="52" t="str">
        <f>IF('PR Thương Hiệu'!D110="","",'PR Thương Hiệu'!D110)</f>
        <v/>
      </c>
      <c r="E906" s="52" t="str">
        <f>IF('PR Thương Hiệu'!E110="","",'PR Thương Hiệu'!E110)</f>
        <v/>
      </c>
      <c r="F906" s="52" t="str">
        <f>IF('PR Thương Hiệu'!F110="","",'PR Thương Hiệu'!F110)</f>
        <v/>
      </c>
      <c r="G906" s="52" t="str">
        <f>IF('PR Thương Hiệu'!G110="","",'PR Thương Hiệu'!G110)</f>
        <v/>
      </c>
      <c r="H906" s="52" t="str">
        <f>IF('PR Thương Hiệu'!J110="","",'PR Thương Hiệu'!J110)</f>
        <v/>
      </c>
      <c r="I906" s="52" t="str">
        <f>IF('PR Thương Hiệu'!M110="","",'PR Thương Hiệu'!M110)</f>
        <v/>
      </c>
      <c r="J906" s="52" t="str">
        <f>IF('PR Thương Hiệu'!R110="","",'PR Thương Hiệu'!R110)</f>
        <v/>
      </c>
      <c r="K906" s="52" t="str">
        <f t="array" ref="K906">IF(COUNTA('PR Thương Hiệu'!T110:AE110)=0,"",INDEX('PR Thương Hiệu'!T110:AE110,1,SUMPRODUCT(MAX(('PR Thương Hiệu'!T110:AE110&lt;&gt;"")*(COLUMN('PR Thương Hiệu'!T110:AE110)-COLUMN('PR Thương Hiệu'!T110)+1)))))</f>
        <v/>
      </c>
      <c r="L906" s="52" t="str">
        <f>IF(AND(G906&lt;&gt;"",G906='Tổng hợp'!$C$4),MAX(L$1:L905)+1,"")</f>
        <v/>
      </c>
    </row>
    <row r="907" ht="15.75" customHeight="1">
      <c r="A907" s="52" t="str">
        <f>IF('PR Thương Hiệu'!C111="","","PR Thương Hiệu")</f>
        <v/>
      </c>
      <c r="B907" s="52" t="str">
        <f>IF('PR Thương Hiệu'!B111="","",'PR Thương Hiệu'!B111)</f>
        <v/>
      </c>
      <c r="C907" s="52" t="str">
        <f>IF('PR Thương Hiệu'!C111="","",'PR Thương Hiệu'!C111)</f>
        <v/>
      </c>
      <c r="D907" s="52" t="str">
        <f>IF('PR Thương Hiệu'!D111="","",'PR Thương Hiệu'!D111)</f>
        <v/>
      </c>
      <c r="E907" s="52" t="str">
        <f>IF('PR Thương Hiệu'!E111="","",'PR Thương Hiệu'!E111)</f>
        <v/>
      </c>
      <c r="F907" s="52" t="str">
        <f>IF('PR Thương Hiệu'!F111="","",'PR Thương Hiệu'!F111)</f>
        <v/>
      </c>
      <c r="G907" s="52" t="str">
        <f>IF('PR Thương Hiệu'!G111="","",'PR Thương Hiệu'!G111)</f>
        <v/>
      </c>
      <c r="H907" s="52" t="str">
        <f>IF('PR Thương Hiệu'!J111="","",'PR Thương Hiệu'!J111)</f>
        <v/>
      </c>
      <c r="I907" s="52" t="str">
        <f>IF('PR Thương Hiệu'!M111="","",'PR Thương Hiệu'!M111)</f>
        <v/>
      </c>
      <c r="J907" s="52" t="str">
        <f>IF('PR Thương Hiệu'!R111="","",'PR Thương Hiệu'!R111)</f>
        <v/>
      </c>
      <c r="K907" s="52" t="str">
        <f t="array" ref="K907">IF(COUNTA('PR Thương Hiệu'!T111:AE111)=0,"",INDEX('PR Thương Hiệu'!T111:AE111,1,SUMPRODUCT(MAX(('PR Thương Hiệu'!T111:AE111&lt;&gt;"")*(COLUMN('PR Thương Hiệu'!T111:AE111)-COLUMN('PR Thương Hiệu'!T111)+1)))))</f>
        <v/>
      </c>
      <c r="L907" s="52" t="str">
        <f>IF(AND(G907&lt;&gt;"",G907='Tổng hợp'!$C$4),MAX(L$1:L906)+1,"")</f>
        <v/>
      </c>
    </row>
    <row r="908" ht="15.75" customHeight="1">
      <c r="A908" s="52" t="str">
        <f>IF('PR Thương Hiệu'!C112="","","PR Thương Hiệu")</f>
        <v/>
      </c>
      <c r="B908" s="52" t="str">
        <f>IF('PR Thương Hiệu'!B112="","",'PR Thương Hiệu'!B112)</f>
        <v/>
      </c>
      <c r="C908" s="52" t="str">
        <f>IF('PR Thương Hiệu'!C112="","",'PR Thương Hiệu'!C112)</f>
        <v/>
      </c>
      <c r="D908" s="52" t="str">
        <f>IF('PR Thương Hiệu'!D112="","",'PR Thương Hiệu'!D112)</f>
        <v/>
      </c>
      <c r="E908" s="52" t="str">
        <f>IF('PR Thương Hiệu'!E112="","",'PR Thương Hiệu'!E112)</f>
        <v/>
      </c>
      <c r="F908" s="52" t="str">
        <f>IF('PR Thương Hiệu'!F112="","",'PR Thương Hiệu'!F112)</f>
        <v/>
      </c>
      <c r="G908" s="52" t="str">
        <f>IF('PR Thương Hiệu'!G112="","",'PR Thương Hiệu'!G112)</f>
        <v/>
      </c>
      <c r="H908" s="52" t="str">
        <f>IF('PR Thương Hiệu'!J112="","",'PR Thương Hiệu'!J112)</f>
        <v/>
      </c>
      <c r="I908" s="52" t="str">
        <f>IF('PR Thương Hiệu'!M112="","",'PR Thương Hiệu'!M112)</f>
        <v/>
      </c>
      <c r="J908" s="52" t="str">
        <f>IF('PR Thương Hiệu'!R112="","",'PR Thương Hiệu'!R112)</f>
        <v/>
      </c>
      <c r="K908" s="52" t="str">
        <f t="array" ref="K908">IF(COUNTA('PR Thương Hiệu'!T112:AE112)=0,"",INDEX('PR Thương Hiệu'!T112:AE112,1,SUMPRODUCT(MAX(('PR Thương Hiệu'!T112:AE112&lt;&gt;"")*(COLUMN('PR Thương Hiệu'!T112:AE112)-COLUMN('PR Thương Hiệu'!T112)+1)))))</f>
        <v/>
      </c>
      <c r="L908" s="52" t="str">
        <f>IF(AND(G908&lt;&gt;"",G908='Tổng hợp'!$C$4),MAX(L$1:L907)+1,"")</f>
        <v/>
      </c>
    </row>
    <row r="909" ht="15.75" customHeight="1">
      <c r="A909" s="52" t="str">
        <f>IF('PR Thương Hiệu'!C113="","","PR Thương Hiệu")</f>
        <v/>
      </c>
      <c r="B909" s="52" t="str">
        <f>IF('PR Thương Hiệu'!B113="","",'PR Thương Hiệu'!B113)</f>
        <v/>
      </c>
      <c r="C909" s="52" t="str">
        <f>IF('PR Thương Hiệu'!C113="","",'PR Thương Hiệu'!C113)</f>
        <v/>
      </c>
      <c r="D909" s="52" t="str">
        <f>IF('PR Thương Hiệu'!D113="","",'PR Thương Hiệu'!D113)</f>
        <v/>
      </c>
      <c r="E909" s="52" t="str">
        <f>IF('PR Thương Hiệu'!E113="","",'PR Thương Hiệu'!E113)</f>
        <v/>
      </c>
      <c r="F909" s="52" t="str">
        <f>IF('PR Thương Hiệu'!F113="","",'PR Thương Hiệu'!F113)</f>
        <v/>
      </c>
      <c r="G909" s="52" t="str">
        <f>IF('PR Thương Hiệu'!G113="","",'PR Thương Hiệu'!G113)</f>
        <v/>
      </c>
      <c r="H909" s="52" t="str">
        <f>IF('PR Thương Hiệu'!J113="","",'PR Thương Hiệu'!J113)</f>
        <v/>
      </c>
      <c r="I909" s="52" t="str">
        <f>IF('PR Thương Hiệu'!M113="","",'PR Thương Hiệu'!M113)</f>
        <v/>
      </c>
      <c r="J909" s="52" t="str">
        <f>IF('PR Thương Hiệu'!R113="","",'PR Thương Hiệu'!R113)</f>
        <v/>
      </c>
      <c r="K909" s="52" t="str">
        <f t="array" ref="K909">IF(COUNTA('PR Thương Hiệu'!T113:AE113)=0,"",INDEX('PR Thương Hiệu'!T113:AE113,1,SUMPRODUCT(MAX(('PR Thương Hiệu'!T113:AE113&lt;&gt;"")*(COLUMN('PR Thương Hiệu'!T113:AE113)-COLUMN('PR Thương Hiệu'!T113)+1)))))</f>
        <v/>
      </c>
      <c r="L909" s="52" t="str">
        <f>IF(AND(G909&lt;&gt;"",G909='Tổng hợp'!$C$4),MAX(L$1:L908)+1,"")</f>
        <v/>
      </c>
    </row>
    <row r="910" ht="15.75" customHeight="1">
      <c r="A910" s="52" t="str">
        <f>IF('PR Thương Hiệu'!C114="","","PR Thương Hiệu")</f>
        <v/>
      </c>
      <c r="B910" s="52" t="str">
        <f>IF('PR Thương Hiệu'!B114="","",'PR Thương Hiệu'!B114)</f>
        <v/>
      </c>
      <c r="C910" s="52" t="str">
        <f>IF('PR Thương Hiệu'!C114="","",'PR Thương Hiệu'!C114)</f>
        <v/>
      </c>
      <c r="D910" s="52" t="str">
        <f>IF('PR Thương Hiệu'!D114="","",'PR Thương Hiệu'!D114)</f>
        <v/>
      </c>
      <c r="E910" s="52" t="str">
        <f>IF('PR Thương Hiệu'!E114="","",'PR Thương Hiệu'!E114)</f>
        <v/>
      </c>
      <c r="F910" s="52" t="str">
        <f>IF('PR Thương Hiệu'!F114="","",'PR Thương Hiệu'!F114)</f>
        <v/>
      </c>
      <c r="G910" s="52" t="str">
        <f>IF('PR Thương Hiệu'!G114="","",'PR Thương Hiệu'!G114)</f>
        <v/>
      </c>
      <c r="H910" s="52" t="str">
        <f>IF('PR Thương Hiệu'!J114="","",'PR Thương Hiệu'!J114)</f>
        <v/>
      </c>
      <c r="I910" s="52" t="str">
        <f>IF('PR Thương Hiệu'!M114="","",'PR Thương Hiệu'!M114)</f>
        <v/>
      </c>
      <c r="J910" s="52" t="str">
        <f>IF('PR Thương Hiệu'!R114="","",'PR Thương Hiệu'!R114)</f>
        <v/>
      </c>
      <c r="K910" s="52" t="str">
        <f t="array" ref="K910">IF(COUNTA('PR Thương Hiệu'!T114:AE114)=0,"",INDEX('PR Thương Hiệu'!T114:AE114,1,SUMPRODUCT(MAX(('PR Thương Hiệu'!T114:AE114&lt;&gt;"")*(COLUMN('PR Thương Hiệu'!T114:AE114)-COLUMN('PR Thương Hiệu'!T114)+1)))))</f>
        <v/>
      </c>
      <c r="L910" s="52" t="str">
        <f>IF(AND(G910&lt;&gt;"",G910='Tổng hợp'!$C$4),MAX(L$1:L909)+1,"")</f>
        <v/>
      </c>
    </row>
    <row r="911" ht="15.75" customHeight="1">
      <c r="A911" s="52" t="str">
        <f>IF('PR Thương Hiệu'!C115="","","PR Thương Hiệu")</f>
        <v/>
      </c>
      <c r="B911" s="52" t="str">
        <f>IF('PR Thương Hiệu'!B115="","",'PR Thương Hiệu'!B115)</f>
        <v/>
      </c>
      <c r="C911" s="52" t="str">
        <f>IF('PR Thương Hiệu'!C115="","",'PR Thương Hiệu'!C115)</f>
        <v/>
      </c>
      <c r="D911" s="52" t="str">
        <f>IF('PR Thương Hiệu'!D115="","",'PR Thương Hiệu'!D115)</f>
        <v/>
      </c>
      <c r="E911" s="52" t="str">
        <f>IF('PR Thương Hiệu'!E115="","",'PR Thương Hiệu'!E115)</f>
        <v/>
      </c>
      <c r="F911" s="52" t="str">
        <f>IF('PR Thương Hiệu'!F115="","",'PR Thương Hiệu'!F115)</f>
        <v/>
      </c>
      <c r="G911" s="52" t="str">
        <f>IF('PR Thương Hiệu'!G115="","",'PR Thương Hiệu'!G115)</f>
        <v/>
      </c>
      <c r="H911" s="52" t="str">
        <f>IF('PR Thương Hiệu'!J115="","",'PR Thương Hiệu'!J115)</f>
        <v/>
      </c>
      <c r="I911" s="52" t="str">
        <f>IF('PR Thương Hiệu'!M115="","",'PR Thương Hiệu'!M115)</f>
        <v/>
      </c>
      <c r="J911" s="52" t="str">
        <f>IF('PR Thương Hiệu'!R115="","",'PR Thương Hiệu'!R115)</f>
        <v/>
      </c>
      <c r="K911" s="52" t="str">
        <f t="array" ref="K911">IF(COUNTA('PR Thương Hiệu'!T115:AE115)=0,"",INDEX('PR Thương Hiệu'!T115:AE115,1,SUMPRODUCT(MAX(('PR Thương Hiệu'!T115:AE115&lt;&gt;"")*(COLUMN('PR Thương Hiệu'!T115:AE115)-COLUMN('PR Thương Hiệu'!T115)+1)))))</f>
        <v/>
      </c>
      <c r="L911" s="52" t="str">
        <f>IF(AND(G911&lt;&gt;"",G911='Tổng hợp'!$C$4),MAX(L$1:L910)+1,"")</f>
        <v/>
      </c>
    </row>
    <row r="912" ht="15.75" customHeight="1">
      <c r="A912" s="52" t="str">
        <f>IF('PR Thương Hiệu'!C116="","","PR Thương Hiệu")</f>
        <v/>
      </c>
      <c r="B912" s="52" t="str">
        <f>IF('PR Thương Hiệu'!B116="","",'PR Thương Hiệu'!B116)</f>
        <v/>
      </c>
      <c r="C912" s="52" t="str">
        <f>IF('PR Thương Hiệu'!C116="","",'PR Thương Hiệu'!C116)</f>
        <v/>
      </c>
      <c r="D912" s="52" t="str">
        <f>IF('PR Thương Hiệu'!D116="","",'PR Thương Hiệu'!D116)</f>
        <v/>
      </c>
      <c r="E912" s="52" t="str">
        <f>IF('PR Thương Hiệu'!E116="","",'PR Thương Hiệu'!E116)</f>
        <v/>
      </c>
      <c r="F912" s="52" t="str">
        <f>IF('PR Thương Hiệu'!F116="","",'PR Thương Hiệu'!F116)</f>
        <v/>
      </c>
      <c r="G912" s="52" t="str">
        <f>IF('PR Thương Hiệu'!G116="","",'PR Thương Hiệu'!G116)</f>
        <v/>
      </c>
      <c r="H912" s="52" t="str">
        <f>IF('PR Thương Hiệu'!J116="","",'PR Thương Hiệu'!J116)</f>
        <v/>
      </c>
      <c r="I912" s="52" t="str">
        <f>IF('PR Thương Hiệu'!M116="","",'PR Thương Hiệu'!M116)</f>
        <v/>
      </c>
      <c r="J912" s="52" t="str">
        <f>IF('PR Thương Hiệu'!R116="","",'PR Thương Hiệu'!R116)</f>
        <v/>
      </c>
      <c r="K912" s="52" t="str">
        <f t="array" ref="K912">IF(COUNTA('PR Thương Hiệu'!T116:AE116)=0,"",INDEX('PR Thương Hiệu'!T116:AE116,1,SUMPRODUCT(MAX(('PR Thương Hiệu'!T116:AE116&lt;&gt;"")*(COLUMN('PR Thương Hiệu'!T116:AE116)-COLUMN('PR Thương Hiệu'!T116)+1)))))</f>
        <v/>
      </c>
      <c r="L912" s="52" t="str">
        <f>IF(AND(G912&lt;&gt;"",G912='Tổng hợp'!$C$4),MAX(L$1:L911)+1,"")</f>
        <v/>
      </c>
    </row>
    <row r="913" ht="15.75" customHeight="1">
      <c r="A913" s="52" t="str">
        <f>IF('PR Thương Hiệu'!C117="","","PR Thương Hiệu")</f>
        <v/>
      </c>
      <c r="B913" s="52" t="str">
        <f>IF('PR Thương Hiệu'!B117="","",'PR Thương Hiệu'!B117)</f>
        <v/>
      </c>
      <c r="C913" s="52" t="str">
        <f>IF('PR Thương Hiệu'!C117="","",'PR Thương Hiệu'!C117)</f>
        <v/>
      </c>
      <c r="D913" s="52" t="str">
        <f>IF('PR Thương Hiệu'!D117="","",'PR Thương Hiệu'!D117)</f>
        <v/>
      </c>
      <c r="E913" s="52" t="str">
        <f>IF('PR Thương Hiệu'!E117="","",'PR Thương Hiệu'!E117)</f>
        <v/>
      </c>
      <c r="F913" s="52" t="str">
        <f>IF('PR Thương Hiệu'!F117="","",'PR Thương Hiệu'!F117)</f>
        <v/>
      </c>
      <c r="G913" s="52" t="str">
        <f>IF('PR Thương Hiệu'!G117="","",'PR Thương Hiệu'!G117)</f>
        <v/>
      </c>
      <c r="H913" s="52" t="str">
        <f>IF('PR Thương Hiệu'!J117="","",'PR Thương Hiệu'!J117)</f>
        <v/>
      </c>
      <c r="I913" s="52" t="str">
        <f>IF('PR Thương Hiệu'!M117="","",'PR Thương Hiệu'!M117)</f>
        <v/>
      </c>
      <c r="J913" s="52" t="str">
        <f>IF('PR Thương Hiệu'!R117="","",'PR Thương Hiệu'!R117)</f>
        <v/>
      </c>
      <c r="K913" s="52" t="str">
        <f t="array" ref="K913">IF(COUNTA('PR Thương Hiệu'!T117:AE117)=0,"",INDEX('PR Thương Hiệu'!T117:AE117,1,SUMPRODUCT(MAX(('PR Thương Hiệu'!T117:AE117&lt;&gt;"")*(COLUMN('PR Thương Hiệu'!T117:AE117)-COLUMN('PR Thương Hiệu'!T117)+1)))))</f>
        <v/>
      </c>
      <c r="L913" s="52" t="str">
        <f>IF(AND(G913&lt;&gt;"",G913='Tổng hợp'!$C$4),MAX(L$1:L912)+1,"")</f>
        <v/>
      </c>
    </row>
    <row r="914" ht="15.75" customHeight="1">
      <c r="A914" s="52" t="str">
        <f>IF('PR Thương Hiệu'!C118="","","PR Thương Hiệu")</f>
        <v/>
      </c>
      <c r="B914" s="52" t="str">
        <f>IF('PR Thương Hiệu'!B118="","",'PR Thương Hiệu'!B118)</f>
        <v/>
      </c>
      <c r="C914" s="52" t="str">
        <f>IF('PR Thương Hiệu'!C118="","",'PR Thương Hiệu'!C118)</f>
        <v/>
      </c>
      <c r="D914" s="52" t="str">
        <f>IF('PR Thương Hiệu'!D118="","",'PR Thương Hiệu'!D118)</f>
        <v/>
      </c>
      <c r="E914" s="52" t="str">
        <f>IF('PR Thương Hiệu'!E118="","",'PR Thương Hiệu'!E118)</f>
        <v/>
      </c>
      <c r="F914" s="52" t="str">
        <f>IF('PR Thương Hiệu'!F118="","",'PR Thương Hiệu'!F118)</f>
        <v/>
      </c>
      <c r="G914" s="52" t="str">
        <f>IF('PR Thương Hiệu'!G118="","",'PR Thương Hiệu'!G118)</f>
        <v/>
      </c>
      <c r="H914" s="52" t="str">
        <f>IF('PR Thương Hiệu'!J118="","",'PR Thương Hiệu'!J118)</f>
        <v/>
      </c>
      <c r="I914" s="52" t="str">
        <f>IF('PR Thương Hiệu'!M118="","",'PR Thương Hiệu'!M118)</f>
        <v/>
      </c>
      <c r="J914" s="52" t="str">
        <f>IF('PR Thương Hiệu'!R118="","",'PR Thương Hiệu'!R118)</f>
        <v/>
      </c>
      <c r="K914" s="52" t="str">
        <f t="array" ref="K914">IF(COUNTA('PR Thương Hiệu'!T118:AE118)=0,"",INDEX('PR Thương Hiệu'!T118:AE118,1,SUMPRODUCT(MAX(('PR Thương Hiệu'!T118:AE118&lt;&gt;"")*(COLUMN('PR Thương Hiệu'!T118:AE118)-COLUMN('PR Thương Hiệu'!T118)+1)))))</f>
        <v/>
      </c>
      <c r="L914" s="52" t="str">
        <f>IF(AND(G914&lt;&gt;"",G914='Tổng hợp'!$C$4),MAX(L$1:L913)+1,"")</f>
        <v/>
      </c>
    </row>
    <row r="915" ht="15.75" customHeight="1">
      <c r="A915" s="52" t="str">
        <f>IF('PR Thương Hiệu'!C119="","","PR Thương Hiệu")</f>
        <v/>
      </c>
      <c r="B915" s="52" t="str">
        <f>IF('PR Thương Hiệu'!B119="","",'PR Thương Hiệu'!B119)</f>
        <v/>
      </c>
      <c r="C915" s="52" t="str">
        <f>IF('PR Thương Hiệu'!C119="","",'PR Thương Hiệu'!C119)</f>
        <v/>
      </c>
      <c r="D915" s="52" t="str">
        <f>IF('PR Thương Hiệu'!D119="","",'PR Thương Hiệu'!D119)</f>
        <v/>
      </c>
      <c r="E915" s="52" t="str">
        <f>IF('PR Thương Hiệu'!E119="","",'PR Thương Hiệu'!E119)</f>
        <v/>
      </c>
      <c r="F915" s="52" t="str">
        <f>IF('PR Thương Hiệu'!F119="","",'PR Thương Hiệu'!F119)</f>
        <v/>
      </c>
      <c r="G915" s="52" t="str">
        <f>IF('PR Thương Hiệu'!G119="","",'PR Thương Hiệu'!G119)</f>
        <v/>
      </c>
      <c r="H915" s="52" t="str">
        <f>IF('PR Thương Hiệu'!J119="","",'PR Thương Hiệu'!J119)</f>
        <v/>
      </c>
      <c r="I915" s="52" t="str">
        <f>IF('PR Thương Hiệu'!M119="","",'PR Thương Hiệu'!M119)</f>
        <v/>
      </c>
      <c r="J915" s="52" t="str">
        <f>IF('PR Thương Hiệu'!R119="","",'PR Thương Hiệu'!R119)</f>
        <v/>
      </c>
      <c r="K915" s="52" t="str">
        <f t="array" ref="K915">IF(COUNTA('PR Thương Hiệu'!T119:AE119)=0,"",INDEX('PR Thương Hiệu'!T119:AE119,1,SUMPRODUCT(MAX(('PR Thương Hiệu'!T119:AE119&lt;&gt;"")*(COLUMN('PR Thương Hiệu'!T119:AE119)-COLUMN('PR Thương Hiệu'!T119)+1)))))</f>
        <v/>
      </c>
      <c r="L915" s="52" t="str">
        <f>IF(AND(G915&lt;&gt;"",G915='Tổng hợp'!$C$4),MAX(L$1:L914)+1,"")</f>
        <v/>
      </c>
    </row>
    <row r="916" ht="15.75" customHeight="1">
      <c r="A916" s="52" t="str">
        <f>IF('PR Thương Hiệu'!C120="","","PR Thương Hiệu")</f>
        <v/>
      </c>
      <c r="B916" s="52" t="str">
        <f>IF('PR Thương Hiệu'!B120="","",'PR Thương Hiệu'!B120)</f>
        <v/>
      </c>
      <c r="C916" s="52" t="str">
        <f>IF('PR Thương Hiệu'!C120="","",'PR Thương Hiệu'!C120)</f>
        <v/>
      </c>
      <c r="D916" s="52" t="str">
        <f>IF('PR Thương Hiệu'!D120="","",'PR Thương Hiệu'!D120)</f>
        <v/>
      </c>
      <c r="E916" s="52" t="str">
        <f>IF('PR Thương Hiệu'!E120="","",'PR Thương Hiệu'!E120)</f>
        <v/>
      </c>
      <c r="F916" s="52" t="str">
        <f>IF('PR Thương Hiệu'!F120="","",'PR Thương Hiệu'!F120)</f>
        <v/>
      </c>
      <c r="G916" s="52" t="str">
        <f>IF('PR Thương Hiệu'!G120="","",'PR Thương Hiệu'!G120)</f>
        <v/>
      </c>
      <c r="H916" s="52" t="str">
        <f>IF('PR Thương Hiệu'!J120="","",'PR Thương Hiệu'!J120)</f>
        <v/>
      </c>
      <c r="I916" s="52" t="str">
        <f>IF('PR Thương Hiệu'!M120="","",'PR Thương Hiệu'!M120)</f>
        <v/>
      </c>
      <c r="J916" s="52" t="str">
        <f>IF('PR Thương Hiệu'!R120="","",'PR Thương Hiệu'!R120)</f>
        <v/>
      </c>
      <c r="K916" s="52" t="str">
        <f t="array" ref="K916">IF(COUNTA('PR Thương Hiệu'!T120:AE120)=0,"",INDEX('PR Thương Hiệu'!T120:AE120,1,SUMPRODUCT(MAX(('PR Thương Hiệu'!T120:AE120&lt;&gt;"")*(COLUMN('PR Thương Hiệu'!T120:AE120)-COLUMN('PR Thương Hiệu'!T120)+1)))))</f>
        <v/>
      </c>
      <c r="L916" s="52" t="str">
        <f>IF(AND(G916&lt;&gt;"",G916='Tổng hợp'!$C$4),MAX(L$1:L915)+1,"")</f>
        <v/>
      </c>
    </row>
    <row r="917" ht="15.75" customHeight="1">
      <c r="A917" s="52" t="str">
        <f>IF('PR Thương Hiệu'!C121="","","PR Thương Hiệu")</f>
        <v/>
      </c>
      <c r="B917" s="52" t="str">
        <f>IF('PR Thương Hiệu'!B121="","",'PR Thương Hiệu'!B121)</f>
        <v/>
      </c>
      <c r="C917" s="52" t="str">
        <f>IF('PR Thương Hiệu'!C121="","",'PR Thương Hiệu'!C121)</f>
        <v/>
      </c>
      <c r="D917" s="52" t="str">
        <f>IF('PR Thương Hiệu'!D121="","",'PR Thương Hiệu'!D121)</f>
        <v/>
      </c>
      <c r="E917" s="52" t="str">
        <f>IF('PR Thương Hiệu'!E121="","",'PR Thương Hiệu'!E121)</f>
        <v/>
      </c>
      <c r="F917" s="52" t="str">
        <f>IF('PR Thương Hiệu'!F121="","",'PR Thương Hiệu'!F121)</f>
        <v/>
      </c>
      <c r="G917" s="52" t="str">
        <f>IF('PR Thương Hiệu'!G121="","",'PR Thương Hiệu'!G121)</f>
        <v/>
      </c>
      <c r="H917" s="52" t="str">
        <f>IF('PR Thương Hiệu'!J121="","",'PR Thương Hiệu'!J121)</f>
        <v/>
      </c>
      <c r="I917" s="52" t="str">
        <f>IF('PR Thương Hiệu'!M121="","",'PR Thương Hiệu'!M121)</f>
        <v/>
      </c>
      <c r="J917" s="52" t="str">
        <f>IF('PR Thương Hiệu'!R121="","",'PR Thương Hiệu'!R121)</f>
        <v/>
      </c>
      <c r="K917" s="52" t="str">
        <f t="array" ref="K917">IF(COUNTA('PR Thương Hiệu'!T121:AE121)=0,"",INDEX('PR Thương Hiệu'!T121:AE121,1,SUMPRODUCT(MAX(('PR Thương Hiệu'!T121:AE121&lt;&gt;"")*(COLUMN('PR Thương Hiệu'!T121:AE121)-COLUMN('PR Thương Hiệu'!T121)+1)))))</f>
        <v/>
      </c>
      <c r="L917" s="52" t="str">
        <f>IF(AND(G917&lt;&gt;"",G917='Tổng hợp'!$C$4),MAX(L$1:L916)+1,"")</f>
        <v/>
      </c>
    </row>
    <row r="918" ht="15.75" customHeight="1">
      <c r="A918" s="52" t="str">
        <f>IF('PR Thương Hiệu'!C122="","","PR Thương Hiệu")</f>
        <v/>
      </c>
      <c r="B918" s="52" t="str">
        <f>IF('PR Thương Hiệu'!B122="","",'PR Thương Hiệu'!B122)</f>
        <v/>
      </c>
      <c r="C918" s="52" t="str">
        <f>IF('PR Thương Hiệu'!C122="","",'PR Thương Hiệu'!C122)</f>
        <v/>
      </c>
      <c r="D918" s="52" t="str">
        <f>IF('PR Thương Hiệu'!D122="","",'PR Thương Hiệu'!D122)</f>
        <v/>
      </c>
      <c r="E918" s="52" t="str">
        <f>IF('PR Thương Hiệu'!E122="","",'PR Thương Hiệu'!E122)</f>
        <v/>
      </c>
      <c r="F918" s="52" t="str">
        <f>IF('PR Thương Hiệu'!F122="","",'PR Thương Hiệu'!F122)</f>
        <v/>
      </c>
      <c r="G918" s="52" t="str">
        <f>IF('PR Thương Hiệu'!G122="","",'PR Thương Hiệu'!G122)</f>
        <v/>
      </c>
      <c r="H918" s="52" t="str">
        <f>IF('PR Thương Hiệu'!J122="","",'PR Thương Hiệu'!J122)</f>
        <v/>
      </c>
      <c r="I918" s="52" t="str">
        <f>IF('PR Thương Hiệu'!M122="","",'PR Thương Hiệu'!M122)</f>
        <v/>
      </c>
      <c r="J918" s="52" t="str">
        <f>IF('PR Thương Hiệu'!R122="","",'PR Thương Hiệu'!R122)</f>
        <v/>
      </c>
      <c r="K918" s="52" t="str">
        <f t="array" ref="K918">IF(COUNTA('PR Thương Hiệu'!T122:AE122)=0,"",INDEX('PR Thương Hiệu'!T122:AE122,1,SUMPRODUCT(MAX(('PR Thương Hiệu'!T122:AE122&lt;&gt;"")*(COLUMN('PR Thương Hiệu'!T122:AE122)-COLUMN('PR Thương Hiệu'!T122)+1)))))</f>
        <v/>
      </c>
      <c r="L918" s="52" t="str">
        <f>IF(AND(G918&lt;&gt;"",G918='Tổng hợp'!$C$4),MAX(L$1:L917)+1,"")</f>
        <v/>
      </c>
    </row>
    <row r="919" ht="15.75" customHeight="1">
      <c r="A919" s="52" t="str">
        <f>IF('PR Thương Hiệu'!C123="","","PR Thương Hiệu")</f>
        <v/>
      </c>
      <c r="B919" s="52" t="str">
        <f>IF('PR Thương Hiệu'!B123="","",'PR Thương Hiệu'!B123)</f>
        <v/>
      </c>
      <c r="C919" s="52" t="str">
        <f>IF('PR Thương Hiệu'!C123="","",'PR Thương Hiệu'!C123)</f>
        <v/>
      </c>
      <c r="D919" s="52" t="str">
        <f>IF('PR Thương Hiệu'!D123="","",'PR Thương Hiệu'!D123)</f>
        <v/>
      </c>
      <c r="E919" s="52" t="str">
        <f>IF('PR Thương Hiệu'!E123="","",'PR Thương Hiệu'!E123)</f>
        <v/>
      </c>
      <c r="F919" s="52" t="str">
        <f>IF('PR Thương Hiệu'!F123="","",'PR Thương Hiệu'!F123)</f>
        <v/>
      </c>
      <c r="G919" s="52" t="str">
        <f>IF('PR Thương Hiệu'!G123="","",'PR Thương Hiệu'!G123)</f>
        <v/>
      </c>
      <c r="H919" s="52" t="str">
        <f>IF('PR Thương Hiệu'!J123="","",'PR Thương Hiệu'!J123)</f>
        <v/>
      </c>
      <c r="I919" s="52" t="str">
        <f>IF('PR Thương Hiệu'!M123="","",'PR Thương Hiệu'!M123)</f>
        <v/>
      </c>
      <c r="J919" s="52" t="str">
        <f>IF('PR Thương Hiệu'!R123="","",'PR Thương Hiệu'!R123)</f>
        <v/>
      </c>
      <c r="K919" s="52" t="str">
        <f t="array" ref="K919">IF(COUNTA('PR Thương Hiệu'!T123:AE123)=0,"",INDEX('PR Thương Hiệu'!T123:AE123,1,SUMPRODUCT(MAX(('PR Thương Hiệu'!T123:AE123&lt;&gt;"")*(COLUMN('PR Thương Hiệu'!T123:AE123)-COLUMN('PR Thương Hiệu'!T123)+1)))))</f>
        <v/>
      </c>
      <c r="L919" s="52" t="str">
        <f>IF(AND(G919&lt;&gt;"",G919='Tổng hợp'!$C$4),MAX(L$1:L918)+1,"")</f>
        <v/>
      </c>
    </row>
    <row r="920" ht="15.75" customHeight="1">
      <c r="A920" s="52" t="str">
        <f>IF('PR Thương Hiệu'!C124="","","PR Thương Hiệu")</f>
        <v/>
      </c>
      <c r="B920" s="52" t="str">
        <f>IF('PR Thương Hiệu'!B124="","",'PR Thương Hiệu'!B124)</f>
        <v/>
      </c>
      <c r="C920" s="52" t="str">
        <f>IF('PR Thương Hiệu'!C124="","",'PR Thương Hiệu'!C124)</f>
        <v/>
      </c>
      <c r="D920" s="52" t="str">
        <f>IF('PR Thương Hiệu'!D124="","",'PR Thương Hiệu'!D124)</f>
        <v/>
      </c>
      <c r="E920" s="52" t="str">
        <f>IF('PR Thương Hiệu'!E124="","",'PR Thương Hiệu'!E124)</f>
        <v/>
      </c>
      <c r="F920" s="52" t="str">
        <f>IF('PR Thương Hiệu'!F124="","",'PR Thương Hiệu'!F124)</f>
        <v/>
      </c>
      <c r="G920" s="52" t="str">
        <f>IF('PR Thương Hiệu'!G124="","",'PR Thương Hiệu'!G124)</f>
        <v/>
      </c>
      <c r="H920" s="52" t="str">
        <f>IF('PR Thương Hiệu'!J124="","",'PR Thương Hiệu'!J124)</f>
        <v/>
      </c>
      <c r="I920" s="52" t="str">
        <f>IF('PR Thương Hiệu'!M124="","",'PR Thương Hiệu'!M124)</f>
        <v/>
      </c>
      <c r="J920" s="52" t="str">
        <f>IF('PR Thương Hiệu'!R124="","",'PR Thương Hiệu'!R124)</f>
        <v/>
      </c>
      <c r="K920" s="52" t="str">
        <f t="array" ref="K920">IF(COUNTA('PR Thương Hiệu'!T124:AE124)=0,"",INDEX('PR Thương Hiệu'!T124:AE124,1,SUMPRODUCT(MAX(('PR Thương Hiệu'!T124:AE124&lt;&gt;"")*(COLUMN('PR Thương Hiệu'!T124:AE124)-COLUMN('PR Thương Hiệu'!T124)+1)))))</f>
        <v/>
      </c>
      <c r="L920" s="52" t="str">
        <f>IF(AND(G920&lt;&gt;"",G920='Tổng hợp'!$C$4),MAX(L$1:L919)+1,"")</f>
        <v/>
      </c>
    </row>
    <row r="921" ht="15.75" customHeight="1">
      <c r="A921" s="52" t="str">
        <f>IF('PR Thương Hiệu'!C125="","","PR Thương Hiệu")</f>
        <v/>
      </c>
      <c r="B921" s="52" t="str">
        <f>IF('PR Thương Hiệu'!B125="","",'PR Thương Hiệu'!B125)</f>
        <v/>
      </c>
      <c r="C921" s="52" t="str">
        <f>IF('PR Thương Hiệu'!C125="","",'PR Thương Hiệu'!C125)</f>
        <v/>
      </c>
      <c r="D921" s="52" t="str">
        <f>IF('PR Thương Hiệu'!D125="","",'PR Thương Hiệu'!D125)</f>
        <v/>
      </c>
      <c r="E921" s="52" t="str">
        <f>IF('PR Thương Hiệu'!E125="","",'PR Thương Hiệu'!E125)</f>
        <v/>
      </c>
      <c r="F921" s="52" t="str">
        <f>IF('PR Thương Hiệu'!F125="","",'PR Thương Hiệu'!F125)</f>
        <v/>
      </c>
      <c r="G921" s="52" t="str">
        <f>IF('PR Thương Hiệu'!G125="","",'PR Thương Hiệu'!G125)</f>
        <v/>
      </c>
      <c r="H921" s="52" t="str">
        <f>IF('PR Thương Hiệu'!J125="","",'PR Thương Hiệu'!J125)</f>
        <v/>
      </c>
      <c r="I921" s="52" t="str">
        <f>IF('PR Thương Hiệu'!M125="","",'PR Thương Hiệu'!M125)</f>
        <v/>
      </c>
      <c r="J921" s="52" t="str">
        <f>IF('PR Thương Hiệu'!R125="","",'PR Thương Hiệu'!R125)</f>
        <v/>
      </c>
      <c r="K921" s="52" t="str">
        <f t="array" ref="K921">IF(COUNTA('PR Thương Hiệu'!T125:AE125)=0,"",INDEX('PR Thương Hiệu'!T125:AE125,1,SUMPRODUCT(MAX(('PR Thương Hiệu'!T125:AE125&lt;&gt;"")*(COLUMN('PR Thương Hiệu'!T125:AE125)-COLUMN('PR Thương Hiệu'!T125)+1)))))</f>
        <v/>
      </c>
      <c r="L921" s="52" t="str">
        <f>IF(AND(G921&lt;&gt;"",G921='Tổng hợp'!$C$4),MAX(L$1:L920)+1,"")</f>
        <v/>
      </c>
    </row>
    <row r="922" ht="15.75" customHeight="1">
      <c r="A922" s="52" t="str">
        <f>IF('PR Thương Hiệu'!C126="","","PR Thương Hiệu")</f>
        <v/>
      </c>
      <c r="B922" s="52" t="str">
        <f>IF('PR Thương Hiệu'!B126="","",'PR Thương Hiệu'!B126)</f>
        <v/>
      </c>
      <c r="C922" s="52" t="str">
        <f>IF('PR Thương Hiệu'!C126="","",'PR Thương Hiệu'!C126)</f>
        <v/>
      </c>
      <c r="D922" s="52" t="str">
        <f>IF('PR Thương Hiệu'!D126="","",'PR Thương Hiệu'!D126)</f>
        <v/>
      </c>
      <c r="E922" s="52" t="str">
        <f>IF('PR Thương Hiệu'!E126="","",'PR Thương Hiệu'!E126)</f>
        <v/>
      </c>
      <c r="F922" s="52" t="str">
        <f>IF('PR Thương Hiệu'!F126="","",'PR Thương Hiệu'!F126)</f>
        <v/>
      </c>
      <c r="G922" s="52" t="str">
        <f>IF('PR Thương Hiệu'!G126="","",'PR Thương Hiệu'!G126)</f>
        <v/>
      </c>
      <c r="H922" s="52" t="str">
        <f>IF('PR Thương Hiệu'!J126="","",'PR Thương Hiệu'!J126)</f>
        <v/>
      </c>
      <c r="I922" s="52" t="str">
        <f>IF('PR Thương Hiệu'!M126="","",'PR Thương Hiệu'!M126)</f>
        <v/>
      </c>
      <c r="J922" s="52" t="str">
        <f>IF('PR Thương Hiệu'!R126="","",'PR Thương Hiệu'!R126)</f>
        <v/>
      </c>
      <c r="K922" s="52" t="str">
        <f t="array" ref="K922">IF(COUNTA('PR Thương Hiệu'!T126:AE126)=0,"",INDEX('PR Thương Hiệu'!T126:AE126,1,SUMPRODUCT(MAX(('PR Thương Hiệu'!T126:AE126&lt;&gt;"")*(COLUMN('PR Thương Hiệu'!T126:AE126)-COLUMN('PR Thương Hiệu'!T126)+1)))))</f>
        <v/>
      </c>
      <c r="L922" s="52" t="str">
        <f>IF(AND(G922&lt;&gt;"",G922='Tổng hợp'!$C$4),MAX(L$1:L921)+1,"")</f>
        <v/>
      </c>
    </row>
    <row r="923" ht="15.75" customHeight="1">
      <c r="A923" s="52" t="str">
        <f>IF('PR Thương Hiệu'!C127="","","PR Thương Hiệu")</f>
        <v/>
      </c>
      <c r="B923" s="52" t="str">
        <f>IF('PR Thương Hiệu'!B127="","",'PR Thương Hiệu'!B127)</f>
        <v/>
      </c>
      <c r="C923" s="52" t="str">
        <f>IF('PR Thương Hiệu'!C127="","",'PR Thương Hiệu'!C127)</f>
        <v/>
      </c>
      <c r="D923" s="52" t="str">
        <f>IF('PR Thương Hiệu'!D127="","",'PR Thương Hiệu'!D127)</f>
        <v/>
      </c>
      <c r="E923" s="52" t="str">
        <f>IF('PR Thương Hiệu'!E127="","",'PR Thương Hiệu'!E127)</f>
        <v/>
      </c>
      <c r="F923" s="52" t="str">
        <f>IF('PR Thương Hiệu'!F127="","",'PR Thương Hiệu'!F127)</f>
        <v/>
      </c>
      <c r="G923" s="52" t="str">
        <f>IF('PR Thương Hiệu'!G127="","",'PR Thương Hiệu'!G127)</f>
        <v/>
      </c>
      <c r="H923" s="52" t="str">
        <f>IF('PR Thương Hiệu'!J127="","",'PR Thương Hiệu'!J127)</f>
        <v/>
      </c>
      <c r="I923" s="52" t="str">
        <f>IF('PR Thương Hiệu'!M127="","",'PR Thương Hiệu'!M127)</f>
        <v/>
      </c>
      <c r="J923" s="52" t="str">
        <f>IF('PR Thương Hiệu'!R127="","",'PR Thương Hiệu'!R127)</f>
        <v/>
      </c>
      <c r="K923" s="52" t="str">
        <f t="array" ref="K923">IF(COUNTA('PR Thương Hiệu'!T127:AE127)=0,"",INDEX('PR Thương Hiệu'!T127:AE127,1,SUMPRODUCT(MAX(('PR Thương Hiệu'!T127:AE127&lt;&gt;"")*(COLUMN('PR Thương Hiệu'!T127:AE127)-COLUMN('PR Thương Hiệu'!T127)+1)))))</f>
        <v/>
      </c>
      <c r="L923" s="52" t="str">
        <f>IF(AND(G923&lt;&gt;"",G923='Tổng hợp'!$C$4),MAX(L$1:L922)+1,"")</f>
        <v/>
      </c>
    </row>
    <row r="924" ht="15.75" customHeight="1">
      <c r="A924" s="52" t="str">
        <f>IF('PR Thương Hiệu'!C128="","","PR Thương Hiệu")</f>
        <v/>
      </c>
      <c r="B924" s="52" t="str">
        <f>IF('PR Thương Hiệu'!B128="","",'PR Thương Hiệu'!B128)</f>
        <v/>
      </c>
      <c r="C924" s="52" t="str">
        <f>IF('PR Thương Hiệu'!C128="","",'PR Thương Hiệu'!C128)</f>
        <v/>
      </c>
      <c r="D924" s="52" t="str">
        <f>IF('PR Thương Hiệu'!D128="","",'PR Thương Hiệu'!D128)</f>
        <v/>
      </c>
      <c r="E924" s="52" t="str">
        <f>IF('PR Thương Hiệu'!E128="","",'PR Thương Hiệu'!E128)</f>
        <v/>
      </c>
      <c r="F924" s="52" t="str">
        <f>IF('PR Thương Hiệu'!F128="","",'PR Thương Hiệu'!F128)</f>
        <v/>
      </c>
      <c r="G924" s="52" t="str">
        <f>IF('PR Thương Hiệu'!G128="","",'PR Thương Hiệu'!G128)</f>
        <v/>
      </c>
      <c r="H924" s="52" t="str">
        <f>IF('PR Thương Hiệu'!J128="","",'PR Thương Hiệu'!J128)</f>
        <v/>
      </c>
      <c r="I924" s="52" t="str">
        <f>IF('PR Thương Hiệu'!M128="","",'PR Thương Hiệu'!M128)</f>
        <v/>
      </c>
      <c r="J924" s="52" t="str">
        <f>IF('PR Thương Hiệu'!R128="","",'PR Thương Hiệu'!R128)</f>
        <v/>
      </c>
      <c r="K924" s="52" t="str">
        <f t="array" ref="K924">IF(COUNTA('PR Thương Hiệu'!T128:AE128)=0,"",INDEX('PR Thương Hiệu'!T128:AE128,1,SUMPRODUCT(MAX(('PR Thương Hiệu'!T128:AE128&lt;&gt;"")*(COLUMN('PR Thương Hiệu'!T128:AE128)-COLUMN('PR Thương Hiệu'!T128)+1)))))</f>
        <v/>
      </c>
      <c r="L924" s="52" t="str">
        <f>IF(AND(G924&lt;&gt;"",G924='Tổng hợp'!$C$4),MAX(L$1:L923)+1,"")</f>
        <v/>
      </c>
    </row>
    <row r="925" ht="15.75" customHeight="1">
      <c r="A925" s="52" t="str">
        <f>IF('PR Thương Hiệu'!C129="","","PR Thương Hiệu")</f>
        <v/>
      </c>
      <c r="B925" s="52" t="str">
        <f>IF('PR Thương Hiệu'!B129="","",'PR Thương Hiệu'!B129)</f>
        <v/>
      </c>
      <c r="C925" s="52" t="str">
        <f>IF('PR Thương Hiệu'!C129="","",'PR Thương Hiệu'!C129)</f>
        <v/>
      </c>
      <c r="D925" s="52" t="str">
        <f>IF('PR Thương Hiệu'!D129="","",'PR Thương Hiệu'!D129)</f>
        <v/>
      </c>
      <c r="E925" s="52" t="str">
        <f>IF('PR Thương Hiệu'!E129="","",'PR Thương Hiệu'!E129)</f>
        <v/>
      </c>
      <c r="F925" s="52" t="str">
        <f>IF('PR Thương Hiệu'!F129="","",'PR Thương Hiệu'!F129)</f>
        <v/>
      </c>
      <c r="G925" s="52" t="str">
        <f>IF('PR Thương Hiệu'!G129="","",'PR Thương Hiệu'!G129)</f>
        <v/>
      </c>
      <c r="H925" s="52" t="str">
        <f>IF('PR Thương Hiệu'!J129="","",'PR Thương Hiệu'!J129)</f>
        <v/>
      </c>
      <c r="I925" s="52" t="str">
        <f>IF('PR Thương Hiệu'!M129="","",'PR Thương Hiệu'!M129)</f>
        <v/>
      </c>
      <c r="J925" s="52" t="str">
        <f>IF('PR Thương Hiệu'!R129="","",'PR Thương Hiệu'!R129)</f>
        <v/>
      </c>
      <c r="K925" s="52" t="str">
        <f t="array" ref="K925">IF(COUNTA('PR Thương Hiệu'!T129:AE129)=0,"",INDEX('PR Thương Hiệu'!T129:AE129,1,SUMPRODUCT(MAX(('PR Thương Hiệu'!T129:AE129&lt;&gt;"")*(COLUMN('PR Thương Hiệu'!T129:AE129)-COLUMN('PR Thương Hiệu'!T129)+1)))))</f>
        <v/>
      </c>
      <c r="L925" s="52" t="str">
        <f>IF(AND(G925&lt;&gt;"",G925='Tổng hợp'!$C$4),MAX(L$1:L924)+1,"")</f>
        <v/>
      </c>
    </row>
    <row r="926" ht="15.75" customHeight="1">
      <c r="A926" s="52" t="str">
        <f>IF('PR Thương Hiệu'!C130="","","PR Thương Hiệu")</f>
        <v/>
      </c>
      <c r="B926" s="52" t="str">
        <f>IF('PR Thương Hiệu'!B130="","",'PR Thương Hiệu'!B130)</f>
        <v/>
      </c>
      <c r="C926" s="52" t="str">
        <f>IF('PR Thương Hiệu'!C130="","",'PR Thương Hiệu'!C130)</f>
        <v/>
      </c>
      <c r="D926" s="52" t="str">
        <f>IF('PR Thương Hiệu'!D130="","",'PR Thương Hiệu'!D130)</f>
        <v/>
      </c>
      <c r="E926" s="52" t="str">
        <f>IF('PR Thương Hiệu'!E130="","",'PR Thương Hiệu'!E130)</f>
        <v/>
      </c>
      <c r="F926" s="52" t="str">
        <f>IF('PR Thương Hiệu'!F130="","",'PR Thương Hiệu'!F130)</f>
        <v/>
      </c>
      <c r="G926" s="52" t="str">
        <f>IF('PR Thương Hiệu'!G130="","",'PR Thương Hiệu'!G130)</f>
        <v/>
      </c>
      <c r="H926" s="52" t="str">
        <f>IF('PR Thương Hiệu'!J130="","",'PR Thương Hiệu'!J130)</f>
        <v/>
      </c>
      <c r="I926" s="52" t="str">
        <f>IF('PR Thương Hiệu'!M130="","",'PR Thương Hiệu'!M130)</f>
        <v/>
      </c>
      <c r="J926" s="52" t="str">
        <f>IF('PR Thương Hiệu'!R130="","",'PR Thương Hiệu'!R130)</f>
        <v/>
      </c>
      <c r="K926" s="52" t="str">
        <f t="array" ref="K926">IF(COUNTA('PR Thương Hiệu'!T130:AE130)=0,"",INDEX('PR Thương Hiệu'!T130:AE130,1,SUMPRODUCT(MAX(('PR Thương Hiệu'!T130:AE130&lt;&gt;"")*(COLUMN('PR Thương Hiệu'!T130:AE130)-COLUMN('PR Thương Hiệu'!T130)+1)))))</f>
        <v/>
      </c>
      <c r="L926" s="52" t="str">
        <f>IF(AND(G926&lt;&gt;"",G926='Tổng hợp'!$C$4),MAX(L$1:L925)+1,"")</f>
        <v/>
      </c>
    </row>
    <row r="927" ht="15.75" customHeight="1">
      <c r="A927" s="52" t="str">
        <f>IF('PR Thương Hiệu'!C131="","","PR Thương Hiệu")</f>
        <v/>
      </c>
      <c r="B927" s="52" t="str">
        <f>IF('PR Thương Hiệu'!B131="","",'PR Thương Hiệu'!B131)</f>
        <v/>
      </c>
      <c r="C927" s="52" t="str">
        <f>IF('PR Thương Hiệu'!C131="","",'PR Thương Hiệu'!C131)</f>
        <v/>
      </c>
      <c r="D927" s="52" t="str">
        <f>IF('PR Thương Hiệu'!D131="","",'PR Thương Hiệu'!D131)</f>
        <v/>
      </c>
      <c r="E927" s="52" t="str">
        <f>IF('PR Thương Hiệu'!E131="","",'PR Thương Hiệu'!E131)</f>
        <v/>
      </c>
      <c r="F927" s="52" t="str">
        <f>IF('PR Thương Hiệu'!F131="","",'PR Thương Hiệu'!F131)</f>
        <v/>
      </c>
      <c r="G927" s="52" t="str">
        <f>IF('PR Thương Hiệu'!G131="","",'PR Thương Hiệu'!G131)</f>
        <v/>
      </c>
      <c r="H927" s="52" t="str">
        <f>IF('PR Thương Hiệu'!J131="","",'PR Thương Hiệu'!J131)</f>
        <v/>
      </c>
      <c r="I927" s="52" t="str">
        <f>IF('PR Thương Hiệu'!M131="","",'PR Thương Hiệu'!M131)</f>
        <v/>
      </c>
      <c r="J927" s="52" t="str">
        <f>IF('PR Thương Hiệu'!R131="","",'PR Thương Hiệu'!R131)</f>
        <v/>
      </c>
      <c r="K927" s="52" t="str">
        <f t="array" ref="K927">IF(COUNTA('PR Thương Hiệu'!T131:AE131)=0,"",INDEX('PR Thương Hiệu'!T131:AE131,1,SUMPRODUCT(MAX(('PR Thương Hiệu'!T131:AE131&lt;&gt;"")*(COLUMN('PR Thương Hiệu'!T131:AE131)-COLUMN('PR Thương Hiệu'!T131)+1)))))</f>
        <v/>
      </c>
      <c r="L927" s="52" t="str">
        <f>IF(AND(G927&lt;&gt;"",G927='Tổng hợp'!$C$4),MAX(L$1:L926)+1,"")</f>
        <v/>
      </c>
    </row>
    <row r="928" ht="15.75" customHeight="1">
      <c r="A928" s="52" t="str">
        <f>IF('PR Thương Hiệu'!C132="","","PR Thương Hiệu")</f>
        <v/>
      </c>
      <c r="B928" s="52" t="str">
        <f>IF('PR Thương Hiệu'!B132="","",'PR Thương Hiệu'!B132)</f>
        <v/>
      </c>
      <c r="C928" s="52" t="str">
        <f>IF('PR Thương Hiệu'!C132="","",'PR Thương Hiệu'!C132)</f>
        <v/>
      </c>
      <c r="D928" s="52" t="str">
        <f>IF('PR Thương Hiệu'!D132="","",'PR Thương Hiệu'!D132)</f>
        <v/>
      </c>
      <c r="E928" s="52" t="str">
        <f>IF('PR Thương Hiệu'!E132="","",'PR Thương Hiệu'!E132)</f>
        <v/>
      </c>
      <c r="F928" s="52" t="str">
        <f>IF('PR Thương Hiệu'!F132="","",'PR Thương Hiệu'!F132)</f>
        <v/>
      </c>
      <c r="G928" s="52" t="str">
        <f>IF('PR Thương Hiệu'!G132="","",'PR Thương Hiệu'!G132)</f>
        <v/>
      </c>
      <c r="H928" s="52" t="str">
        <f>IF('PR Thương Hiệu'!J132="","",'PR Thương Hiệu'!J132)</f>
        <v/>
      </c>
      <c r="I928" s="52" t="str">
        <f>IF('PR Thương Hiệu'!M132="","",'PR Thương Hiệu'!M132)</f>
        <v/>
      </c>
      <c r="J928" s="52" t="str">
        <f>IF('PR Thương Hiệu'!R132="","",'PR Thương Hiệu'!R132)</f>
        <v/>
      </c>
      <c r="K928" s="52" t="str">
        <f t="array" ref="K928">IF(COUNTA('PR Thương Hiệu'!T132:AE132)=0,"",INDEX('PR Thương Hiệu'!T132:AE132,1,SUMPRODUCT(MAX(('PR Thương Hiệu'!T132:AE132&lt;&gt;"")*(COLUMN('PR Thương Hiệu'!T132:AE132)-COLUMN('PR Thương Hiệu'!T132)+1)))))</f>
        <v/>
      </c>
      <c r="L928" s="52" t="str">
        <f>IF(AND(G928&lt;&gt;"",G928='Tổng hợp'!$C$4),MAX(L$1:L927)+1,"")</f>
        <v/>
      </c>
    </row>
    <row r="929" ht="15.75" customHeight="1">
      <c r="A929" s="52" t="str">
        <f>IF('PR Thương Hiệu'!C133="","","PR Thương Hiệu")</f>
        <v/>
      </c>
      <c r="B929" s="52" t="str">
        <f>IF('PR Thương Hiệu'!B133="","",'PR Thương Hiệu'!B133)</f>
        <v/>
      </c>
      <c r="C929" s="52" t="str">
        <f>IF('PR Thương Hiệu'!C133="","",'PR Thương Hiệu'!C133)</f>
        <v/>
      </c>
      <c r="D929" s="52" t="str">
        <f>IF('PR Thương Hiệu'!D133="","",'PR Thương Hiệu'!D133)</f>
        <v/>
      </c>
      <c r="E929" s="52" t="str">
        <f>IF('PR Thương Hiệu'!E133="","",'PR Thương Hiệu'!E133)</f>
        <v/>
      </c>
      <c r="F929" s="52" t="str">
        <f>IF('PR Thương Hiệu'!F133="","",'PR Thương Hiệu'!F133)</f>
        <v/>
      </c>
      <c r="G929" s="52" t="str">
        <f>IF('PR Thương Hiệu'!G133="","",'PR Thương Hiệu'!G133)</f>
        <v/>
      </c>
      <c r="H929" s="52" t="str">
        <f>IF('PR Thương Hiệu'!J133="","",'PR Thương Hiệu'!J133)</f>
        <v/>
      </c>
      <c r="I929" s="52" t="str">
        <f>IF('PR Thương Hiệu'!M133="","",'PR Thương Hiệu'!M133)</f>
        <v/>
      </c>
      <c r="J929" s="52" t="str">
        <f>IF('PR Thương Hiệu'!R133="","",'PR Thương Hiệu'!R133)</f>
        <v/>
      </c>
      <c r="K929" s="52" t="str">
        <f t="array" ref="K929">IF(COUNTA('PR Thương Hiệu'!T133:AE133)=0,"",INDEX('PR Thương Hiệu'!T133:AE133,1,SUMPRODUCT(MAX(('PR Thương Hiệu'!T133:AE133&lt;&gt;"")*(COLUMN('PR Thương Hiệu'!T133:AE133)-COLUMN('PR Thương Hiệu'!T133)+1)))))</f>
        <v/>
      </c>
      <c r="L929" s="52" t="str">
        <f>IF(AND(G929&lt;&gt;"",G929='Tổng hợp'!$C$4),MAX(L$1:L928)+1,"")</f>
        <v/>
      </c>
    </row>
    <row r="930" ht="15.75" customHeight="1">
      <c r="A930" s="52" t="str">
        <f>IF('PR Thương Hiệu'!C134="","","PR Thương Hiệu")</f>
        <v/>
      </c>
      <c r="B930" s="52" t="str">
        <f>IF('PR Thương Hiệu'!B134="","",'PR Thương Hiệu'!B134)</f>
        <v/>
      </c>
      <c r="C930" s="52" t="str">
        <f>IF('PR Thương Hiệu'!C134="","",'PR Thương Hiệu'!C134)</f>
        <v/>
      </c>
      <c r="D930" s="52" t="str">
        <f>IF('PR Thương Hiệu'!D134="","",'PR Thương Hiệu'!D134)</f>
        <v/>
      </c>
      <c r="E930" s="52" t="str">
        <f>IF('PR Thương Hiệu'!E134="","",'PR Thương Hiệu'!E134)</f>
        <v/>
      </c>
      <c r="F930" s="52" t="str">
        <f>IF('PR Thương Hiệu'!F134="","",'PR Thương Hiệu'!F134)</f>
        <v/>
      </c>
      <c r="G930" s="52" t="str">
        <f>IF('PR Thương Hiệu'!G134="","",'PR Thương Hiệu'!G134)</f>
        <v/>
      </c>
      <c r="H930" s="52" t="str">
        <f>IF('PR Thương Hiệu'!J134="","",'PR Thương Hiệu'!J134)</f>
        <v/>
      </c>
      <c r="I930" s="52" t="str">
        <f>IF('PR Thương Hiệu'!M134="","",'PR Thương Hiệu'!M134)</f>
        <v/>
      </c>
      <c r="J930" s="52" t="str">
        <f>IF('PR Thương Hiệu'!R134="","",'PR Thương Hiệu'!R134)</f>
        <v/>
      </c>
      <c r="K930" s="52" t="str">
        <f t="array" ref="K930">IF(COUNTA('PR Thương Hiệu'!T134:AE134)=0,"",INDEX('PR Thương Hiệu'!T134:AE134,1,SUMPRODUCT(MAX(('PR Thương Hiệu'!T134:AE134&lt;&gt;"")*(COLUMN('PR Thương Hiệu'!T134:AE134)-COLUMN('PR Thương Hiệu'!T134)+1)))))</f>
        <v/>
      </c>
      <c r="L930" s="52" t="str">
        <f>IF(AND(G930&lt;&gt;"",G930='Tổng hợp'!$C$4),MAX(L$1:L929)+1,"")</f>
        <v/>
      </c>
    </row>
    <row r="931" ht="15.75" customHeight="1">
      <c r="A931" s="52" t="str">
        <f>IF('PR Thương Hiệu'!C135="","","PR Thương Hiệu")</f>
        <v/>
      </c>
      <c r="B931" s="52" t="str">
        <f>IF('PR Thương Hiệu'!B135="","",'PR Thương Hiệu'!B135)</f>
        <v/>
      </c>
      <c r="C931" s="52" t="str">
        <f>IF('PR Thương Hiệu'!C135="","",'PR Thương Hiệu'!C135)</f>
        <v/>
      </c>
      <c r="D931" s="52" t="str">
        <f>IF('PR Thương Hiệu'!D135="","",'PR Thương Hiệu'!D135)</f>
        <v/>
      </c>
      <c r="E931" s="52" t="str">
        <f>IF('PR Thương Hiệu'!E135="","",'PR Thương Hiệu'!E135)</f>
        <v/>
      </c>
      <c r="F931" s="52" t="str">
        <f>IF('PR Thương Hiệu'!F135="","",'PR Thương Hiệu'!F135)</f>
        <v/>
      </c>
      <c r="G931" s="52" t="str">
        <f>IF('PR Thương Hiệu'!G135="","",'PR Thương Hiệu'!G135)</f>
        <v/>
      </c>
      <c r="H931" s="52" t="str">
        <f>IF('PR Thương Hiệu'!J135="","",'PR Thương Hiệu'!J135)</f>
        <v/>
      </c>
      <c r="I931" s="52" t="str">
        <f>IF('PR Thương Hiệu'!M135="","",'PR Thương Hiệu'!M135)</f>
        <v/>
      </c>
      <c r="J931" s="52" t="str">
        <f>IF('PR Thương Hiệu'!R135="","",'PR Thương Hiệu'!R135)</f>
        <v/>
      </c>
      <c r="K931" s="52" t="str">
        <f t="array" ref="K931">IF(COUNTA('PR Thương Hiệu'!T135:AE135)=0,"",INDEX('PR Thương Hiệu'!T135:AE135,1,SUMPRODUCT(MAX(('PR Thương Hiệu'!T135:AE135&lt;&gt;"")*(COLUMN('PR Thương Hiệu'!T135:AE135)-COLUMN('PR Thương Hiệu'!T135)+1)))))</f>
        <v/>
      </c>
      <c r="L931" s="52" t="str">
        <f>IF(AND(G931&lt;&gt;"",G931='Tổng hợp'!$C$4),MAX(L$1:L930)+1,"")</f>
        <v/>
      </c>
    </row>
    <row r="932" ht="15.75" customHeight="1">
      <c r="A932" s="52" t="str">
        <f>IF('PR Thương Hiệu'!C136="","","PR Thương Hiệu")</f>
        <v/>
      </c>
      <c r="B932" s="52" t="str">
        <f>IF('PR Thương Hiệu'!B136="","",'PR Thương Hiệu'!B136)</f>
        <v/>
      </c>
      <c r="C932" s="52" t="str">
        <f>IF('PR Thương Hiệu'!C136="","",'PR Thương Hiệu'!C136)</f>
        <v/>
      </c>
      <c r="D932" s="52" t="str">
        <f>IF('PR Thương Hiệu'!D136="","",'PR Thương Hiệu'!D136)</f>
        <v/>
      </c>
      <c r="E932" s="52" t="str">
        <f>IF('PR Thương Hiệu'!E136="","",'PR Thương Hiệu'!E136)</f>
        <v/>
      </c>
      <c r="F932" s="52" t="str">
        <f>IF('PR Thương Hiệu'!F136="","",'PR Thương Hiệu'!F136)</f>
        <v/>
      </c>
      <c r="G932" s="52" t="str">
        <f>IF('PR Thương Hiệu'!G136="","",'PR Thương Hiệu'!G136)</f>
        <v/>
      </c>
      <c r="H932" s="52" t="str">
        <f>IF('PR Thương Hiệu'!J136="","",'PR Thương Hiệu'!J136)</f>
        <v/>
      </c>
      <c r="I932" s="52" t="str">
        <f>IF('PR Thương Hiệu'!M136="","",'PR Thương Hiệu'!M136)</f>
        <v/>
      </c>
      <c r="J932" s="52" t="str">
        <f>IF('PR Thương Hiệu'!R136="","",'PR Thương Hiệu'!R136)</f>
        <v/>
      </c>
      <c r="K932" s="52" t="str">
        <f t="array" ref="K932">IF(COUNTA('PR Thương Hiệu'!T136:AE136)=0,"",INDEX('PR Thương Hiệu'!T136:AE136,1,SUMPRODUCT(MAX(('PR Thương Hiệu'!T136:AE136&lt;&gt;"")*(COLUMN('PR Thương Hiệu'!T136:AE136)-COLUMN('PR Thương Hiệu'!T136)+1)))))</f>
        <v/>
      </c>
      <c r="L932" s="52" t="str">
        <f>IF(AND(G932&lt;&gt;"",G932='Tổng hợp'!$C$4),MAX(L$1:L931)+1,"")</f>
        <v/>
      </c>
    </row>
    <row r="933" ht="15.75" customHeight="1">
      <c r="A933" s="52" t="str">
        <f>IF('PR Thương Hiệu'!C137="","","PR Thương Hiệu")</f>
        <v/>
      </c>
      <c r="B933" s="52" t="str">
        <f>IF('PR Thương Hiệu'!B137="","",'PR Thương Hiệu'!B137)</f>
        <v/>
      </c>
      <c r="C933" s="52" t="str">
        <f>IF('PR Thương Hiệu'!C137="","",'PR Thương Hiệu'!C137)</f>
        <v/>
      </c>
      <c r="D933" s="52" t="str">
        <f>IF('PR Thương Hiệu'!D137="","",'PR Thương Hiệu'!D137)</f>
        <v/>
      </c>
      <c r="E933" s="52" t="str">
        <f>IF('PR Thương Hiệu'!E137="","",'PR Thương Hiệu'!E137)</f>
        <v/>
      </c>
      <c r="F933" s="52" t="str">
        <f>IF('PR Thương Hiệu'!F137="","",'PR Thương Hiệu'!F137)</f>
        <v/>
      </c>
      <c r="G933" s="52" t="str">
        <f>IF('PR Thương Hiệu'!G137="","",'PR Thương Hiệu'!G137)</f>
        <v/>
      </c>
      <c r="H933" s="52" t="str">
        <f>IF('PR Thương Hiệu'!J137="","",'PR Thương Hiệu'!J137)</f>
        <v/>
      </c>
      <c r="I933" s="52" t="str">
        <f>IF('PR Thương Hiệu'!M137="","",'PR Thương Hiệu'!M137)</f>
        <v/>
      </c>
      <c r="J933" s="52" t="str">
        <f>IF('PR Thương Hiệu'!R137="","",'PR Thương Hiệu'!R137)</f>
        <v/>
      </c>
      <c r="K933" s="52" t="str">
        <f t="array" ref="K933">IF(COUNTA('PR Thương Hiệu'!T137:AE137)=0,"",INDEX('PR Thương Hiệu'!T137:AE137,1,SUMPRODUCT(MAX(('PR Thương Hiệu'!T137:AE137&lt;&gt;"")*(COLUMN('PR Thương Hiệu'!T137:AE137)-COLUMN('PR Thương Hiệu'!T137)+1)))))</f>
        <v/>
      </c>
      <c r="L933" s="52" t="str">
        <f>IF(AND(G933&lt;&gt;"",G933='Tổng hợp'!$C$4),MAX(L$1:L932)+1,"")</f>
        <v/>
      </c>
    </row>
    <row r="934" ht="15.75" customHeight="1">
      <c r="A934" s="52" t="str">
        <f>IF('PR Thương Hiệu'!C138="","","PR Thương Hiệu")</f>
        <v/>
      </c>
      <c r="B934" s="52" t="str">
        <f>IF('PR Thương Hiệu'!B138="","",'PR Thương Hiệu'!B138)</f>
        <v/>
      </c>
      <c r="C934" s="52" t="str">
        <f>IF('PR Thương Hiệu'!C138="","",'PR Thương Hiệu'!C138)</f>
        <v/>
      </c>
      <c r="D934" s="52" t="str">
        <f>IF('PR Thương Hiệu'!D138="","",'PR Thương Hiệu'!D138)</f>
        <v/>
      </c>
      <c r="E934" s="52" t="str">
        <f>IF('PR Thương Hiệu'!E138="","",'PR Thương Hiệu'!E138)</f>
        <v/>
      </c>
      <c r="F934" s="52" t="str">
        <f>IF('PR Thương Hiệu'!F138="","",'PR Thương Hiệu'!F138)</f>
        <v/>
      </c>
      <c r="G934" s="52" t="str">
        <f>IF('PR Thương Hiệu'!G138="","",'PR Thương Hiệu'!G138)</f>
        <v/>
      </c>
      <c r="H934" s="52" t="str">
        <f>IF('PR Thương Hiệu'!J138="","",'PR Thương Hiệu'!J138)</f>
        <v/>
      </c>
      <c r="I934" s="52" t="str">
        <f>IF('PR Thương Hiệu'!M138="","",'PR Thương Hiệu'!M138)</f>
        <v/>
      </c>
      <c r="J934" s="52" t="str">
        <f>IF('PR Thương Hiệu'!R138="","",'PR Thương Hiệu'!R138)</f>
        <v/>
      </c>
      <c r="K934" s="52" t="str">
        <f t="array" ref="K934">IF(COUNTA('PR Thương Hiệu'!T138:AE138)=0,"",INDEX('PR Thương Hiệu'!T138:AE138,1,SUMPRODUCT(MAX(('PR Thương Hiệu'!T138:AE138&lt;&gt;"")*(COLUMN('PR Thương Hiệu'!T138:AE138)-COLUMN('PR Thương Hiệu'!T138)+1)))))</f>
        <v/>
      </c>
      <c r="L934" s="52" t="str">
        <f>IF(AND(G934&lt;&gt;"",G934='Tổng hợp'!$C$4),MAX(L$1:L933)+1,"")</f>
        <v/>
      </c>
    </row>
    <row r="935" ht="15.75" customHeight="1">
      <c r="A935" s="52" t="str">
        <f>IF('PR Thương Hiệu'!C139="","","PR Thương Hiệu")</f>
        <v/>
      </c>
      <c r="B935" s="52" t="str">
        <f>IF('PR Thương Hiệu'!B139="","",'PR Thương Hiệu'!B139)</f>
        <v/>
      </c>
      <c r="C935" s="52" t="str">
        <f>IF('PR Thương Hiệu'!C139="","",'PR Thương Hiệu'!C139)</f>
        <v/>
      </c>
      <c r="D935" s="52" t="str">
        <f>IF('PR Thương Hiệu'!D139="","",'PR Thương Hiệu'!D139)</f>
        <v/>
      </c>
      <c r="E935" s="52" t="str">
        <f>IF('PR Thương Hiệu'!E139="","",'PR Thương Hiệu'!E139)</f>
        <v/>
      </c>
      <c r="F935" s="52" t="str">
        <f>IF('PR Thương Hiệu'!F139="","",'PR Thương Hiệu'!F139)</f>
        <v/>
      </c>
      <c r="G935" s="52" t="str">
        <f>IF('PR Thương Hiệu'!G139="","",'PR Thương Hiệu'!G139)</f>
        <v/>
      </c>
      <c r="H935" s="52" t="str">
        <f>IF('PR Thương Hiệu'!J139="","",'PR Thương Hiệu'!J139)</f>
        <v/>
      </c>
      <c r="I935" s="52" t="str">
        <f>IF('PR Thương Hiệu'!M139="","",'PR Thương Hiệu'!M139)</f>
        <v/>
      </c>
      <c r="J935" s="52" t="str">
        <f>IF('PR Thương Hiệu'!R139="","",'PR Thương Hiệu'!R139)</f>
        <v/>
      </c>
      <c r="K935" s="52" t="str">
        <f t="array" ref="K935">IF(COUNTA('PR Thương Hiệu'!T139:AE139)=0,"",INDEX('PR Thương Hiệu'!T139:AE139,1,SUMPRODUCT(MAX(('PR Thương Hiệu'!T139:AE139&lt;&gt;"")*(COLUMN('PR Thương Hiệu'!T139:AE139)-COLUMN('PR Thương Hiệu'!T139)+1)))))</f>
        <v/>
      </c>
      <c r="L935" s="52" t="str">
        <f>IF(AND(G935&lt;&gt;"",G935='Tổng hợp'!$C$4),MAX(L$1:L934)+1,"")</f>
        <v/>
      </c>
    </row>
    <row r="936" ht="15.75" customHeight="1">
      <c r="A936" s="52" t="str">
        <f>IF('PR Thương Hiệu'!C140="","","PR Thương Hiệu")</f>
        <v/>
      </c>
      <c r="B936" s="52" t="str">
        <f>IF('PR Thương Hiệu'!B140="","",'PR Thương Hiệu'!B140)</f>
        <v/>
      </c>
      <c r="C936" s="52" t="str">
        <f>IF('PR Thương Hiệu'!C140="","",'PR Thương Hiệu'!C140)</f>
        <v/>
      </c>
      <c r="D936" s="52" t="str">
        <f>IF('PR Thương Hiệu'!D140="","",'PR Thương Hiệu'!D140)</f>
        <v/>
      </c>
      <c r="E936" s="52" t="str">
        <f>IF('PR Thương Hiệu'!E140="","",'PR Thương Hiệu'!E140)</f>
        <v/>
      </c>
      <c r="F936" s="52" t="str">
        <f>IF('PR Thương Hiệu'!F140="","",'PR Thương Hiệu'!F140)</f>
        <v/>
      </c>
      <c r="G936" s="52" t="str">
        <f>IF('PR Thương Hiệu'!G140="","",'PR Thương Hiệu'!G140)</f>
        <v/>
      </c>
      <c r="H936" s="52" t="str">
        <f>IF('PR Thương Hiệu'!J140="","",'PR Thương Hiệu'!J140)</f>
        <v/>
      </c>
      <c r="I936" s="52" t="str">
        <f>IF('PR Thương Hiệu'!M140="","",'PR Thương Hiệu'!M140)</f>
        <v/>
      </c>
      <c r="J936" s="52" t="str">
        <f>IF('PR Thương Hiệu'!R140="","",'PR Thương Hiệu'!R140)</f>
        <v/>
      </c>
      <c r="K936" s="52" t="str">
        <f t="array" ref="K936">IF(COUNTA('PR Thương Hiệu'!T140:AE140)=0,"",INDEX('PR Thương Hiệu'!T140:AE140,1,SUMPRODUCT(MAX(('PR Thương Hiệu'!T140:AE140&lt;&gt;"")*(COLUMN('PR Thương Hiệu'!T140:AE140)-COLUMN('PR Thương Hiệu'!T140)+1)))))</f>
        <v/>
      </c>
      <c r="L936" s="52" t="str">
        <f>IF(AND(G936&lt;&gt;"",G936='Tổng hợp'!$C$4),MAX(L$1:L935)+1,"")</f>
        <v/>
      </c>
    </row>
    <row r="937" ht="15.75" customHeight="1">
      <c r="A937" s="52" t="str">
        <f>IF('PR Thương Hiệu'!C141="","","PR Thương Hiệu")</f>
        <v/>
      </c>
      <c r="B937" s="52" t="str">
        <f>IF('PR Thương Hiệu'!B141="","",'PR Thương Hiệu'!B141)</f>
        <v/>
      </c>
      <c r="C937" s="52" t="str">
        <f>IF('PR Thương Hiệu'!C141="","",'PR Thương Hiệu'!C141)</f>
        <v/>
      </c>
      <c r="D937" s="52" t="str">
        <f>IF('PR Thương Hiệu'!D141="","",'PR Thương Hiệu'!D141)</f>
        <v/>
      </c>
      <c r="E937" s="52" t="str">
        <f>IF('PR Thương Hiệu'!E141="","",'PR Thương Hiệu'!E141)</f>
        <v/>
      </c>
      <c r="F937" s="52" t="str">
        <f>IF('PR Thương Hiệu'!F141="","",'PR Thương Hiệu'!F141)</f>
        <v/>
      </c>
      <c r="G937" s="52" t="str">
        <f>IF('PR Thương Hiệu'!G141="","",'PR Thương Hiệu'!G141)</f>
        <v/>
      </c>
      <c r="H937" s="52" t="str">
        <f>IF('PR Thương Hiệu'!J141="","",'PR Thương Hiệu'!J141)</f>
        <v/>
      </c>
      <c r="I937" s="52" t="str">
        <f>IF('PR Thương Hiệu'!M141="","",'PR Thương Hiệu'!M141)</f>
        <v/>
      </c>
      <c r="J937" s="52" t="str">
        <f>IF('PR Thương Hiệu'!R141="","",'PR Thương Hiệu'!R141)</f>
        <v/>
      </c>
      <c r="K937" s="52" t="str">
        <f t="array" ref="K937">IF(COUNTA('PR Thương Hiệu'!T141:AE141)=0,"",INDEX('PR Thương Hiệu'!T141:AE141,1,SUMPRODUCT(MAX(('PR Thương Hiệu'!T141:AE141&lt;&gt;"")*(COLUMN('PR Thương Hiệu'!T141:AE141)-COLUMN('PR Thương Hiệu'!T141)+1)))))</f>
        <v/>
      </c>
      <c r="L937" s="52" t="str">
        <f>IF(AND(G937&lt;&gt;"",G937='Tổng hợp'!$C$4),MAX(L$1:L936)+1,"")</f>
        <v/>
      </c>
    </row>
    <row r="938" ht="15.75" customHeight="1">
      <c r="A938" s="52" t="str">
        <f>IF('PR Thương Hiệu'!C142="","","PR Thương Hiệu")</f>
        <v/>
      </c>
      <c r="B938" s="52" t="str">
        <f>IF('PR Thương Hiệu'!B142="","",'PR Thương Hiệu'!B142)</f>
        <v/>
      </c>
      <c r="C938" s="52" t="str">
        <f>IF('PR Thương Hiệu'!C142="","",'PR Thương Hiệu'!C142)</f>
        <v/>
      </c>
      <c r="D938" s="52" t="str">
        <f>IF('PR Thương Hiệu'!D142="","",'PR Thương Hiệu'!D142)</f>
        <v/>
      </c>
      <c r="E938" s="52" t="str">
        <f>IF('PR Thương Hiệu'!E142="","",'PR Thương Hiệu'!E142)</f>
        <v/>
      </c>
      <c r="F938" s="52" t="str">
        <f>IF('PR Thương Hiệu'!F142="","",'PR Thương Hiệu'!F142)</f>
        <v/>
      </c>
      <c r="G938" s="52" t="str">
        <f>IF('PR Thương Hiệu'!G142="","",'PR Thương Hiệu'!G142)</f>
        <v/>
      </c>
      <c r="H938" s="52" t="str">
        <f>IF('PR Thương Hiệu'!J142="","",'PR Thương Hiệu'!J142)</f>
        <v/>
      </c>
      <c r="I938" s="52" t="str">
        <f>IF('PR Thương Hiệu'!M142="","",'PR Thương Hiệu'!M142)</f>
        <v/>
      </c>
      <c r="J938" s="52" t="str">
        <f>IF('PR Thương Hiệu'!R142="","",'PR Thương Hiệu'!R142)</f>
        <v/>
      </c>
      <c r="K938" s="52" t="str">
        <f t="array" ref="K938">IF(COUNTA('PR Thương Hiệu'!T142:AE142)=0,"",INDEX('PR Thương Hiệu'!T142:AE142,1,SUMPRODUCT(MAX(('PR Thương Hiệu'!T142:AE142&lt;&gt;"")*(COLUMN('PR Thương Hiệu'!T142:AE142)-COLUMN('PR Thương Hiệu'!T142)+1)))))</f>
        <v/>
      </c>
      <c r="L938" s="52" t="str">
        <f>IF(AND(G938&lt;&gt;"",G938='Tổng hợp'!$C$4),MAX(L$1:L937)+1,"")</f>
        <v/>
      </c>
    </row>
    <row r="939" ht="15.75" customHeight="1">
      <c r="A939" s="52" t="str">
        <f>IF('PR Thương Hiệu'!C143="","","PR Thương Hiệu")</f>
        <v/>
      </c>
      <c r="B939" s="52" t="str">
        <f>IF('PR Thương Hiệu'!B143="","",'PR Thương Hiệu'!B143)</f>
        <v/>
      </c>
      <c r="C939" s="52" t="str">
        <f>IF('PR Thương Hiệu'!C143="","",'PR Thương Hiệu'!C143)</f>
        <v/>
      </c>
      <c r="D939" s="52" t="str">
        <f>IF('PR Thương Hiệu'!D143="","",'PR Thương Hiệu'!D143)</f>
        <v/>
      </c>
      <c r="E939" s="52" t="str">
        <f>IF('PR Thương Hiệu'!E143="","",'PR Thương Hiệu'!E143)</f>
        <v/>
      </c>
      <c r="F939" s="52" t="str">
        <f>IF('PR Thương Hiệu'!F143="","",'PR Thương Hiệu'!F143)</f>
        <v/>
      </c>
      <c r="G939" s="52" t="str">
        <f>IF('PR Thương Hiệu'!G143="","",'PR Thương Hiệu'!G143)</f>
        <v/>
      </c>
      <c r="H939" s="52" t="str">
        <f>IF('PR Thương Hiệu'!J143="","",'PR Thương Hiệu'!J143)</f>
        <v/>
      </c>
      <c r="I939" s="52" t="str">
        <f>IF('PR Thương Hiệu'!M143="","",'PR Thương Hiệu'!M143)</f>
        <v/>
      </c>
      <c r="J939" s="52" t="str">
        <f>IF('PR Thương Hiệu'!R143="","",'PR Thương Hiệu'!R143)</f>
        <v/>
      </c>
      <c r="K939" s="52" t="str">
        <f t="array" ref="K939">IF(COUNTA('PR Thương Hiệu'!T143:AE143)=0,"",INDEX('PR Thương Hiệu'!T143:AE143,1,SUMPRODUCT(MAX(('PR Thương Hiệu'!T143:AE143&lt;&gt;"")*(COLUMN('PR Thương Hiệu'!T143:AE143)-COLUMN('PR Thương Hiệu'!T143)+1)))))</f>
        <v/>
      </c>
      <c r="L939" s="52" t="str">
        <f>IF(AND(G939&lt;&gt;"",G939='Tổng hợp'!$C$4),MAX(L$1:L938)+1,"")</f>
        <v/>
      </c>
    </row>
    <row r="940" ht="15.75" customHeight="1">
      <c r="A940" s="52" t="str">
        <f>IF('PR Thương Hiệu'!C144="","","PR Thương Hiệu")</f>
        <v/>
      </c>
      <c r="B940" s="52" t="str">
        <f>IF('PR Thương Hiệu'!B144="","",'PR Thương Hiệu'!B144)</f>
        <v/>
      </c>
      <c r="C940" s="52" t="str">
        <f>IF('PR Thương Hiệu'!C144="","",'PR Thương Hiệu'!C144)</f>
        <v/>
      </c>
      <c r="D940" s="52" t="str">
        <f>IF('PR Thương Hiệu'!D144="","",'PR Thương Hiệu'!D144)</f>
        <v/>
      </c>
      <c r="E940" s="52" t="str">
        <f>IF('PR Thương Hiệu'!E144="","",'PR Thương Hiệu'!E144)</f>
        <v/>
      </c>
      <c r="F940" s="52" t="str">
        <f>IF('PR Thương Hiệu'!F144="","",'PR Thương Hiệu'!F144)</f>
        <v/>
      </c>
      <c r="G940" s="52" t="str">
        <f>IF('PR Thương Hiệu'!G144="","",'PR Thương Hiệu'!G144)</f>
        <v/>
      </c>
      <c r="H940" s="52" t="str">
        <f>IF('PR Thương Hiệu'!J144="","",'PR Thương Hiệu'!J144)</f>
        <v/>
      </c>
      <c r="I940" s="52" t="str">
        <f>IF('PR Thương Hiệu'!M144="","",'PR Thương Hiệu'!M144)</f>
        <v/>
      </c>
      <c r="J940" s="52" t="str">
        <f>IF('PR Thương Hiệu'!R144="","",'PR Thương Hiệu'!R144)</f>
        <v/>
      </c>
      <c r="K940" s="52" t="str">
        <f t="array" ref="K940">IF(COUNTA('PR Thương Hiệu'!T144:AE144)=0,"",INDEX('PR Thương Hiệu'!T144:AE144,1,SUMPRODUCT(MAX(('PR Thương Hiệu'!T144:AE144&lt;&gt;"")*(COLUMN('PR Thương Hiệu'!T144:AE144)-COLUMN('PR Thương Hiệu'!T144)+1)))))</f>
        <v/>
      </c>
      <c r="L940" s="52" t="str">
        <f>IF(AND(G940&lt;&gt;"",G940='Tổng hợp'!$C$4),MAX(L$1:L939)+1,"")</f>
        <v/>
      </c>
    </row>
    <row r="941" ht="15.75" customHeight="1">
      <c r="A941" s="52" t="str">
        <f>IF('PR Thương Hiệu'!C145="","","PR Thương Hiệu")</f>
        <v/>
      </c>
      <c r="B941" s="52" t="str">
        <f>IF('PR Thương Hiệu'!B145="","",'PR Thương Hiệu'!B145)</f>
        <v/>
      </c>
      <c r="C941" s="52" t="str">
        <f>IF('PR Thương Hiệu'!C145="","",'PR Thương Hiệu'!C145)</f>
        <v/>
      </c>
      <c r="D941" s="52" t="str">
        <f>IF('PR Thương Hiệu'!D145="","",'PR Thương Hiệu'!D145)</f>
        <v/>
      </c>
      <c r="E941" s="52" t="str">
        <f>IF('PR Thương Hiệu'!E145="","",'PR Thương Hiệu'!E145)</f>
        <v/>
      </c>
      <c r="F941" s="52" t="str">
        <f>IF('PR Thương Hiệu'!F145="","",'PR Thương Hiệu'!F145)</f>
        <v/>
      </c>
      <c r="G941" s="52" t="str">
        <f>IF('PR Thương Hiệu'!G145="","",'PR Thương Hiệu'!G145)</f>
        <v/>
      </c>
      <c r="H941" s="52" t="str">
        <f>IF('PR Thương Hiệu'!J145="","",'PR Thương Hiệu'!J145)</f>
        <v/>
      </c>
      <c r="I941" s="52" t="str">
        <f>IF('PR Thương Hiệu'!M145="","",'PR Thương Hiệu'!M145)</f>
        <v/>
      </c>
      <c r="J941" s="52" t="str">
        <f>IF('PR Thương Hiệu'!R145="","",'PR Thương Hiệu'!R145)</f>
        <v/>
      </c>
      <c r="K941" s="52" t="str">
        <f t="array" ref="K941">IF(COUNTA('PR Thương Hiệu'!T145:AE145)=0,"",INDEX('PR Thương Hiệu'!T145:AE145,1,SUMPRODUCT(MAX(('PR Thương Hiệu'!T145:AE145&lt;&gt;"")*(COLUMN('PR Thương Hiệu'!T145:AE145)-COLUMN('PR Thương Hiệu'!T145)+1)))))</f>
        <v/>
      </c>
      <c r="L941" s="52" t="str">
        <f>IF(AND(G941&lt;&gt;"",G941='Tổng hợp'!$C$4),MAX(L$1:L940)+1,"")</f>
        <v/>
      </c>
    </row>
    <row r="942" ht="15.75" customHeight="1">
      <c r="A942" s="52" t="str">
        <f>IF('PR Thương Hiệu'!C146="","","PR Thương Hiệu")</f>
        <v/>
      </c>
      <c r="B942" s="52" t="str">
        <f>IF('PR Thương Hiệu'!B146="","",'PR Thương Hiệu'!B146)</f>
        <v/>
      </c>
      <c r="C942" s="52" t="str">
        <f>IF('PR Thương Hiệu'!C146="","",'PR Thương Hiệu'!C146)</f>
        <v/>
      </c>
      <c r="D942" s="52" t="str">
        <f>IF('PR Thương Hiệu'!D146="","",'PR Thương Hiệu'!D146)</f>
        <v/>
      </c>
      <c r="E942" s="52" t="str">
        <f>IF('PR Thương Hiệu'!E146="","",'PR Thương Hiệu'!E146)</f>
        <v/>
      </c>
      <c r="F942" s="52" t="str">
        <f>IF('PR Thương Hiệu'!F146="","",'PR Thương Hiệu'!F146)</f>
        <v/>
      </c>
      <c r="G942" s="52" t="str">
        <f>IF('PR Thương Hiệu'!G146="","",'PR Thương Hiệu'!G146)</f>
        <v/>
      </c>
      <c r="H942" s="52" t="str">
        <f>IF('PR Thương Hiệu'!J146="","",'PR Thương Hiệu'!J146)</f>
        <v/>
      </c>
      <c r="I942" s="52" t="str">
        <f>IF('PR Thương Hiệu'!M146="","",'PR Thương Hiệu'!M146)</f>
        <v/>
      </c>
      <c r="J942" s="52" t="str">
        <f>IF('PR Thương Hiệu'!R146="","",'PR Thương Hiệu'!R146)</f>
        <v/>
      </c>
      <c r="K942" s="52" t="str">
        <f t="array" ref="K942">IF(COUNTA('PR Thương Hiệu'!T146:AE146)=0,"",INDEX('PR Thương Hiệu'!T146:AE146,1,SUMPRODUCT(MAX(('PR Thương Hiệu'!T146:AE146&lt;&gt;"")*(COLUMN('PR Thương Hiệu'!T146:AE146)-COLUMN('PR Thương Hiệu'!T146)+1)))))</f>
        <v/>
      </c>
      <c r="L942" s="52" t="str">
        <f>IF(AND(G942&lt;&gt;"",G942='Tổng hợp'!$C$4),MAX(L$1:L941)+1,"")</f>
        <v/>
      </c>
    </row>
    <row r="943" ht="15.75" customHeight="1">
      <c r="A943" s="52" t="str">
        <f>IF('PR Thương Hiệu'!C147="","","PR Thương Hiệu")</f>
        <v/>
      </c>
      <c r="B943" s="52" t="str">
        <f>IF('PR Thương Hiệu'!B147="","",'PR Thương Hiệu'!B147)</f>
        <v/>
      </c>
      <c r="C943" s="52" t="str">
        <f>IF('PR Thương Hiệu'!C147="","",'PR Thương Hiệu'!C147)</f>
        <v/>
      </c>
      <c r="D943" s="52" t="str">
        <f>IF('PR Thương Hiệu'!D147="","",'PR Thương Hiệu'!D147)</f>
        <v/>
      </c>
      <c r="E943" s="52" t="str">
        <f>IF('PR Thương Hiệu'!E147="","",'PR Thương Hiệu'!E147)</f>
        <v/>
      </c>
      <c r="F943" s="52" t="str">
        <f>IF('PR Thương Hiệu'!F147="","",'PR Thương Hiệu'!F147)</f>
        <v/>
      </c>
      <c r="G943" s="52" t="str">
        <f>IF('PR Thương Hiệu'!G147="","",'PR Thương Hiệu'!G147)</f>
        <v/>
      </c>
      <c r="H943" s="52" t="str">
        <f>IF('PR Thương Hiệu'!J147="","",'PR Thương Hiệu'!J147)</f>
        <v/>
      </c>
      <c r="I943" s="52" t="str">
        <f>IF('PR Thương Hiệu'!M147="","",'PR Thương Hiệu'!M147)</f>
        <v/>
      </c>
      <c r="J943" s="52" t="str">
        <f>IF('PR Thương Hiệu'!R147="","",'PR Thương Hiệu'!R147)</f>
        <v/>
      </c>
      <c r="K943" s="52" t="str">
        <f t="array" ref="K943">IF(COUNTA('PR Thương Hiệu'!T147:AE147)=0,"",INDEX('PR Thương Hiệu'!T147:AE147,1,SUMPRODUCT(MAX(('PR Thương Hiệu'!T147:AE147&lt;&gt;"")*(COLUMN('PR Thương Hiệu'!T147:AE147)-COLUMN('PR Thương Hiệu'!T147)+1)))))</f>
        <v/>
      </c>
      <c r="L943" s="52" t="str">
        <f>IF(AND(G943&lt;&gt;"",G943='Tổng hợp'!$C$4),MAX(L$1:L942)+1,"")</f>
        <v/>
      </c>
    </row>
    <row r="944" ht="15.75" customHeight="1">
      <c r="A944" s="52" t="str">
        <f>IF('PR Thương Hiệu'!C148="","","PR Thương Hiệu")</f>
        <v/>
      </c>
      <c r="B944" s="52" t="str">
        <f>IF('PR Thương Hiệu'!B148="","",'PR Thương Hiệu'!B148)</f>
        <v/>
      </c>
      <c r="C944" s="52" t="str">
        <f>IF('PR Thương Hiệu'!C148="","",'PR Thương Hiệu'!C148)</f>
        <v/>
      </c>
      <c r="D944" s="52" t="str">
        <f>IF('PR Thương Hiệu'!D148="","",'PR Thương Hiệu'!D148)</f>
        <v/>
      </c>
      <c r="E944" s="52" t="str">
        <f>IF('PR Thương Hiệu'!E148="","",'PR Thương Hiệu'!E148)</f>
        <v/>
      </c>
      <c r="F944" s="52" t="str">
        <f>IF('PR Thương Hiệu'!F148="","",'PR Thương Hiệu'!F148)</f>
        <v/>
      </c>
      <c r="G944" s="52" t="str">
        <f>IF('PR Thương Hiệu'!G148="","",'PR Thương Hiệu'!G148)</f>
        <v/>
      </c>
      <c r="H944" s="52" t="str">
        <f>IF('PR Thương Hiệu'!J148="","",'PR Thương Hiệu'!J148)</f>
        <v/>
      </c>
      <c r="I944" s="52" t="str">
        <f>IF('PR Thương Hiệu'!M148="","",'PR Thương Hiệu'!M148)</f>
        <v/>
      </c>
      <c r="J944" s="52" t="str">
        <f>IF('PR Thương Hiệu'!R148="","",'PR Thương Hiệu'!R148)</f>
        <v/>
      </c>
      <c r="K944" s="52" t="str">
        <f t="array" ref="K944">IF(COUNTA('PR Thương Hiệu'!T148:AE148)=0,"",INDEX('PR Thương Hiệu'!T148:AE148,1,SUMPRODUCT(MAX(('PR Thương Hiệu'!T148:AE148&lt;&gt;"")*(COLUMN('PR Thương Hiệu'!T148:AE148)-COLUMN('PR Thương Hiệu'!T148)+1)))))</f>
        <v/>
      </c>
      <c r="L944" s="52" t="str">
        <f>IF(AND(G944&lt;&gt;"",G944='Tổng hợp'!$C$4),MAX(L$1:L943)+1,"")</f>
        <v/>
      </c>
    </row>
    <row r="945" ht="15.75" customHeight="1">
      <c r="A945" s="52" t="str">
        <f>IF('PR Thương Hiệu'!C149="","","PR Thương Hiệu")</f>
        <v/>
      </c>
      <c r="B945" s="52" t="str">
        <f>IF('PR Thương Hiệu'!B149="","",'PR Thương Hiệu'!B149)</f>
        <v/>
      </c>
      <c r="C945" s="52" t="str">
        <f>IF('PR Thương Hiệu'!C149="","",'PR Thương Hiệu'!C149)</f>
        <v/>
      </c>
      <c r="D945" s="52" t="str">
        <f>IF('PR Thương Hiệu'!D149="","",'PR Thương Hiệu'!D149)</f>
        <v/>
      </c>
      <c r="E945" s="52" t="str">
        <f>IF('PR Thương Hiệu'!E149="","",'PR Thương Hiệu'!E149)</f>
        <v/>
      </c>
      <c r="F945" s="52" t="str">
        <f>IF('PR Thương Hiệu'!F149="","",'PR Thương Hiệu'!F149)</f>
        <v/>
      </c>
      <c r="G945" s="52" t="str">
        <f>IF('PR Thương Hiệu'!G149="","",'PR Thương Hiệu'!G149)</f>
        <v/>
      </c>
      <c r="H945" s="52" t="str">
        <f>IF('PR Thương Hiệu'!J149="","",'PR Thương Hiệu'!J149)</f>
        <v/>
      </c>
      <c r="I945" s="52" t="str">
        <f>IF('PR Thương Hiệu'!M149="","",'PR Thương Hiệu'!M149)</f>
        <v/>
      </c>
      <c r="J945" s="52" t="str">
        <f>IF('PR Thương Hiệu'!R149="","",'PR Thương Hiệu'!R149)</f>
        <v/>
      </c>
      <c r="K945" s="52" t="str">
        <f t="array" ref="K945">IF(COUNTA('PR Thương Hiệu'!T149:AE149)=0,"",INDEX('PR Thương Hiệu'!T149:AE149,1,SUMPRODUCT(MAX(('PR Thương Hiệu'!T149:AE149&lt;&gt;"")*(COLUMN('PR Thương Hiệu'!T149:AE149)-COLUMN('PR Thương Hiệu'!T149)+1)))))</f>
        <v/>
      </c>
      <c r="L945" s="52" t="str">
        <f>IF(AND(G945&lt;&gt;"",G945='Tổng hợp'!$C$4),MAX(L$1:L944)+1,"")</f>
        <v/>
      </c>
    </row>
    <row r="946" ht="15.75" customHeight="1">
      <c r="A946" s="52" t="str">
        <f>IF('PR Thương Hiệu'!C150="","","PR Thương Hiệu")</f>
        <v/>
      </c>
      <c r="B946" s="52" t="str">
        <f>IF('PR Thương Hiệu'!B150="","",'PR Thương Hiệu'!B150)</f>
        <v/>
      </c>
      <c r="C946" s="52" t="str">
        <f>IF('PR Thương Hiệu'!C150="","",'PR Thương Hiệu'!C150)</f>
        <v/>
      </c>
      <c r="D946" s="52" t="str">
        <f>IF('PR Thương Hiệu'!D150="","",'PR Thương Hiệu'!D150)</f>
        <v/>
      </c>
      <c r="E946" s="52" t="str">
        <f>IF('PR Thương Hiệu'!E150="","",'PR Thương Hiệu'!E150)</f>
        <v/>
      </c>
      <c r="F946" s="52" t="str">
        <f>IF('PR Thương Hiệu'!F150="","",'PR Thương Hiệu'!F150)</f>
        <v/>
      </c>
      <c r="G946" s="52" t="str">
        <f>IF('PR Thương Hiệu'!G150="","",'PR Thương Hiệu'!G150)</f>
        <v/>
      </c>
      <c r="H946" s="52" t="str">
        <f>IF('PR Thương Hiệu'!J150="","",'PR Thương Hiệu'!J150)</f>
        <v/>
      </c>
      <c r="I946" s="52" t="str">
        <f>IF('PR Thương Hiệu'!M150="","",'PR Thương Hiệu'!M150)</f>
        <v/>
      </c>
      <c r="J946" s="52" t="str">
        <f>IF('PR Thương Hiệu'!R150="","",'PR Thương Hiệu'!R150)</f>
        <v/>
      </c>
      <c r="K946" s="52" t="str">
        <f t="array" ref="K946">IF(COUNTA('PR Thương Hiệu'!T150:AE150)=0,"",INDEX('PR Thương Hiệu'!T150:AE150,1,SUMPRODUCT(MAX(('PR Thương Hiệu'!T150:AE150&lt;&gt;"")*(COLUMN('PR Thương Hiệu'!T150:AE150)-COLUMN('PR Thương Hiệu'!T150)+1)))))</f>
        <v/>
      </c>
      <c r="L946" s="52" t="str">
        <f>IF(AND(G946&lt;&gt;"",G946='Tổng hợp'!$C$4),MAX(L$1:L945)+1,"")</f>
        <v/>
      </c>
    </row>
    <row r="947" ht="15.75" customHeight="1">
      <c r="A947" s="52" t="str">
        <f>IF('PR Thương Hiệu'!C151="","","PR Thương Hiệu")</f>
        <v/>
      </c>
      <c r="B947" s="52" t="str">
        <f>IF('PR Thương Hiệu'!B151="","",'PR Thương Hiệu'!B151)</f>
        <v/>
      </c>
      <c r="C947" s="52" t="str">
        <f>IF('PR Thương Hiệu'!C151="","",'PR Thương Hiệu'!C151)</f>
        <v/>
      </c>
      <c r="D947" s="52" t="str">
        <f>IF('PR Thương Hiệu'!D151="","",'PR Thương Hiệu'!D151)</f>
        <v/>
      </c>
      <c r="E947" s="52" t="str">
        <f>IF('PR Thương Hiệu'!E151="","",'PR Thương Hiệu'!E151)</f>
        <v/>
      </c>
      <c r="F947" s="52" t="str">
        <f>IF('PR Thương Hiệu'!F151="","",'PR Thương Hiệu'!F151)</f>
        <v/>
      </c>
      <c r="G947" s="52" t="str">
        <f>IF('PR Thương Hiệu'!G151="","",'PR Thương Hiệu'!G151)</f>
        <v/>
      </c>
      <c r="H947" s="52" t="str">
        <f>IF('PR Thương Hiệu'!J151="","",'PR Thương Hiệu'!J151)</f>
        <v/>
      </c>
      <c r="I947" s="52" t="str">
        <f>IF('PR Thương Hiệu'!M151="","",'PR Thương Hiệu'!M151)</f>
        <v/>
      </c>
      <c r="J947" s="52" t="str">
        <f>IF('PR Thương Hiệu'!R151="","",'PR Thương Hiệu'!R151)</f>
        <v/>
      </c>
      <c r="K947" s="52" t="str">
        <f t="array" ref="K947">IF(COUNTA('PR Thương Hiệu'!T151:AE151)=0,"",INDEX('PR Thương Hiệu'!T151:AE151,1,SUMPRODUCT(MAX(('PR Thương Hiệu'!T151:AE151&lt;&gt;"")*(COLUMN('PR Thương Hiệu'!T151:AE151)-COLUMN('PR Thương Hiệu'!T151)+1)))))</f>
        <v/>
      </c>
      <c r="L947" s="52" t="str">
        <f>IF(AND(G947&lt;&gt;"",G947='Tổng hợp'!$C$4),MAX(L$1:L946)+1,"")</f>
        <v/>
      </c>
    </row>
    <row r="948" ht="15.75" customHeight="1">
      <c r="A948" s="52" t="str">
        <f>IF('PR Thương Hiệu'!C152="","","PR Thương Hiệu")</f>
        <v/>
      </c>
      <c r="B948" s="52" t="str">
        <f>IF('PR Thương Hiệu'!B152="","",'PR Thương Hiệu'!B152)</f>
        <v/>
      </c>
      <c r="C948" s="52" t="str">
        <f>IF('PR Thương Hiệu'!C152="","",'PR Thương Hiệu'!C152)</f>
        <v/>
      </c>
      <c r="D948" s="52" t="str">
        <f>IF('PR Thương Hiệu'!D152="","",'PR Thương Hiệu'!D152)</f>
        <v/>
      </c>
      <c r="E948" s="52" t="str">
        <f>IF('PR Thương Hiệu'!E152="","",'PR Thương Hiệu'!E152)</f>
        <v/>
      </c>
      <c r="F948" s="52" t="str">
        <f>IF('PR Thương Hiệu'!F152="","",'PR Thương Hiệu'!F152)</f>
        <v/>
      </c>
      <c r="G948" s="52" t="str">
        <f>IF('PR Thương Hiệu'!G152="","",'PR Thương Hiệu'!G152)</f>
        <v/>
      </c>
      <c r="H948" s="52" t="str">
        <f>IF('PR Thương Hiệu'!J152="","",'PR Thương Hiệu'!J152)</f>
        <v/>
      </c>
      <c r="I948" s="52" t="str">
        <f>IF('PR Thương Hiệu'!M152="","",'PR Thương Hiệu'!M152)</f>
        <v/>
      </c>
      <c r="J948" s="52" t="str">
        <f>IF('PR Thương Hiệu'!R152="","",'PR Thương Hiệu'!R152)</f>
        <v/>
      </c>
      <c r="K948" s="52" t="str">
        <f t="array" ref="K948">IF(COUNTA('PR Thương Hiệu'!T152:AE152)=0,"",INDEX('PR Thương Hiệu'!T152:AE152,1,SUMPRODUCT(MAX(('PR Thương Hiệu'!T152:AE152&lt;&gt;"")*(COLUMN('PR Thương Hiệu'!T152:AE152)-COLUMN('PR Thương Hiệu'!T152)+1)))))</f>
        <v/>
      </c>
      <c r="L948" s="52" t="str">
        <f>IF(AND(G948&lt;&gt;"",G948='Tổng hợp'!$C$4),MAX(L$1:L947)+1,"")</f>
        <v/>
      </c>
    </row>
    <row r="949" ht="15.75" customHeight="1">
      <c r="A949" s="52" t="str">
        <f>IF('PR Thương Hiệu'!C153="","","PR Thương Hiệu")</f>
        <v/>
      </c>
      <c r="B949" s="52" t="str">
        <f>IF('PR Thương Hiệu'!B153="","",'PR Thương Hiệu'!B153)</f>
        <v/>
      </c>
      <c r="C949" s="52" t="str">
        <f>IF('PR Thương Hiệu'!C153="","",'PR Thương Hiệu'!C153)</f>
        <v/>
      </c>
      <c r="D949" s="52" t="str">
        <f>IF('PR Thương Hiệu'!D153="","",'PR Thương Hiệu'!D153)</f>
        <v/>
      </c>
      <c r="E949" s="52" t="str">
        <f>IF('PR Thương Hiệu'!E153="","",'PR Thương Hiệu'!E153)</f>
        <v/>
      </c>
      <c r="F949" s="52" t="str">
        <f>IF('PR Thương Hiệu'!F153="","",'PR Thương Hiệu'!F153)</f>
        <v/>
      </c>
      <c r="G949" s="52" t="str">
        <f>IF('PR Thương Hiệu'!G153="","",'PR Thương Hiệu'!G153)</f>
        <v/>
      </c>
      <c r="H949" s="52" t="str">
        <f>IF('PR Thương Hiệu'!J153="","",'PR Thương Hiệu'!J153)</f>
        <v/>
      </c>
      <c r="I949" s="52" t="str">
        <f>IF('PR Thương Hiệu'!M153="","",'PR Thương Hiệu'!M153)</f>
        <v/>
      </c>
      <c r="J949" s="52" t="str">
        <f>IF('PR Thương Hiệu'!R153="","",'PR Thương Hiệu'!R153)</f>
        <v/>
      </c>
      <c r="K949" s="52" t="str">
        <f t="array" ref="K949">IF(COUNTA('PR Thương Hiệu'!T153:AE153)=0,"",INDEX('PR Thương Hiệu'!T153:AE153,1,SUMPRODUCT(MAX(('PR Thương Hiệu'!T153:AE153&lt;&gt;"")*(COLUMN('PR Thương Hiệu'!T153:AE153)-COLUMN('PR Thương Hiệu'!T153)+1)))))</f>
        <v/>
      </c>
      <c r="L949" s="52" t="str">
        <f>IF(AND(G949&lt;&gt;"",G949='Tổng hợp'!$C$4),MAX(L$1:L948)+1,"")</f>
        <v/>
      </c>
    </row>
    <row r="950" ht="15.75" customHeight="1">
      <c r="A950" s="52" t="str">
        <f>IF('PR Thương Hiệu'!C154="","","PR Thương Hiệu")</f>
        <v/>
      </c>
      <c r="B950" s="52" t="str">
        <f>IF('PR Thương Hiệu'!B154="","",'PR Thương Hiệu'!B154)</f>
        <v/>
      </c>
      <c r="C950" s="52" t="str">
        <f>IF('PR Thương Hiệu'!C154="","",'PR Thương Hiệu'!C154)</f>
        <v/>
      </c>
      <c r="D950" s="52" t="str">
        <f>IF('PR Thương Hiệu'!D154="","",'PR Thương Hiệu'!D154)</f>
        <v/>
      </c>
      <c r="E950" s="52" t="str">
        <f>IF('PR Thương Hiệu'!E154="","",'PR Thương Hiệu'!E154)</f>
        <v/>
      </c>
      <c r="F950" s="52" t="str">
        <f>IF('PR Thương Hiệu'!F154="","",'PR Thương Hiệu'!F154)</f>
        <v/>
      </c>
      <c r="G950" s="52" t="str">
        <f>IF('PR Thương Hiệu'!G154="","",'PR Thương Hiệu'!G154)</f>
        <v/>
      </c>
      <c r="H950" s="52" t="str">
        <f>IF('PR Thương Hiệu'!J154="","",'PR Thương Hiệu'!J154)</f>
        <v/>
      </c>
      <c r="I950" s="52" t="str">
        <f>IF('PR Thương Hiệu'!M154="","",'PR Thương Hiệu'!M154)</f>
        <v/>
      </c>
      <c r="J950" s="52" t="str">
        <f>IF('PR Thương Hiệu'!R154="","",'PR Thương Hiệu'!R154)</f>
        <v/>
      </c>
      <c r="K950" s="52" t="str">
        <f t="array" ref="K950">IF(COUNTA('PR Thương Hiệu'!T154:AE154)=0,"",INDEX('PR Thương Hiệu'!T154:AE154,1,SUMPRODUCT(MAX(('PR Thương Hiệu'!T154:AE154&lt;&gt;"")*(COLUMN('PR Thương Hiệu'!T154:AE154)-COLUMN('PR Thương Hiệu'!T154)+1)))))</f>
        <v/>
      </c>
      <c r="L950" s="52" t="str">
        <f>IF(AND(G950&lt;&gt;"",G950='Tổng hợp'!$C$4),MAX(L$1:L949)+1,"")</f>
        <v/>
      </c>
    </row>
    <row r="951" ht="15.75" customHeight="1">
      <c r="A951" s="52" t="str">
        <f>IF('PR Thương Hiệu'!C155="","","PR Thương Hiệu")</f>
        <v/>
      </c>
      <c r="B951" s="52" t="str">
        <f>IF('PR Thương Hiệu'!B155="","",'PR Thương Hiệu'!B155)</f>
        <v/>
      </c>
      <c r="C951" s="52" t="str">
        <f>IF('PR Thương Hiệu'!C155="","",'PR Thương Hiệu'!C155)</f>
        <v/>
      </c>
      <c r="D951" s="52" t="str">
        <f>IF('PR Thương Hiệu'!D155="","",'PR Thương Hiệu'!D155)</f>
        <v/>
      </c>
      <c r="E951" s="52" t="str">
        <f>IF('PR Thương Hiệu'!E155="","",'PR Thương Hiệu'!E155)</f>
        <v/>
      </c>
      <c r="F951" s="52" t="str">
        <f>IF('PR Thương Hiệu'!F155="","",'PR Thương Hiệu'!F155)</f>
        <v/>
      </c>
      <c r="G951" s="52" t="str">
        <f>IF('PR Thương Hiệu'!G155="","",'PR Thương Hiệu'!G155)</f>
        <v/>
      </c>
      <c r="H951" s="52" t="str">
        <f>IF('PR Thương Hiệu'!J155="","",'PR Thương Hiệu'!J155)</f>
        <v/>
      </c>
      <c r="I951" s="52" t="str">
        <f>IF('PR Thương Hiệu'!M155="","",'PR Thương Hiệu'!M155)</f>
        <v/>
      </c>
      <c r="J951" s="52" t="str">
        <f>IF('PR Thương Hiệu'!R155="","",'PR Thương Hiệu'!R155)</f>
        <v/>
      </c>
      <c r="K951" s="52" t="str">
        <f t="array" ref="K951">IF(COUNTA('PR Thương Hiệu'!T155:AE155)=0,"",INDEX('PR Thương Hiệu'!T155:AE155,1,SUMPRODUCT(MAX(('PR Thương Hiệu'!T155:AE155&lt;&gt;"")*(COLUMN('PR Thương Hiệu'!T155:AE155)-COLUMN('PR Thương Hiệu'!T155)+1)))))</f>
        <v/>
      </c>
      <c r="L951" s="52" t="str">
        <f>IF(AND(G951&lt;&gt;"",G951='Tổng hợp'!$C$4),MAX(L$1:L950)+1,"")</f>
        <v/>
      </c>
    </row>
    <row r="952" ht="15.75" customHeight="1">
      <c r="A952" s="52" t="str">
        <f>IF('PR Thương Hiệu'!C156="","","PR Thương Hiệu")</f>
        <v/>
      </c>
      <c r="B952" s="52" t="str">
        <f>IF('PR Thương Hiệu'!B156="","",'PR Thương Hiệu'!B156)</f>
        <v/>
      </c>
      <c r="C952" s="52" t="str">
        <f>IF('PR Thương Hiệu'!C156="","",'PR Thương Hiệu'!C156)</f>
        <v/>
      </c>
      <c r="D952" s="52" t="str">
        <f>IF('PR Thương Hiệu'!D156="","",'PR Thương Hiệu'!D156)</f>
        <v/>
      </c>
      <c r="E952" s="52" t="str">
        <f>IF('PR Thương Hiệu'!E156="","",'PR Thương Hiệu'!E156)</f>
        <v/>
      </c>
      <c r="F952" s="52" t="str">
        <f>IF('PR Thương Hiệu'!F156="","",'PR Thương Hiệu'!F156)</f>
        <v/>
      </c>
      <c r="G952" s="52" t="str">
        <f>IF('PR Thương Hiệu'!G156="","",'PR Thương Hiệu'!G156)</f>
        <v/>
      </c>
      <c r="H952" s="52" t="str">
        <f>IF('PR Thương Hiệu'!J156="","",'PR Thương Hiệu'!J156)</f>
        <v/>
      </c>
      <c r="I952" s="52" t="str">
        <f>IF('PR Thương Hiệu'!M156="","",'PR Thương Hiệu'!M156)</f>
        <v/>
      </c>
      <c r="J952" s="52" t="str">
        <f>IF('PR Thương Hiệu'!R156="","",'PR Thương Hiệu'!R156)</f>
        <v/>
      </c>
      <c r="K952" s="52" t="str">
        <f t="array" ref="K952">IF(COUNTA('PR Thương Hiệu'!T156:AE156)=0,"",INDEX('PR Thương Hiệu'!T156:AE156,1,SUMPRODUCT(MAX(('PR Thương Hiệu'!T156:AE156&lt;&gt;"")*(COLUMN('PR Thương Hiệu'!T156:AE156)-COLUMN('PR Thương Hiệu'!T156)+1)))))</f>
        <v/>
      </c>
      <c r="L952" s="52" t="str">
        <f>IF(AND(G952&lt;&gt;"",G952='Tổng hợp'!$C$4),MAX(L$1:L951)+1,"")</f>
        <v/>
      </c>
    </row>
    <row r="953" ht="15.75" customHeight="1">
      <c r="A953" s="52" t="str">
        <f>IF('PR Thương Hiệu'!C157="","","PR Thương Hiệu")</f>
        <v/>
      </c>
      <c r="B953" s="52" t="str">
        <f>IF('PR Thương Hiệu'!B157="","",'PR Thương Hiệu'!B157)</f>
        <v/>
      </c>
      <c r="C953" s="52" t="str">
        <f>IF('PR Thương Hiệu'!C157="","",'PR Thương Hiệu'!C157)</f>
        <v/>
      </c>
      <c r="D953" s="52" t="str">
        <f>IF('PR Thương Hiệu'!D157="","",'PR Thương Hiệu'!D157)</f>
        <v/>
      </c>
      <c r="E953" s="52" t="str">
        <f>IF('PR Thương Hiệu'!E157="","",'PR Thương Hiệu'!E157)</f>
        <v/>
      </c>
      <c r="F953" s="52" t="str">
        <f>IF('PR Thương Hiệu'!F157="","",'PR Thương Hiệu'!F157)</f>
        <v/>
      </c>
      <c r="G953" s="52" t="str">
        <f>IF('PR Thương Hiệu'!G157="","",'PR Thương Hiệu'!G157)</f>
        <v/>
      </c>
      <c r="H953" s="52" t="str">
        <f>IF('PR Thương Hiệu'!J157="","",'PR Thương Hiệu'!J157)</f>
        <v/>
      </c>
      <c r="I953" s="52" t="str">
        <f>IF('PR Thương Hiệu'!M157="","",'PR Thương Hiệu'!M157)</f>
        <v/>
      </c>
      <c r="J953" s="52" t="str">
        <f>IF('PR Thương Hiệu'!R157="","",'PR Thương Hiệu'!R157)</f>
        <v/>
      </c>
      <c r="K953" s="52" t="str">
        <f t="array" ref="K953">IF(COUNTA('PR Thương Hiệu'!T157:AE157)=0,"",INDEX('PR Thương Hiệu'!T157:AE157,1,SUMPRODUCT(MAX(('PR Thương Hiệu'!T157:AE157&lt;&gt;"")*(COLUMN('PR Thương Hiệu'!T157:AE157)-COLUMN('PR Thương Hiệu'!T157)+1)))))</f>
        <v/>
      </c>
      <c r="L953" s="52" t="str">
        <f>IF(AND(G953&lt;&gt;"",G953='Tổng hợp'!$C$4),MAX(L$1:L952)+1,"")</f>
        <v/>
      </c>
    </row>
    <row r="954" ht="15.75" customHeight="1">
      <c r="A954" s="52" t="str">
        <f>IF('PR Thương Hiệu'!C158="","","PR Thương Hiệu")</f>
        <v/>
      </c>
      <c r="B954" s="52" t="str">
        <f>IF('PR Thương Hiệu'!B158="","",'PR Thương Hiệu'!B158)</f>
        <v/>
      </c>
      <c r="C954" s="52" t="str">
        <f>IF('PR Thương Hiệu'!C158="","",'PR Thương Hiệu'!C158)</f>
        <v/>
      </c>
      <c r="D954" s="52" t="str">
        <f>IF('PR Thương Hiệu'!D158="","",'PR Thương Hiệu'!D158)</f>
        <v/>
      </c>
      <c r="E954" s="52" t="str">
        <f>IF('PR Thương Hiệu'!E158="","",'PR Thương Hiệu'!E158)</f>
        <v/>
      </c>
      <c r="F954" s="52" t="str">
        <f>IF('PR Thương Hiệu'!F158="","",'PR Thương Hiệu'!F158)</f>
        <v/>
      </c>
      <c r="G954" s="52" t="str">
        <f>IF('PR Thương Hiệu'!G158="","",'PR Thương Hiệu'!G158)</f>
        <v/>
      </c>
      <c r="H954" s="52" t="str">
        <f>IF('PR Thương Hiệu'!J158="","",'PR Thương Hiệu'!J158)</f>
        <v/>
      </c>
      <c r="I954" s="52" t="str">
        <f>IF('PR Thương Hiệu'!M158="","",'PR Thương Hiệu'!M158)</f>
        <v/>
      </c>
      <c r="J954" s="52" t="str">
        <f>IF('PR Thương Hiệu'!R158="","",'PR Thương Hiệu'!R158)</f>
        <v/>
      </c>
      <c r="K954" s="52" t="str">
        <f t="array" ref="K954">IF(COUNTA('PR Thương Hiệu'!T158:AE158)=0,"",INDEX('PR Thương Hiệu'!T158:AE158,1,SUMPRODUCT(MAX(('PR Thương Hiệu'!T158:AE158&lt;&gt;"")*(COLUMN('PR Thương Hiệu'!T158:AE158)-COLUMN('PR Thương Hiệu'!T158)+1)))))</f>
        <v/>
      </c>
      <c r="L954" s="52" t="str">
        <f>IF(AND(G954&lt;&gt;"",G954='Tổng hợp'!$C$4),MAX(L$1:L953)+1,"")</f>
        <v/>
      </c>
    </row>
    <row r="955" ht="15.75" customHeight="1">
      <c r="A955" s="52" t="str">
        <f>IF('PR Thương Hiệu'!C159="","","PR Thương Hiệu")</f>
        <v/>
      </c>
      <c r="B955" s="52" t="str">
        <f>IF('PR Thương Hiệu'!B159="","",'PR Thương Hiệu'!B159)</f>
        <v/>
      </c>
      <c r="C955" s="52" t="str">
        <f>IF('PR Thương Hiệu'!C159="","",'PR Thương Hiệu'!C159)</f>
        <v/>
      </c>
      <c r="D955" s="52" t="str">
        <f>IF('PR Thương Hiệu'!D159="","",'PR Thương Hiệu'!D159)</f>
        <v/>
      </c>
      <c r="E955" s="52" t="str">
        <f>IF('PR Thương Hiệu'!E159="","",'PR Thương Hiệu'!E159)</f>
        <v/>
      </c>
      <c r="F955" s="52" t="str">
        <f>IF('PR Thương Hiệu'!F159="","",'PR Thương Hiệu'!F159)</f>
        <v/>
      </c>
      <c r="G955" s="52" t="str">
        <f>IF('PR Thương Hiệu'!G159="","",'PR Thương Hiệu'!G159)</f>
        <v/>
      </c>
      <c r="H955" s="52" t="str">
        <f>IF('PR Thương Hiệu'!J159="","",'PR Thương Hiệu'!J159)</f>
        <v/>
      </c>
      <c r="I955" s="52" t="str">
        <f>IF('PR Thương Hiệu'!M159="","",'PR Thương Hiệu'!M159)</f>
        <v/>
      </c>
      <c r="J955" s="52" t="str">
        <f>IF('PR Thương Hiệu'!R159="","",'PR Thương Hiệu'!R159)</f>
        <v/>
      </c>
      <c r="K955" s="52" t="str">
        <f t="array" ref="K955">IF(COUNTA('PR Thương Hiệu'!T159:AE159)=0,"",INDEX('PR Thương Hiệu'!T159:AE159,1,SUMPRODUCT(MAX(('PR Thương Hiệu'!T159:AE159&lt;&gt;"")*(COLUMN('PR Thương Hiệu'!T159:AE159)-COLUMN('PR Thương Hiệu'!T159)+1)))))</f>
        <v/>
      </c>
      <c r="L955" s="52" t="str">
        <f>IF(AND(G955&lt;&gt;"",G955='Tổng hợp'!$C$4),MAX(L$1:L954)+1,"")</f>
        <v/>
      </c>
    </row>
    <row r="956" ht="15.75" customHeight="1">
      <c r="A956" s="52" t="str">
        <f>IF('PR Thương Hiệu'!C160="","","PR Thương Hiệu")</f>
        <v/>
      </c>
      <c r="B956" s="52" t="str">
        <f>IF('PR Thương Hiệu'!B160="","",'PR Thương Hiệu'!B160)</f>
        <v/>
      </c>
      <c r="C956" s="52" t="str">
        <f>IF('PR Thương Hiệu'!C160="","",'PR Thương Hiệu'!C160)</f>
        <v/>
      </c>
      <c r="D956" s="52" t="str">
        <f>IF('PR Thương Hiệu'!D160="","",'PR Thương Hiệu'!D160)</f>
        <v/>
      </c>
      <c r="E956" s="52" t="str">
        <f>IF('PR Thương Hiệu'!E160="","",'PR Thương Hiệu'!E160)</f>
        <v/>
      </c>
      <c r="F956" s="52" t="str">
        <f>IF('PR Thương Hiệu'!F160="","",'PR Thương Hiệu'!F160)</f>
        <v/>
      </c>
      <c r="G956" s="52" t="str">
        <f>IF('PR Thương Hiệu'!G160="","",'PR Thương Hiệu'!G160)</f>
        <v/>
      </c>
      <c r="H956" s="52" t="str">
        <f>IF('PR Thương Hiệu'!J160="","",'PR Thương Hiệu'!J160)</f>
        <v/>
      </c>
      <c r="I956" s="52" t="str">
        <f>IF('PR Thương Hiệu'!M160="","",'PR Thương Hiệu'!M160)</f>
        <v/>
      </c>
      <c r="J956" s="52" t="str">
        <f>IF('PR Thương Hiệu'!R160="","",'PR Thương Hiệu'!R160)</f>
        <v/>
      </c>
      <c r="K956" s="52" t="str">
        <f t="array" ref="K956">IF(COUNTA('PR Thương Hiệu'!T160:AE160)=0,"",INDEX('PR Thương Hiệu'!T160:AE160,1,SUMPRODUCT(MAX(('PR Thương Hiệu'!T160:AE160&lt;&gt;"")*(COLUMN('PR Thương Hiệu'!T160:AE160)-COLUMN('PR Thương Hiệu'!T160)+1)))))</f>
        <v/>
      </c>
      <c r="L956" s="52" t="str">
        <f>IF(AND(G956&lt;&gt;"",G956='Tổng hợp'!$C$4),MAX(L$1:L955)+1,"")</f>
        <v/>
      </c>
    </row>
    <row r="957" ht="15.75" customHeight="1">
      <c r="A957" s="52" t="str">
        <f>IF('PR Thương Hiệu'!C161="","","PR Thương Hiệu")</f>
        <v/>
      </c>
      <c r="B957" s="52" t="str">
        <f>IF('PR Thương Hiệu'!B161="","",'PR Thương Hiệu'!B161)</f>
        <v/>
      </c>
      <c r="C957" s="52" t="str">
        <f>IF('PR Thương Hiệu'!C161="","",'PR Thương Hiệu'!C161)</f>
        <v/>
      </c>
      <c r="D957" s="52" t="str">
        <f>IF('PR Thương Hiệu'!D161="","",'PR Thương Hiệu'!D161)</f>
        <v/>
      </c>
      <c r="E957" s="52" t="str">
        <f>IF('PR Thương Hiệu'!E161="","",'PR Thương Hiệu'!E161)</f>
        <v/>
      </c>
      <c r="F957" s="52" t="str">
        <f>IF('PR Thương Hiệu'!F161="","",'PR Thương Hiệu'!F161)</f>
        <v/>
      </c>
      <c r="G957" s="52" t="str">
        <f>IF('PR Thương Hiệu'!G161="","",'PR Thương Hiệu'!G161)</f>
        <v/>
      </c>
      <c r="H957" s="52" t="str">
        <f>IF('PR Thương Hiệu'!J161="","",'PR Thương Hiệu'!J161)</f>
        <v/>
      </c>
      <c r="I957" s="52" t="str">
        <f>IF('PR Thương Hiệu'!M161="","",'PR Thương Hiệu'!M161)</f>
        <v/>
      </c>
      <c r="J957" s="52" t="str">
        <f>IF('PR Thương Hiệu'!R161="","",'PR Thương Hiệu'!R161)</f>
        <v/>
      </c>
      <c r="K957" s="52" t="str">
        <f t="array" ref="K957">IF(COUNTA('PR Thương Hiệu'!T161:AE161)=0,"",INDEX('PR Thương Hiệu'!T161:AE161,1,SUMPRODUCT(MAX(('PR Thương Hiệu'!T161:AE161&lt;&gt;"")*(COLUMN('PR Thương Hiệu'!T161:AE161)-COLUMN('PR Thương Hiệu'!T161)+1)))))</f>
        <v/>
      </c>
      <c r="L957" s="52" t="str">
        <f>IF(AND(G957&lt;&gt;"",G957='Tổng hợp'!$C$4),MAX(L$1:L956)+1,"")</f>
        <v/>
      </c>
    </row>
    <row r="958" ht="15.75" customHeight="1">
      <c r="A958" s="52" t="str">
        <f>IF('PR Thương Hiệu'!C162="","","PR Thương Hiệu")</f>
        <v/>
      </c>
      <c r="B958" s="52" t="str">
        <f>IF('PR Thương Hiệu'!B162="","",'PR Thương Hiệu'!B162)</f>
        <v/>
      </c>
      <c r="C958" s="52" t="str">
        <f>IF('PR Thương Hiệu'!C162="","",'PR Thương Hiệu'!C162)</f>
        <v/>
      </c>
      <c r="D958" s="52" t="str">
        <f>IF('PR Thương Hiệu'!D162="","",'PR Thương Hiệu'!D162)</f>
        <v/>
      </c>
      <c r="E958" s="52" t="str">
        <f>IF('PR Thương Hiệu'!E162="","",'PR Thương Hiệu'!E162)</f>
        <v/>
      </c>
      <c r="F958" s="52" t="str">
        <f>IF('PR Thương Hiệu'!F162="","",'PR Thương Hiệu'!F162)</f>
        <v/>
      </c>
      <c r="G958" s="52" t="str">
        <f>IF('PR Thương Hiệu'!G162="","",'PR Thương Hiệu'!G162)</f>
        <v/>
      </c>
      <c r="H958" s="52" t="str">
        <f>IF('PR Thương Hiệu'!J162="","",'PR Thương Hiệu'!J162)</f>
        <v/>
      </c>
      <c r="I958" s="52" t="str">
        <f>IF('PR Thương Hiệu'!M162="","",'PR Thương Hiệu'!M162)</f>
        <v/>
      </c>
      <c r="J958" s="52" t="str">
        <f>IF('PR Thương Hiệu'!R162="","",'PR Thương Hiệu'!R162)</f>
        <v/>
      </c>
      <c r="K958" s="52" t="str">
        <f t="array" ref="K958">IF(COUNTA('PR Thương Hiệu'!T162:AE162)=0,"",INDEX('PR Thương Hiệu'!T162:AE162,1,SUMPRODUCT(MAX(('PR Thương Hiệu'!T162:AE162&lt;&gt;"")*(COLUMN('PR Thương Hiệu'!T162:AE162)-COLUMN('PR Thương Hiệu'!T162)+1)))))</f>
        <v/>
      </c>
      <c r="L958" s="52" t="str">
        <f>IF(AND(G958&lt;&gt;"",G958='Tổng hợp'!$C$4),MAX(L$1:L957)+1,"")</f>
        <v/>
      </c>
    </row>
    <row r="959" ht="15.75" customHeight="1">
      <c r="A959" s="52" t="str">
        <f>IF('PR Thương Hiệu'!C163="","","PR Thương Hiệu")</f>
        <v/>
      </c>
      <c r="B959" s="52" t="str">
        <f>IF('PR Thương Hiệu'!B163="","",'PR Thương Hiệu'!B163)</f>
        <v/>
      </c>
      <c r="C959" s="52" t="str">
        <f>IF('PR Thương Hiệu'!C163="","",'PR Thương Hiệu'!C163)</f>
        <v/>
      </c>
      <c r="D959" s="52" t="str">
        <f>IF('PR Thương Hiệu'!D163="","",'PR Thương Hiệu'!D163)</f>
        <v/>
      </c>
      <c r="E959" s="52" t="str">
        <f>IF('PR Thương Hiệu'!E163="","",'PR Thương Hiệu'!E163)</f>
        <v/>
      </c>
      <c r="F959" s="52" t="str">
        <f>IF('PR Thương Hiệu'!F163="","",'PR Thương Hiệu'!F163)</f>
        <v/>
      </c>
      <c r="G959" s="52" t="str">
        <f>IF('PR Thương Hiệu'!G163="","",'PR Thương Hiệu'!G163)</f>
        <v/>
      </c>
      <c r="H959" s="52" t="str">
        <f>IF('PR Thương Hiệu'!J163="","",'PR Thương Hiệu'!J163)</f>
        <v/>
      </c>
      <c r="I959" s="52" t="str">
        <f>IF('PR Thương Hiệu'!M163="","",'PR Thương Hiệu'!M163)</f>
        <v/>
      </c>
      <c r="J959" s="52" t="str">
        <f>IF('PR Thương Hiệu'!R163="","",'PR Thương Hiệu'!R163)</f>
        <v/>
      </c>
      <c r="K959" s="52" t="str">
        <f t="array" ref="K959">IF(COUNTA('PR Thương Hiệu'!T163:AE163)=0,"",INDEX('PR Thương Hiệu'!T163:AE163,1,SUMPRODUCT(MAX(('PR Thương Hiệu'!T163:AE163&lt;&gt;"")*(COLUMN('PR Thương Hiệu'!T163:AE163)-COLUMN('PR Thương Hiệu'!T163)+1)))))</f>
        <v/>
      </c>
      <c r="L959" s="52" t="str">
        <f>IF(AND(G959&lt;&gt;"",G959='Tổng hợp'!$C$4),MAX(L$1:L958)+1,"")</f>
        <v/>
      </c>
    </row>
    <row r="960" ht="15.75" customHeight="1">
      <c r="A960" s="52" t="str">
        <f>IF('PR Thương Hiệu'!C164="","","PR Thương Hiệu")</f>
        <v/>
      </c>
      <c r="B960" s="52" t="str">
        <f>IF('PR Thương Hiệu'!B164="","",'PR Thương Hiệu'!B164)</f>
        <v/>
      </c>
      <c r="C960" s="52" t="str">
        <f>IF('PR Thương Hiệu'!C164="","",'PR Thương Hiệu'!C164)</f>
        <v/>
      </c>
      <c r="D960" s="52" t="str">
        <f>IF('PR Thương Hiệu'!D164="","",'PR Thương Hiệu'!D164)</f>
        <v/>
      </c>
      <c r="E960" s="52" t="str">
        <f>IF('PR Thương Hiệu'!E164="","",'PR Thương Hiệu'!E164)</f>
        <v/>
      </c>
      <c r="F960" s="52" t="str">
        <f>IF('PR Thương Hiệu'!F164="","",'PR Thương Hiệu'!F164)</f>
        <v/>
      </c>
      <c r="G960" s="52" t="str">
        <f>IF('PR Thương Hiệu'!G164="","",'PR Thương Hiệu'!G164)</f>
        <v/>
      </c>
      <c r="H960" s="52" t="str">
        <f>IF('PR Thương Hiệu'!J164="","",'PR Thương Hiệu'!J164)</f>
        <v/>
      </c>
      <c r="I960" s="52" t="str">
        <f>IF('PR Thương Hiệu'!M164="","",'PR Thương Hiệu'!M164)</f>
        <v/>
      </c>
      <c r="J960" s="52" t="str">
        <f>IF('PR Thương Hiệu'!R164="","",'PR Thương Hiệu'!R164)</f>
        <v/>
      </c>
      <c r="K960" s="52" t="str">
        <f t="array" ref="K960">IF(COUNTA('PR Thương Hiệu'!T164:AE164)=0,"",INDEX('PR Thương Hiệu'!T164:AE164,1,SUMPRODUCT(MAX(('PR Thương Hiệu'!T164:AE164&lt;&gt;"")*(COLUMN('PR Thương Hiệu'!T164:AE164)-COLUMN('PR Thương Hiệu'!T164)+1)))))</f>
        <v/>
      </c>
      <c r="L960" s="52" t="str">
        <f>IF(AND(G960&lt;&gt;"",G960='Tổng hợp'!$C$4),MAX(L$1:L959)+1,"")</f>
        <v/>
      </c>
    </row>
    <row r="961" ht="15.75" customHeight="1">
      <c r="A961" s="52" t="str">
        <f>IF('PR Thương Hiệu'!C165="","","PR Thương Hiệu")</f>
        <v/>
      </c>
      <c r="B961" s="52" t="str">
        <f>IF('PR Thương Hiệu'!B165="","",'PR Thương Hiệu'!B165)</f>
        <v/>
      </c>
      <c r="C961" s="52" t="str">
        <f>IF('PR Thương Hiệu'!C165="","",'PR Thương Hiệu'!C165)</f>
        <v/>
      </c>
      <c r="D961" s="52" t="str">
        <f>IF('PR Thương Hiệu'!D165="","",'PR Thương Hiệu'!D165)</f>
        <v/>
      </c>
      <c r="E961" s="52" t="str">
        <f>IF('PR Thương Hiệu'!E165="","",'PR Thương Hiệu'!E165)</f>
        <v/>
      </c>
      <c r="F961" s="52" t="str">
        <f>IF('PR Thương Hiệu'!F165="","",'PR Thương Hiệu'!F165)</f>
        <v/>
      </c>
      <c r="G961" s="52" t="str">
        <f>IF('PR Thương Hiệu'!G165="","",'PR Thương Hiệu'!G165)</f>
        <v/>
      </c>
      <c r="H961" s="52" t="str">
        <f>IF('PR Thương Hiệu'!J165="","",'PR Thương Hiệu'!J165)</f>
        <v/>
      </c>
      <c r="I961" s="52" t="str">
        <f>IF('PR Thương Hiệu'!M165="","",'PR Thương Hiệu'!M165)</f>
        <v/>
      </c>
      <c r="J961" s="52" t="str">
        <f>IF('PR Thương Hiệu'!R165="","",'PR Thương Hiệu'!R165)</f>
        <v/>
      </c>
      <c r="K961" s="52" t="str">
        <f t="array" ref="K961">IF(COUNTA('PR Thương Hiệu'!T165:AE165)=0,"",INDEX('PR Thương Hiệu'!T165:AE165,1,SUMPRODUCT(MAX(('PR Thương Hiệu'!T165:AE165&lt;&gt;"")*(COLUMN('PR Thương Hiệu'!T165:AE165)-COLUMN('PR Thương Hiệu'!T165)+1)))))</f>
        <v/>
      </c>
      <c r="L961" s="52" t="str">
        <f>IF(AND(G961&lt;&gt;"",G961='Tổng hợp'!$C$4),MAX(L$1:L960)+1,"")</f>
        <v/>
      </c>
    </row>
    <row r="962" ht="15.75" customHeight="1">
      <c r="A962" s="52" t="str">
        <f>IF('PR Thương Hiệu'!C166="","","PR Thương Hiệu")</f>
        <v/>
      </c>
      <c r="B962" s="52" t="str">
        <f>IF('PR Thương Hiệu'!B166="","",'PR Thương Hiệu'!B166)</f>
        <v/>
      </c>
      <c r="C962" s="52" t="str">
        <f>IF('PR Thương Hiệu'!C166="","",'PR Thương Hiệu'!C166)</f>
        <v/>
      </c>
      <c r="D962" s="52" t="str">
        <f>IF('PR Thương Hiệu'!D166="","",'PR Thương Hiệu'!D166)</f>
        <v/>
      </c>
      <c r="E962" s="52" t="str">
        <f>IF('PR Thương Hiệu'!E166="","",'PR Thương Hiệu'!E166)</f>
        <v/>
      </c>
      <c r="F962" s="52" t="str">
        <f>IF('PR Thương Hiệu'!F166="","",'PR Thương Hiệu'!F166)</f>
        <v/>
      </c>
      <c r="G962" s="52" t="str">
        <f>IF('PR Thương Hiệu'!G166="","",'PR Thương Hiệu'!G166)</f>
        <v/>
      </c>
      <c r="H962" s="52" t="str">
        <f>IF('PR Thương Hiệu'!J166="","",'PR Thương Hiệu'!J166)</f>
        <v/>
      </c>
      <c r="I962" s="52" t="str">
        <f>IF('PR Thương Hiệu'!M166="","",'PR Thương Hiệu'!M166)</f>
        <v/>
      </c>
      <c r="J962" s="52" t="str">
        <f>IF('PR Thương Hiệu'!R166="","",'PR Thương Hiệu'!R166)</f>
        <v/>
      </c>
      <c r="K962" s="52" t="str">
        <f t="array" ref="K962">IF(COUNTA('PR Thương Hiệu'!T166:AE166)=0,"",INDEX('PR Thương Hiệu'!T166:AE166,1,SUMPRODUCT(MAX(('PR Thương Hiệu'!T166:AE166&lt;&gt;"")*(COLUMN('PR Thương Hiệu'!T166:AE166)-COLUMN('PR Thương Hiệu'!T166)+1)))))</f>
        <v/>
      </c>
      <c r="L962" s="52" t="str">
        <f>IF(AND(G962&lt;&gt;"",G962='Tổng hợp'!$C$4),MAX(L$1:L961)+1,"")</f>
        <v/>
      </c>
    </row>
    <row r="963" ht="15.75" customHeight="1">
      <c r="A963" s="52" t="str">
        <f>IF('PR Thương Hiệu'!C167="","","PR Thương Hiệu")</f>
        <v/>
      </c>
      <c r="B963" s="52" t="str">
        <f>IF('PR Thương Hiệu'!B167="","",'PR Thương Hiệu'!B167)</f>
        <v/>
      </c>
      <c r="C963" s="52" t="str">
        <f>IF('PR Thương Hiệu'!C167="","",'PR Thương Hiệu'!C167)</f>
        <v/>
      </c>
      <c r="D963" s="52" t="str">
        <f>IF('PR Thương Hiệu'!D167="","",'PR Thương Hiệu'!D167)</f>
        <v/>
      </c>
      <c r="E963" s="52" t="str">
        <f>IF('PR Thương Hiệu'!E167="","",'PR Thương Hiệu'!E167)</f>
        <v/>
      </c>
      <c r="F963" s="52" t="str">
        <f>IF('PR Thương Hiệu'!F167="","",'PR Thương Hiệu'!F167)</f>
        <v/>
      </c>
      <c r="G963" s="52" t="str">
        <f>IF('PR Thương Hiệu'!G167="","",'PR Thương Hiệu'!G167)</f>
        <v/>
      </c>
      <c r="H963" s="52" t="str">
        <f>IF('PR Thương Hiệu'!J167="","",'PR Thương Hiệu'!J167)</f>
        <v/>
      </c>
      <c r="I963" s="52" t="str">
        <f>IF('PR Thương Hiệu'!M167="","",'PR Thương Hiệu'!M167)</f>
        <v/>
      </c>
      <c r="J963" s="52" t="str">
        <f>IF('PR Thương Hiệu'!R167="","",'PR Thương Hiệu'!R167)</f>
        <v/>
      </c>
      <c r="K963" s="52" t="str">
        <f t="array" ref="K963">IF(COUNTA('PR Thương Hiệu'!T167:AE167)=0,"",INDEX('PR Thương Hiệu'!T167:AE167,1,SUMPRODUCT(MAX(('PR Thương Hiệu'!T167:AE167&lt;&gt;"")*(COLUMN('PR Thương Hiệu'!T167:AE167)-COLUMN('PR Thương Hiệu'!T167)+1)))))</f>
        <v/>
      </c>
      <c r="L963" s="52" t="str">
        <f>IF(AND(G963&lt;&gt;"",G963='Tổng hợp'!$C$4),MAX(L$1:L962)+1,"")</f>
        <v/>
      </c>
    </row>
    <row r="964" ht="15.75" customHeight="1">
      <c r="A964" s="52" t="str">
        <f>IF('PR Thương Hiệu'!C168="","","PR Thương Hiệu")</f>
        <v/>
      </c>
      <c r="B964" s="52" t="str">
        <f>IF('PR Thương Hiệu'!B168="","",'PR Thương Hiệu'!B168)</f>
        <v/>
      </c>
      <c r="C964" s="52" t="str">
        <f>IF('PR Thương Hiệu'!C168="","",'PR Thương Hiệu'!C168)</f>
        <v/>
      </c>
      <c r="D964" s="52" t="str">
        <f>IF('PR Thương Hiệu'!D168="","",'PR Thương Hiệu'!D168)</f>
        <v/>
      </c>
      <c r="E964" s="52" t="str">
        <f>IF('PR Thương Hiệu'!E168="","",'PR Thương Hiệu'!E168)</f>
        <v/>
      </c>
      <c r="F964" s="52" t="str">
        <f>IF('PR Thương Hiệu'!F168="","",'PR Thương Hiệu'!F168)</f>
        <v/>
      </c>
      <c r="G964" s="52" t="str">
        <f>IF('PR Thương Hiệu'!G168="","",'PR Thương Hiệu'!G168)</f>
        <v/>
      </c>
      <c r="H964" s="52" t="str">
        <f>IF('PR Thương Hiệu'!J168="","",'PR Thương Hiệu'!J168)</f>
        <v/>
      </c>
      <c r="I964" s="52" t="str">
        <f>IF('PR Thương Hiệu'!M168="","",'PR Thương Hiệu'!M168)</f>
        <v/>
      </c>
      <c r="J964" s="52" t="str">
        <f>IF('PR Thương Hiệu'!R168="","",'PR Thương Hiệu'!R168)</f>
        <v/>
      </c>
      <c r="K964" s="52" t="str">
        <f t="array" ref="K964">IF(COUNTA('PR Thương Hiệu'!T168:AE168)=0,"",INDEX('PR Thương Hiệu'!T168:AE168,1,SUMPRODUCT(MAX(('PR Thương Hiệu'!T168:AE168&lt;&gt;"")*(COLUMN('PR Thương Hiệu'!T168:AE168)-COLUMN('PR Thương Hiệu'!T168)+1)))))</f>
        <v/>
      </c>
      <c r="L964" s="52" t="str">
        <f>IF(AND(G964&lt;&gt;"",G964='Tổng hợp'!$C$4),MAX(L$1:L963)+1,"")</f>
        <v/>
      </c>
    </row>
    <row r="965" ht="15.75" customHeight="1">
      <c r="A965" s="52" t="str">
        <f>IF('PR Thương Hiệu'!C169="","","PR Thương Hiệu")</f>
        <v/>
      </c>
      <c r="B965" s="52" t="str">
        <f>IF('PR Thương Hiệu'!B169="","",'PR Thương Hiệu'!B169)</f>
        <v/>
      </c>
      <c r="C965" s="52" t="str">
        <f>IF('PR Thương Hiệu'!C169="","",'PR Thương Hiệu'!C169)</f>
        <v/>
      </c>
      <c r="D965" s="52" t="str">
        <f>IF('PR Thương Hiệu'!D169="","",'PR Thương Hiệu'!D169)</f>
        <v/>
      </c>
      <c r="E965" s="52" t="str">
        <f>IF('PR Thương Hiệu'!E169="","",'PR Thương Hiệu'!E169)</f>
        <v/>
      </c>
      <c r="F965" s="52" t="str">
        <f>IF('PR Thương Hiệu'!F169="","",'PR Thương Hiệu'!F169)</f>
        <v/>
      </c>
      <c r="G965" s="52" t="str">
        <f>IF('PR Thương Hiệu'!G169="","",'PR Thương Hiệu'!G169)</f>
        <v/>
      </c>
      <c r="H965" s="52" t="str">
        <f>IF('PR Thương Hiệu'!J169="","",'PR Thương Hiệu'!J169)</f>
        <v/>
      </c>
      <c r="I965" s="52" t="str">
        <f>IF('PR Thương Hiệu'!M169="","",'PR Thương Hiệu'!M169)</f>
        <v/>
      </c>
      <c r="J965" s="52" t="str">
        <f>IF('PR Thương Hiệu'!R169="","",'PR Thương Hiệu'!R169)</f>
        <v/>
      </c>
      <c r="K965" s="52" t="str">
        <f t="array" ref="K965">IF(COUNTA('PR Thương Hiệu'!T169:AE169)=0,"",INDEX('PR Thương Hiệu'!T169:AE169,1,SUMPRODUCT(MAX(('PR Thương Hiệu'!T169:AE169&lt;&gt;"")*(COLUMN('PR Thương Hiệu'!T169:AE169)-COLUMN('PR Thương Hiệu'!T169)+1)))))</f>
        <v/>
      </c>
      <c r="L965" s="52" t="str">
        <f>IF(AND(G965&lt;&gt;"",G965='Tổng hợp'!$C$4),MAX(L$1:L964)+1,"")</f>
        <v/>
      </c>
    </row>
    <row r="966" ht="15.75" customHeight="1">
      <c r="A966" s="52" t="str">
        <f>IF('PR Thương Hiệu'!C170="","","PR Thương Hiệu")</f>
        <v/>
      </c>
      <c r="B966" s="52" t="str">
        <f>IF('PR Thương Hiệu'!B170="","",'PR Thương Hiệu'!B170)</f>
        <v/>
      </c>
      <c r="C966" s="52" t="str">
        <f>IF('PR Thương Hiệu'!C170="","",'PR Thương Hiệu'!C170)</f>
        <v/>
      </c>
      <c r="D966" s="52" t="str">
        <f>IF('PR Thương Hiệu'!D170="","",'PR Thương Hiệu'!D170)</f>
        <v/>
      </c>
      <c r="E966" s="52" t="str">
        <f>IF('PR Thương Hiệu'!E170="","",'PR Thương Hiệu'!E170)</f>
        <v/>
      </c>
      <c r="F966" s="52" t="str">
        <f>IF('PR Thương Hiệu'!F170="","",'PR Thương Hiệu'!F170)</f>
        <v/>
      </c>
      <c r="G966" s="52" t="str">
        <f>IF('PR Thương Hiệu'!G170="","",'PR Thương Hiệu'!G170)</f>
        <v/>
      </c>
      <c r="H966" s="52" t="str">
        <f>IF('PR Thương Hiệu'!J170="","",'PR Thương Hiệu'!J170)</f>
        <v/>
      </c>
      <c r="I966" s="52" t="str">
        <f>IF('PR Thương Hiệu'!M170="","",'PR Thương Hiệu'!M170)</f>
        <v/>
      </c>
      <c r="J966" s="52" t="str">
        <f>IF('PR Thương Hiệu'!R170="","",'PR Thương Hiệu'!R170)</f>
        <v/>
      </c>
      <c r="K966" s="52" t="str">
        <f t="array" ref="K966">IF(COUNTA('PR Thương Hiệu'!T170:AE170)=0,"",INDEX('PR Thương Hiệu'!T170:AE170,1,SUMPRODUCT(MAX(('PR Thương Hiệu'!T170:AE170&lt;&gt;"")*(COLUMN('PR Thương Hiệu'!T170:AE170)-COLUMN('PR Thương Hiệu'!T170)+1)))))</f>
        <v/>
      </c>
      <c r="L966" s="52" t="str">
        <f>IF(AND(G966&lt;&gt;"",G966='Tổng hợp'!$C$4),MAX(L$1:L965)+1,"")</f>
        <v/>
      </c>
    </row>
    <row r="967" ht="15.75" customHeight="1">
      <c r="A967" s="52" t="str">
        <f>IF('PR Thương Hiệu'!C171="","","PR Thương Hiệu")</f>
        <v/>
      </c>
      <c r="B967" s="52" t="str">
        <f>IF('PR Thương Hiệu'!B171="","",'PR Thương Hiệu'!B171)</f>
        <v/>
      </c>
      <c r="C967" s="52" t="str">
        <f>IF('PR Thương Hiệu'!C171="","",'PR Thương Hiệu'!C171)</f>
        <v/>
      </c>
      <c r="D967" s="52" t="str">
        <f>IF('PR Thương Hiệu'!D171="","",'PR Thương Hiệu'!D171)</f>
        <v/>
      </c>
      <c r="E967" s="52" t="str">
        <f>IF('PR Thương Hiệu'!E171="","",'PR Thương Hiệu'!E171)</f>
        <v/>
      </c>
      <c r="F967" s="52" t="str">
        <f>IF('PR Thương Hiệu'!F171="","",'PR Thương Hiệu'!F171)</f>
        <v/>
      </c>
      <c r="G967" s="52" t="str">
        <f>IF('PR Thương Hiệu'!G171="","",'PR Thương Hiệu'!G171)</f>
        <v/>
      </c>
      <c r="H967" s="52" t="str">
        <f>IF('PR Thương Hiệu'!J171="","",'PR Thương Hiệu'!J171)</f>
        <v/>
      </c>
      <c r="I967" s="52" t="str">
        <f>IF('PR Thương Hiệu'!M171="","",'PR Thương Hiệu'!M171)</f>
        <v/>
      </c>
      <c r="J967" s="52" t="str">
        <f>IF('PR Thương Hiệu'!R171="","",'PR Thương Hiệu'!R171)</f>
        <v/>
      </c>
      <c r="K967" s="52" t="str">
        <f t="array" ref="K967">IF(COUNTA('PR Thương Hiệu'!T171:AE171)=0,"",INDEX('PR Thương Hiệu'!T171:AE171,1,SUMPRODUCT(MAX(('PR Thương Hiệu'!T171:AE171&lt;&gt;"")*(COLUMN('PR Thương Hiệu'!T171:AE171)-COLUMN('PR Thương Hiệu'!T171)+1)))))</f>
        <v/>
      </c>
      <c r="L967" s="52" t="str">
        <f>IF(AND(G967&lt;&gt;"",G967='Tổng hợp'!$C$4),MAX(L$1:L966)+1,"")</f>
        <v/>
      </c>
    </row>
    <row r="968" ht="15.75" customHeight="1">
      <c r="A968" s="52" t="str">
        <f>IF('PR Thương Hiệu'!C172="","","PR Thương Hiệu")</f>
        <v/>
      </c>
      <c r="B968" s="52" t="str">
        <f>IF('PR Thương Hiệu'!B172="","",'PR Thương Hiệu'!B172)</f>
        <v/>
      </c>
      <c r="C968" s="52" t="str">
        <f>IF('PR Thương Hiệu'!C172="","",'PR Thương Hiệu'!C172)</f>
        <v/>
      </c>
      <c r="D968" s="52" t="str">
        <f>IF('PR Thương Hiệu'!D172="","",'PR Thương Hiệu'!D172)</f>
        <v/>
      </c>
      <c r="E968" s="52" t="str">
        <f>IF('PR Thương Hiệu'!E172="","",'PR Thương Hiệu'!E172)</f>
        <v/>
      </c>
      <c r="F968" s="52" t="str">
        <f>IF('PR Thương Hiệu'!F172="","",'PR Thương Hiệu'!F172)</f>
        <v/>
      </c>
      <c r="G968" s="52" t="str">
        <f>IF('PR Thương Hiệu'!G172="","",'PR Thương Hiệu'!G172)</f>
        <v/>
      </c>
      <c r="H968" s="52" t="str">
        <f>IF('PR Thương Hiệu'!J172="","",'PR Thương Hiệu'!J172)</f>
        <v/>
      </c>
      <c r="I968" s="52" t="str">
        <f>IF('PR Thương Hiệu'!M172="","",'PR Thương Hiệu'!M172)</f>
        <v/>
      </c>
      <c r="J968" s="52" t="str">
        <f>IF('PR Thương Hiệu'!R172="","",'PR Thương Hiệu'!R172)</f>
        <v/>
      </c>
      <c r="K968" s="52" t="str">
        <f t="array" ref="K968">IF(COUNTA('PR Thương Hiệu'!T172:AE172)=0,"",INDEX('PR Thương Hiệu'!T172:AE172,1,SUMPRODUCT(MAX(('PR Thương Hiệu'!T172:AE172&lt;&gt;"")*(COLUMN('PR Thương Hiệu'!T172:AE172)-COLUMN('PR Thương Hiệu'!T172)+1)))))</f>
        <v/>
      </c>
      <c r="L968" s="52" t="str">
        <f>IF(AND(G968&lt;&gt;"",G968='Tổng hợp'!$C$4),MAX(L$1:L967)+1,"")</f>
        <v/>
      </c>
    </row>
    <row r="969" ht="15.75" customHeight="1">
      <c r="A969" s="52" t="str">
        <f>IF('PR Thương Hiệu'!C173="","","PR Thương Hiệu")</f>
        <v/>
      </c>
      <c r="B969" s="52" t="str">
        <f>IF('PR Thương Hiệu'!B173="","",'PR Thương Hiệu'!B173)</f>
        <v/>
      </c>
      <c r="C969" s="52" t="str">
        <f>IF('PR Thương Hiệu'!C173="","",'PR Thương Hiệu'!C173)</f>
        <v/>
      </c>
      <c r="D969" s="52" t="str">
        <f>IF('PR Thương Hiệu'!D173="","",'PR Thương Hiệu'!D173)</f>
        <v/>
      </c>
      <c r="E969" s="52" t="str">
        <f>IF('PR Thương Hiệu'!E173="","",'PR Thương Hiệu'!E173)</f>
        <v/>
      </c>
      <c r="F969" s="52" t="str">
        <f>IF('PR Thương Hiệu'!F173="","",'PR Thương Hiệu'!F173)</f>
        <v/>
      </c>
      <c r="G969" s="52" t="str">
        <f>IF('PR Thương Hiệu'!G173="","",'PR Thương Hiệu'!G173)</f>
        <v/>
      </c>
      <c r="H969" s="52" t="str">
        <f>IF('PR Thương Hiệu'!J173="","",'PR Thương Hiệu'!J173)</f>
        <v/>
      </c>
      <c r="I969" s="52" t="str">
        <f>IF('PR Thương Hiệu'!M173="","",'PR Thương Hiệu'!M173)</f>
        <v/>
      </c>
      <c r="J969" s="52" t="str">
        <f>IF('PR Thương Hiệu'!R173="","",'PR Thương Hiệu'!R173)</f>
        <v/>
      </c>
      <c r="K969" s="52" t="str">
        <f t="array" ref="K969">IF(COUNTA('PR Thương Hiệu'!T173:AE173)=0,"",INDEX('PR Thương Hiệu'!T173:AE173,1,SUMPRODUCT(MAX(('PR Thương Hiệu'!T173:AE173&lt;&gt;"")*(COLUMN('PR Thương Hiệu'!T173:AE173)-COLUMN('PR Thương Hiệu'!T173)+1)))))</f>
        <v/>
      </c>
      <c r="L969" s="52" t="str">
        <f>IF(AND(G969&lt;&gt;"",G969='Tổng hợp'!$C$4),MAX(L$1:L968)+1,"")</f>
        <v/>
      </c>
    </row>
    <row r="970" ht="15.75" customHeight="1">
      <c r="A970" s="52" t="str">
        <f>IF('PR Thương Hiệu'!C174="","","PR Thương Hiệu")</f>
        <v/>
      </c>
      <c r="B970" s="52" t="str">
        <f>IF('PR Thương Hiệu'!B174="","",'PR Thương Hiệu'!B174)</f>
        <v/>
      </c>
      <c r="C970" s="52" t="str">
        <f>IF('PR Thương Hiệu'!C174="","",'PR Thương Hiệu'!C174)</f>
        <v/>
      </c>
      <c r="D970" s="52" t="str">
        <f>IF('PR Thương Hiệu'!D174="","",'PR Thương Hiệu'!D174)</f>
        <v/>
      </c>
      <c r="E970" s="52" t="str">
        <f>IF('PR Thương Hiệu'!E174="","",'PR Thương Hiệu'!E174)</f>
        <v/>
      </c>
      <c r="F970" s="52" t="str">
        <f>IF('PR Thương Hiệu'!F174="","",'PR Thương Hiệu'!F174)</f>
        <v/>
      </c>
      <c r="G970" s="52" t="str">
        <f>IF('PR Thương Hiệu'!G174="","",'PR Thương Hiệu'!G174)</f>
        <v/>
      </c>
      <c r="H970" s="52" t="str">
        <f>IF('PR Thương Hiệu'!J174="","",'PR Thương Hiệu'!J174)</f>
        <v/>
      </c>
      <c r="I970" s="52" t="str">
        <f>IF('PR Thương Hiệu'!M174="","",'PR Thương Hiệu'!M174)</f>
        <v/>
      </c>
      <c r="J970" s="52" t="str">
        <f>IF('PR Thương Hiệu'!R174="","",'PR Thương Hiệu'!R174)</f>
        <v/>
      </c>
      <c r="K970" s="52" t="str">
        <f t="array" ref="K970">IF(COUNTA('PR Thương Hiệu'!T174:AE174)=0,"",INDEX('PR Thương Hiệu'!T174:AE174,1,SUMPRODUCT(MAX(('PR Thương Hiệu'!T174:AE174&lt;&gt;"")*(COLUMN('PR Thương Hiệu'!T174:AE174)-COLUMN('PR Thương Hiệu'!T174)+1)))))</f>
        <v/>
      </c>
      <c r="L970" s="52" t="str">
        <f>IF(AND(G970&lt;&gt;"",G970='Tổng hợp'!$C$4),MAX(L$1:L969)+1,"")</f>
        <v/>
      </c>
    </row>
    <row r="971" ht="15.75" customHeight="1">
      <c r="A971" s="52" t="str">
        <f>IF('PR Thương Hiệu'!C175="","","PR Thương Hiệu")</f>
        <v/>
      </c>
      <c r="B971" s="52" t="str">
        <f>IF('PR Thương Hiệu'!B175="","",'PR Thương Hiệu'!B175)</f>
        <v/>
      </c>
      <c r="C971" s="52" t="str">
        <f>IF('PR Thương Hiệu'!C175="","",'PR Thương Hiệu'!C175)</f>
        <v/>
      </c>
      <c r="D971" s="52" t="str">
        <f>IF('PR Thương Hiệu'!D175="","",'PR Thương Hiệu'!D175)</f>
        <v/>
      </c>
      <c r="E971" s="52" t="str">
        <f>IF('PR Thương Hiệu'!E175="","",'PR Thương Hiệu'!E175)</f>
        <v/>
      </c>
      <c r="F971" s="52" t="str">
        <f>IF('PR Thương Hiệu'!F175="","",'PR Thương Hiệu'!F175)</f>
        <v/>
      </c>
      <c r="G971" s="52" t="str">
        <f>IF('PR Thương Hiệu'!G175="","",'PR Thương Hiệu'!G175)</f>
        <v/>
      </c>
      <c r="H971" s="52" t="str">
        <f>IF('PR Thương Hiệu'!J175="","",'PR Thương Hiệu'!J175)</f>
        <v/>
      </c>
      <c r="I971" s="52" t="str">
        <f>IF('PR Thương Hiệu'!M175="","",'PR Thương Hiệu'!M175)</f>
        <v/>
      </c>
      <c r="J971" s="52" t="str">
        <f>IF('PR Thương Hiệu'!R175="","",'PR Thương Hiệu'!R175)</f>
        <v/>
      </c>
      <c r="K971" s="52" t="str">
        <f t="array" ref="K971">IF(COUNTA('PR Thương Hiệu'!T175:AE175)=0,"",INDEX('PR Thương Hiệu'!T175:AE175,1,SUMPRODUCT(MAX(('PR Thương Hiệu'!T175:AE175&lt;&gt;"")*(COLUMN('PR Thương Hiệu'!T175:AE175)-COLUMN('PR Thương Hiệu'!T175)+1)))))</f>
        <v/>
      </c>
      <c r="L971" s="52" t="str">
        <f>IF(AND(G971&lt;&gt;"",G971='Tổng hợp'!$C$4),MAX(L$1:L970)+1,"")</f>
        <v/>
      </c>
    </row>
    <row r="972" ht="15.75" customHeight="1">
      <c r="A972" s="52" t="str">
        <f>IF('PR Thương Hiệu'!C176="","","PR Thương Hiệu")</f>
        <v/>
      </c>
      <c r="B972" s="52" t="str">
        <f>IF('PR Thương Hiệu'!B176="","",'PR Thương Hiệu'!B176)</f>
        <v/>
      </c>
      <c r="C972" s="52" t="str">
        <f>IF('PR Thương Hiệu'!C176="","",'PR Thương Hiệu'!C176)</f>
        <v/>
      </c>
      <c r="D972" s="52" t="str">
        <f>IF('PR Thương Hiệu'!D176="","",'PR Thương Hiệu'!D176)</f>
        <v/>
      </c>
      <c r="E972" s="52" t="str">
        <f>IF('PR Thương Hiệu'!E176="","",'PR Thương Hiệu'!E176)</f>
        <v/>
      </c>
      <c r="F972" s="52" t="str">
        <f>IF('PR Thương Hiệu'!F176="","",'PR Thương Hiệu'!F176)</f>
        <v/>
      </c>
      <c r="G972" s="52" t="str">
        <f>IF('PR Thương Hiệu'!G176="","",'PR Thương Hiệu'!G176)</f>
        <v/>
      </c>
      <c r="H972" s="52" t="str">
        <f>IF('PR Thương Hiệu'!J176="","",'PR Thương Hiệu'!J176)</f>
        <v/>
      </c>
      <c r="I972" s="52" t="str">
        <f>IF('PR Thương Hiệu'!M176="","",'PR Thương Hiệu'!M176)</f>
        <v/>
      </c>
      <c r="J972" s="52" t="str">
        <f>IF('PR Thương Hiệu'!R176="","",'PR Thương Hiệu'!R176)</f>
        <v/>
      </c>
      <c r="K972" s="52" t="str">
        <f t="array" ref="K972">IF(COUNTA('PR Thương Hiệu'!T176:AE176)=0,"",INDEX('PR Thương Hiệu'!T176:AE176,1,SUMPRODUCT(MAX(('PR Thương Hiệu'!T176:AE176&lt;&gt;"")*(COLUMN('PR Thương Hiệu'!T176:AE176)-COLUMN('PR Thương Hiệu'!T176)+1)))))</f>
        <v/>
      </c>
      <c r="L972" s="52" t="str">
        <f>IF(AND(G972&lt;&gt;"",G972='Tổng hợp'!$C$4),MAX(L$1:L971)+1,"")</f>
        <v/>
      </c>
    </row>
    <row r="973" ht="15.75" customHeight="1">
      <c r="A973" s="52" t="str">
        <f>IF('PR Thương Hiệu'!C177="","","PR Thương Hiệu")</f>
        <v/>
      </c>
      <c r="B973" s="52" t="str">
        <f>IF('PR Thương Hiệu'!B177="","",'PR Thương Hiệu'!B177)</f>
        <v/>
      </c>
      <c r="C973" s="52" t="str">
        <f>IF('PR Thương Hiệu'!C177="","",'PR Thương Hiệu'!C177)</f>
        <v/>
      </c>
      <c r="D973" s="52" t="str">
        <f>IF('PR Thương Hiệu'!D177="","",'PR Thương Hiệu'!D177)</f>
        <v/>
      </c>
      <c r="E973" s="52" t="str">
        <f>IF('PR Thương Hiệu'!E177="","",'PR Thương Hiệu'!E177)</f>
        <v/>
      </c>
      <c r="F973" s="52" t="str">
        <f>IF('PR Thương Hiệu'!F177="","",'PR Thương Hiệu'!F177)</f>
        <v/>
      </c>
      <c r="G973" s="52" t="str">
        <f>IF('PR Thương Hiệu'!G177="","",'PR Thương Hiệu'!G177)</f>
        <v/>
      </c>
      <c r="H973" s="52" t="str">
        <f>IF('PR Thương Hiệu'!J177="","",'PR Thương Hiệu'!J177)</f>
        <v/>
      </c>
      <c r="I973" s="52" t="str">
        <f>IF('PR Thương Hiệu'!M177="","",'PR Thương Hiệu'!M177)</f>
        <v/>
      </c>
      <c r="J973" s="52" t="str">
        <f>IF('PR Thương Hiệu'!R177="","",'PR Thương Hiệu'!R177)</f>
        <v/>
      </c>
      <c r="K973" s="52" t="str">
        <f t="array" ref="K973">IF(COUNTA('PR Thương Hiệu'!T177:AE177)=0,"",INDEX('PR Thương Hiệu'!T177:AE177,1,SUMPRODUCT(MAX(('PR Thương Hiệu'!T177:AE177&lt;&gt;"")*(COLUMN('PR Thương Hiệu'!T177:AE177)-COLUMN('PR Thương Hiệu'!T177)+1)))))</f>
        <v/>
      </c>
      <c r="L973" s="52" t="str">
        <f>IF(AND(G973&lt;&gt;"",G973='Tổng hợp'!$C$4),MAX(L$1:L972)+1,"")</f>
        <v/>
      </c>
    </row>
    <row r="974" ht="15.75" customHeight="1">
      <c r="A974" s="52" t="str">
        <f>IF('PR Thương Hiệu'!C178="","","PR Thương Hiệu")</f>
        <v/>
      </c>
      <c r="B974" s="52" t="str">
        <f>IF('PR Thương Hiệu'!B178="","",'PR Thương Hiệu'!B178)</f>
        <v/>
      </c>
      <c r="C974" s="52" t="str">
        <f>IF('PR Thương Hiệu'!C178="","",'PR Thương Hiệu'!C178)</f>
        <v/>
      </c>
      <c r="D974" s="52" t="str">
        <f>IF('PR Thương Hiệu'!D178="","",'PR Thương Hiệu'!D178)</f>
        <v/>
      </c>
      <c r="E974" s="52" t="str">
        <f>IF('PR Thương Hiệu'!E178="","",'PR Thương Hiệu'!E178)</f>
        <v/>
      </c>
      <c r="F974" s="52" t="str">
        <f>IF('PR Thương Hiệu'!F178="","",'PR Thương Hiệu'!F178)</f>
        <v/>
      </c>
      <c r="G974" s="52" t="str">
        <f>IF('PR Thương Hiệu'!G178="","",'PR Thương Hiệu'!G178)</f>
        <v/>
      </c>
      <c r="H974" s="52" t="str">
        <f>IF('PR Thương Hiệu'!J178="","",'PR Thương Hiệu'!J178)</f>
        <v/>
      </c>
      <c r="I974" s="52" t="str">
        <f>IF('PR Thương Hiệu'!M178="","",'PR Thương Hiệu'!M178)</f>
        <v/>
      </c>
      <c r="J974" s="52" t="str">
        <f>IF('PR Thương Hiệu'!R178="","",'PR Thương Hiệu'!R178)</f>
        <v/>
      </c>
      <c r="K974" s="52" t="str">
        <f t="array" ref="K974">IF(COUNTA('PR Thương Hiệu'!T178:AE178)=0,"",INDEX('PR Thương Hiệu'!T178:AE178,1,SUMPRODUCT(MAX(('PR Thương Hiệu'!T178:AE178&lt;&gt;"")*(COLUMN('PR Thương Hiệu'!T178:AE178)-COLUMN('PR Thương Hiệu'!T178)+1)))))</f>
        <v/>
      </c>
      <c r="L974" s="52" t="str">
        <f>IF(AND(G974&lt;&gt;"",G974='Tổng hợp'!$C$4),MAX(L$1:L973)+1,"")</f>
        <v/>
      </c>
    </row>
    <row r="975" ht="15.75" customHeight="1">
      <c r="A975" s="52" t="str">
        <f>IF('PR Thương Hiệu'!C179="","","PR Thương Hiệu")</f>
        <v/>
      </c>
      <c r="B975" s="52" t="str">
        <f>IF('PR Thương Hiệu'!B179="","",'PR Thương Hiệu'!B179)</f>
        <v/>
      </c>
      <c r="C975" s="52" t="str">
        <f>IF('PR Thương Hiệu'!C179="","",'PR Thương Hiệu'!C179)</f>
        <v/>
      </c>
      <c r="D975" s="52" t="str">
        <f>IF('PR Thương Hiệu'!D179="","",'PR Thương Hiệu'!D179)</f>
        <v/>
      </c>
      <c r="E975" s="52" t="str">
        <f>IF('PR Thương Hiệu'!E179="","",'PR Thương Hiệu'!E179)</f>
        <v/>
      </c>
      <c r="F975" s="52" t="str">
        <f>IF('PR Thương Hiệu'!F179="","",'PR Thương Hiệu'!F179)</f>
        <v/>
      </c>
      <c r="G975" s="52" t="str">
        <f>IF('PR Thương Hiệu'!G179="","",'PR Thương Hiệu'!G179)</f>
        <v/>
      </c>
      <c r="H975" s="52" t="str">
        <f>IF('PR Thương Hiệu'!J179="","",'PR Thương Hiệu'!J179)</f>
        <v/>
      </c>
      <c r="I975" s="52" t="str">
        <f>IF('PR Thương Hiệu'!M179="","",'PR Thương Hiệu'!M179)</f>
        <v/>
      </c>
      <c r="J975" s="52" t="str">
        <f>IF('PR Thương Hiệu'!R179="","",'PR Thương Hiệu'!R179)</f>
        <v/>
      </c>
      <c r="K975" s="52" t="str">
        <f t="array" ref="K975">IF(COUNTA('PR Thương Hiệu'!T179:AE179)=0,"",INDEX('PR Thương Hiệu'!T179:AE179,1,SUMPRODUCT(MAX(('PR Thương Hiệu'!T179:AE179&lt;&gt;"")*(COLUMN('PR Thương Hiệu'!T179:AE179)-COLUMN('PR Thương Hiệu'!T179)+1)))))</f>
        <v/>
      </c>
      <c r="L975" s="52" t="str">
        <f>IF(AND(G975&lt;&gt;"",G975='Tổng hợp'!$C$4),MAX(L$1:L974)+1,"")</f>
        <v/>
      </c>
    </row>
    <row r="976" ht="15.75" customHeight="1">
      <c r="A976" s="52" t="str">
        <f>IF('PR Thương Hiệu'!C180="","","PR Thương Hiệu")</f>
        <v/>
      </c>
      <c r="B976" s="52" t="str">
        <f>IF('PR Thương Hiệu'!B180="","",'PR Thương Hiệu'!B180)</f>
        <v/>
      </c>
      <c r="C976" s="52" t="str">
        <f>IF('PR Thương Hiệu'!C180="","",'PR Thương Hiệu'!C180)</f>
        <v/>
      </c>
      <c r="D976" s="52" t="str">
        <f>IF('PR Thương Hiệu'!D180="","",'PR Thương Hiệu'!D180)</f>
        <v/>
      </c>
      <c r="E976" s="52" t="str">
        <f>IF('PR Thương Hiệu'!E180="","",'PR Thương Hiệu'!E180)</f>
        <v/>
      </c>
      <c r="F976" s="52" t="str">
        <f>IF('PR Thương Hiệu'!F180="","",'PR Thương Hiệu'!F180)</f>
        <v/>
      </c>
      <c r="G976" s="52" t="str">
        <f>IF('PR Thương Hiệu'!G180="","",'PR Thương Hiệu'!G180)</f>
        <v/>
      </c>
      <c r="H976" s="52" t="str">
        <f>IF('PR Thương Hiệu'!J180="","",'PR Thương Hiệu'!J180)</f>
        <v/>
      </c>
      <c r="I976" s="52" t="str">
        <f>IF('PR Thương Hiệu'!M180="","",'PR Thương Hiệu'!M180)</f>
        <v/>
      </c>
      <c r="J976" s="52" t="str">
        <f>IF('PR Thương Hiệu'!R180="","",'PR Thương Hiệu'!R180)</f>
        <v/>
      </c>
      <c r="K976" s="52" t="str">
        <f t="array" ref="K976">IF(COUNTA('PR Thương Hiệu'!T180:AE180)=0,"",INDEX('PR Thương Hiệu'!T180:AE180,1,SUMPRODUCT(MAX(('PR Thương Hiệu'!T180:AE180&lt;&gt;"")*(COLUMN('PR Thương Hiệu'!T180:AE180)-COLUMN('PR Thương Hiệu'!T180)+1)))))</f>
        <v/>
      </c>
      <c r="L976" s="52" t="str">
        <f>IF(AND(G976&lt;&gt;"",G976='Tổng hợp'!$C$4),MAX(L$1:L975)+1,"")</f>
        <v/>
      </c>
    </row>
    <row r="977" ht="15.75" customHeight="1">
      <c r="A977" s="52" t="str">
        <f>IF('PR Thương Hiệu'!C181="","","PR Thương Hiệu")</f>
        <v/>
      </c>
      <c r="B977" s="52" t="str">
        <f>IF('PR Thương Hiệu'!B181="","",'PR Thương Hiệu'!B181)</f>
        <v/>
      </c>
      <c r="C977" s="52" t="str">
        <f>IF('PR Thương Hiệu'!C181="","",'PR Thương Hiệu'!C181)</f>
        <v/>
      </c>
      <c r="D977" s="52" t="str">
        <f>IF('PR Thương Hiệu'!D181="","",'PR Thương Hiệu'!D181)</f>
        <v/>
      </c>
      <c r="E977" s="52" t="str">
        <f>IF('PR Thương Hiệu'!E181="","",'PR Thương Hiệu'!E181)</f>
        <v/>
      </c>
      <c r="F977" s="52" t="str">
        <f>IF('PR Thương Hiệu'!F181="","",'PR Thương Hiệu'!F181)</f>
        <v/>
      </c>
      <c r="G977" s="52" t="str">
        <f>IF('PR Thương Hiệu'!G181="","",'PR Thương Hiệu'!G181)</f>
        <v/>
      </c>
      <c r="H977" s="52" t="str">
        <f>IF('PR Thương Hiệu'!J181="","",'PR Thương Hiệu'!J181)</f>
        <v/>
      </c>
      <c r="I977" s="52" t="str">
        <f>IF('PR Thương Hiệu'!M181="","",'PR Thương Hiệu'!M181)</f>
        <v/>
      </c>
      <c r="J977" s="52" t="str">
        <f>IF('PR Thương Hiệu'!R181="","",'PR Thương Hiệu'!R181)</f>
        <v/>
      </c>
      <c r="K977" s="52" t="str">
        <f t="array" ref="K977">IF(COUNTA('PR Thương Hiệu'!T181:AE181)=0,"",INDEX('PR Thương Hiệu'!T181:AE181,1,SUMPRODUCT(MAX(('PR Thương Hiệu'!T181:AE181&lt;&gt;"")*(COLUMN('PR Thương Hiệu'!T181:AE181)-COLUMN('PR Thương Hiệu'!T181)+1)))))</f>
        <v/>
      </c>
      <c r="L977" s="52" t="str">
        <f>IF(AND(G977&lt;&gt;"",G977='Tổng hợp'!$C$4),MAX(L$1:L976)+1,"")</f>
        <v/>
      </c>
    </row>
    <row r="978" ht="15.75" customHeight="1">
      <c r="A978" s="52" t="str">
        <f>IF('PR Thương Hiệu'!C182="","","PR Thương Hiệu")</f>
        <v/>
      </c>
      <c r="B978" s="52" t="str">
        <f>IF('PR Thương Hiệu'!B182="","",'PR Thương Hiệu'!B182)</f>
        <v/>
      </c>
      <c r="C978" s="52" t="str">
        <f>IF('PR Thương Hiệu'!C182="","",'PR Thương Hiệu'!C182)</f>
        <v/>
      </c>
      <c r="D978" s="52" t="str">
        <f>IF('PR Thương Hiệu'!D182="","",'PR Thương Hiệu'!D182)</f>
        <v/>
      </c>
      <c r="E978" s="52" t="str">
        <f>IF('PR Thương Hiệu'!E182="","",'PR Thương Hiệu'!E182)</f>
        <v/>
      </c>
      <c r="F978" s="52" t="str">
        <f>IF('PR Thương Hiệu'!F182="","",'PR Thương Hiệu'!F182)</f>
        <v/>
      </c>
      <c r="G978" s="52" t="str">
        <f>IF('PR Thương Hiệu'!G182="","",'PR Thương Hiệu'!G182)</f>
        <v/>
      </c>
      <c r="H978" s="52" t="str">
        <f>IF('PR Thương Hiệu'!J182="","",'PR Thương Hiệu'!J182)</f>
        <v/>
      </c>
      <c r="I978" s="52" t="str">
        <f>IF('PR Thương Hiệu'!M182="","",'PR Thương Hiệu'!M182)</f>
        <v/>
      </c>
      <c r="J978" s="52" t="str">
        <f>IF('PR Thương Hiệu'!R182="","",'PR Thương Hiệu'!R182)</f>
        <v/>
      </c>
      <c r="K978" s="52" t="str">
        <f t="array" ref="K978">IF(COUNTA('PR Thương Hiệu'!T182:AE182)=0,"",INDEX('PR Thương Hiệu'!T182:AE182,1,SUMPRODUCT(MAX(('PR Thương Hiệu'!T182:AE182&lt;&gt;"")*(COLUMN('PR Thương Hiệu'!T182:AE182)-COLUMN('PR Thương Hiệu'!T182)+1)))))</f>
        <v/>
      </c>
      <c r="L978" s="52" t="str">
        <f>IF(AND(G978&lt;&gt;"",G978='Tổng hợp'!$C$4),MAX(L$1:L977)+1,"")</f>
        <v/>
      </c>
    </row>
    <row r="979" ht="15.75" customHeight="1">
      <c r="A979" s="52" t="str">
        <f>IF('PR Thương Hiệu'!C183="","","PR Thương Hiệu")</f>
        <v/>
      </c>
      <c r="B979" s="52" t="str">
        <f>IF('PR Thương Hiệu'!B183="","",'PR Thương Hiệu'!B183)</f>
        <v/>
      </c>
      <c r="C979" s="52" t="str">
        <f>IF('PR Thương Hiệu'!C183="","",'PR Thương Hiệu'!C183)</f>
        <v/>
      </c>
      <c r="D979" s="52" t="str">
        <f>IF('PR Thương Hiệu'!D183="","",'PR Thương Hiệu'!D183)</f>
        <v/>
      </c>
      <c r="E979" s="52" t="str">
        <f>IF('PR Thương Hiệu'!E183="","",'PR Thương Hiệu'!E183)</f>
        <v/>
      </c>
      <c r="F979" s="52" t="str">
        <f>IF('PR Thương Hiệu'!F183="","",'PR Thương Hiệu'!F183)</f>
        <v/>
      </c>
      <c r="G979" s="52" t="str">
        <f>IF('PR Thương Hiệu'!G183="","",'PR Thương Hiệu'!G183)</f>
        <v/>
      </c>
      <c r="H979" s="52" t="str">
        <f>IF('PR Thương Hiệu'!J183="","",'PR Thương Hiệu'!J183)</f>
        <v/>
      </c>
      <c r="I979" s="52" t="str">
        <f>IF('PR Thương Hiệu'!M183="","",'PR Thương Hiệu'!M183)</f>
        <v/>
      </c>
      <c r="J979" s="52" t="str">
        <f>IF('PR Thương Hiệu'!R183="","",'PR Thương Hiệu'!R183)</f>
        <v/>
      </c>
      <c r="K979" s="52" t="str">
        <f t="array" ref="K979">IF(COUNTA('PR Thương Hiệu'!T183:AE183)=0,"",INDEX('PR Thương Hiệu'!T183:AE183,1,SUMPRODUCT(MAX(('PR Thương Hiệu'!T183:AE183&lt;&gt;"")*(COLUMN('PR Thương Hiệu'!T183:AE183)-COLUMN('PR Thương Hiệu'!T183)+1)))))</f>
        <v/>
      </c>
      <c r="L979" s="52" t="str">
        <f>IF(AND(G979&lt;&gt;"",G979='Tổng hợp'!$C$4),MAX(L$1:L978)+1,"")</f>
        <v/>
      </c>
    </row>
    <row r="980" ht="15.75" customHeight="1">
      <c r="A980" s="52" t="str">
        <f>IF('PR Thương Hiệu'!C184="","","PR Thương Hiệu")</f>
        <v/>
      </c>
      <c r="B980" s="52" t="str">
        <f>IF('PR Thương Hiệu'!B184="","",'PR Thương Hiệu'!B184)</f>
        <v/>
      </c>
      <c r="C980" s="52" t="str">
        <f>IF('PR Thương Hiệu'!C184="","",'PR Thương Hiệu'!C184)</f>
        <v/>
      </c>
      <c r="D980" s="52" t="str">
        <f>IF('PR Thương Hiệu'!D184="","",'PR Thương Hiệu'!D184)</f>
        <v/>
      </c>
      <c r="E980" s="52" t="str">
        <f>IF('PR Thương Hiệu'!E184="","",'PR Thương Hiệu'!E184)</f>
        <v/>
      </c>
      <c r="F980" s="52" t="str">
        <f>IF('PR Thương Hiệu'!F184="","",'PR Thương Hiệu'!F184)</f>
        <v/>
      </c>
      <c r="G980" s="52" t="str">
        <f>IF('PR Thương Hiệu'!G184="","",'PR Thương Hiệu'!G184)</f>
        <v/>
      </c>
      <c r="H980" s="52" t="str">
        <f>IF('PR Thương Hiệu'!J184="","",'PR Thương Hiệu'!J184)</f>
        <v/>
      </c>
      <c r="I980" s="52" t="str">
        <f>IF('PR Thương Hiệu'!M184="","",'PR Thương Hiệu'!M184)</f>
        <v/>
      </c>
      <c r="J980" s="52" t="str">
        <f>IF('PR Thương Hiệu'!R184="","",'PR Thương Hiệu'!R184)</f>
        <v/>
      </c>
      <c r="K980" s="52" t="str">
        <f t="array" ref="K980">IF(COUNTA('PR Thương Hiệu'!T184:AE184)=0,"",INDEX('PR Thương Hiệu'!T184:AE184,1,SUMPRODUCT(MAX(('PR Thương Hiệu'!T184:AE184&lt;&gt;"")*(COLUMN('PR Thương Hiệu'!T184:AE184)-COLUMN('PR Thương Hiệu'!T184)+1)))))</f>
        <v/>
      </c>
      <c r="L980" s="52" t="str">
        <f>IF(AND(G980&lt;&gt;"",G980='Tổng hợp'!$C$4),MAX(L$1:L979)+1,"")</f>
        <v/>
      </c>
    </row>
    <row r="981" ht="15.75" customHeight="1">
      <c r="A981" s="52" t="str">
        <f>IF('PR Thương Hiệu'!C185="","","PR Thương Hiệu")</f>
        <v/>
      </c>
      <c r="B981" s="52" t="str">
        <f>IF('PR Thương Hiệu'!B185="","",'PR Thương Hiệu'!B185)</f>
        <v/>
      </c>
      <c r="C981" s="52" t="str">
        <f>IF('PR Thương Hiệu'!C185="","",'PR Thương Hiệu'!C185)</f>
        <v/>
      </c>
      <c r="D981" s="52" t="str">
        <f>IF('PR Thương Hiệu'!D185="","",'PR Thương Hiệu'!D185)</f>
        <v/>
      </c>
      <c r="E981" s="52" t="str">
        <f>IF('PR Thương Hiệu'!E185="","",'PR Thương Hiệu'!E185)</f>
        <v/>
      </c>
      <c r="F981" s="52" t="str">
        <f>IF('PR Thương Hiệu'!F185="","",'PR Thương Hiệu'!F185)</f>
        <v/>
      </c>
      <c r="G981" s="52" t="str">
        <f>IF('PR Thương Hiệu'!G185="","",'PR Thương Hiệu'!G185)</f>
        <v/>
      </c>
      <c r="H981" s="52" t="str">
        <f>IF('PR Thương Hiệu'!J185="","",'PR Thương Hiệu'!J185)</f>
        <v/>
      </c>
      <c r="I981" s="52" t="str">
        <f>IF('PR Thương Hiệu'!M185="","",'PR Thương Hiệu'!M185)</f>
        <v/>
      </c>
      <c r="J981" s="52" t="str">
        <f>IF('PR Thương Hiệu'!R185="","",'PR Thương Hiệu'!R185)</f>
        <v/>
      </c>
      <c r="K981" s="52" t="str">
        <f t="array" ref="K981">IF(COUNTA('PR Thương Hiệu'!T185:AE185)=0,"",INDEX('PR Thương Hiệu'!T185:AE185,1,SUMPRODUCT(MAX(('PR Thương Hiệu'!T185:AE185&lt;&gt;"")*(COLUMN('PR Thương Hiệu'!T185:AE185)-COLUMN('PR Thương Hiệu'!T185)+1)))))</f>
        <v/>
      </c>
      <c r="L981" s="52" t="str">
        <f>IF(AND(G981&lt;&gt;"",G981='Tổng hợp'!$C$4),MAX(L$1:L980)+1,"")</f>
        <v/>
      </c>
    </row>
    <row r="982" ht="15.75" customHeight="1">
      <c r="A982" s="52" t="str">
        <f>IF('PR Thương Hiệu'!C186="","","PR Thương Hiệu")</f>
        <v/>
      </c>
      <c r="B982" s="52" t="str">
        <f>IF('PR Thương Hiệu'!B186="","",'PR Thương Hiệu'!B186)</f>
        <v/>
      </c>
      <c r="C982" s="52" t="str">
        <f>IF('PR Thương Hiệu'!C186="","",'PR Thương Hiệu'!C186)</f>
        <v/>
      </c>
      <c r="D982" s="52" t="str">
        <f>IF('PR Thương Hiệu'!D186="","",'PR Thương Hiệu'!D186)</f>
        <v/>
      </c>
      <c r="E982" s="52" t="str">
        <f>IF('PR Thương Hiệu'!E186="","",'PR Thương Hiệu'!E186)</f>
        <v/>
      </c>
      <c r="F982" s="52" t="str">
        <f>IF('PR Thương Hiệu'!F186="","",'PR Thương Hiệu'!F186)</f>
        <v/>
      </c>
      <c r="G982" s="52" t="str">
        <f>IF('PR Thương Hiệu'!G186="","",'PR Thương Hiệu'!G186)</f>
        <v/>
      </c>
      <c r="H982" s="52" t="str">
        <f>IF('PR Thương Hiệu'!J186="","",'PR Thương Hiệu'!J186)</f>
        <v/>
      </c>
      <c r="I982" s="52" t="str">
        <f>IF('PR Thương Hiệu'!M186="","",'PR Thương Hiệu'!M186)</f>
        <v/>
      </c>
      <c r="J982" s="52" t="str">
        <f>IF('PR Thương Hiệu'!R186="","",'PR Thương Hiệu'!R186)</f>
        <v/>
      </c>
      <c r="K982" s="52" t="str">
        <f t="array" ref="K982">IF(COUNTA('PR Thương Hiệu'!T186:AE186)=0,"",INDEX('PR Thương Hiệu'!T186:AE186,1,SUMPRODUCT(MAX(('PR Thương Hiệu'!T186:AE186&lt;&gt;"")*(COLUMN('PR Thương Hiệu'!T186:AE186)-COLUMN('PR Thương Hiệu'!T186)+1)))))</f>
        <v/>
      </c>
      <c r="L982" s="52" t="str">
        <f>IF(AND(G982&lt;&gt;"",G982='Tổng hợp'!$C$4),MAX(L$1:L981)+1,"")</f>
        <v/>
      </c>
    </row>
    <row r="983" ht="15.75" customHeight="1">
      <c r="A983" s="52" t="str">
        <f>IF('PR Thương Hiệu'!C187="","","PR Thương Hiệu")</f>
        <v/>
      </c>
      <c r="B983" s="52" t="str">
        <f>IF('PR Thương Hiệu'!B187="","",'PR Thương Hiệu'!B187)</f>
        <v/>
      </c>
      <c r="C983" s="52" t="str">
        <f>IF('PR Thương Hiệu'!C187="","",'PR Thương Hiệu'!C187)</f>
        <v/>
      </c>
      <c r="D983" s="52" t="str">
        <f>IF('PR Thương Hiệu'!D187="","",'PR Thương Hiệu'!D187)</f>
        <v/>
      </c>
      <c r="E983" s="52" t="str">
        <f>IF('PR Thương Hiệu'!E187="","",'PR Thương Hiệu'!E187)</f>
        <v/>
      </c>
      <c r="F983" s="52" t="str">
        <f>IF('PR Thương Hiệu'!F187="","",'PR Thương Hiệu'!F187)</f>
        <v/>
      </c>
      <c r="G983" s="52" t="str">
        <f>IF('PR Thương Hiệu'!G187="","",'PR Thương Hiệu'!G187)</f>
        <v/>
      </c>
      <c r="H983" s="52" t="str">
        <f>IF('PR Thương Hiệu'!J187="","",'PR Thương Hiệu'!J187)</f>
        <v/>
      </c>
      <c r="I983" s="52" t="str">
        <f>IF('PR Thương Hiệu'!M187="","",'PR Thương Hiệu'!M187)</f>
        <v/>
      </c>
      <c r="J983" s="52" t="str">
        <f>IF('PR Thương Hiệu'!R187="","",'PR Thương Hiệu'!R187)</f>
        <v/>
      </c>
      <c r="K983" s="52" t="str">
        <f t="array" ref="K983">IF(COUNTA('PR Thương Hiệu'!T187:AE187)=0,"",INDEX('PR Thương Hiệu'!T187:AE187,1,SUMPRODUCT(MAX(('PR Thương Hiệu'!T187:AE187&lt;&gt;"")*(COLUMN('PR Thương Hiệu'!T187:AE187)-COLUMN('PR Thương Hiệu'!T187)+1)))))</f>
        <v/>
      </c>
      <c r="L983" s="52" t="str">
        <f>IF(AND(G983&lt;&gt;"",G983='Tổng hợp'!$C$4),MAX(L$1:L982)+1,"")</f>
        <v/>
      </c>
    </row>
    <row r="984" ht="15.75" customHeight="1">
      <c r="A984" s="52" t="str">
        <f>IF('PR Thương Hiệu'!C188="","","PR Thương Hiệu")</f>
        <v/>
      </c>
      <c r="B984" s="52" t="str">
        <f>IF('PR Thương Hiệu'!B188="","",'PR Thương Hiệu'!B188)</f>
        <v/>
      </c>
      <c r="C984" s="52" t="str">
        <f>IF('PR Thương Hiệu'!C188="","",'PR Thương Hiệu'!C188)</f>
        <v/>
      </c>
      <c r="D984" s="52" t="str">
        <f>IF('PR Thương Hiệu'!D188="","",'PR Thương Hiệu'!D188)</f>
        <v/>
      </c>
      <c r="E984" s="52" t="str">
        <f>IF('PR Thương Hiệu'!E188="","",'PR Thương Hiệu'!E188)</f>
        <v/>
      </c>
      <c r="F984" s="52" t="str">
        <f>IF('PR Thương Hiệu'!F188="","",'PR Thương Hiệu'!F188)</f>
        <v/>
      </c>
      <c r="G984" s="52" t="str">
        <f>IF('PR Thương Hiệu'!G188="","",'PR Thương Hiệu'!G188)</f>
        <v/>
      </c>
      <c r="H984" s="52" t="str">
        <f>IF('PR Thương Hiệu'!J188="","",'PR Thương Hiệu'!J188)</f>
        <v/>
      </c>
      <c r="I984" s="52" t="str">
        <f>IF('PR Thương Hiệu'!M188="","",'PR Thương Hiệu'!M188)</f>
        <v/>
      </c>
      <c r="J984" s="52" t="str">
        <f>IF('PR Thương Hiệu'!R188="","",'PR Thương Hiệu'!R188)</f>
        <v/>
      </c>
      <c r="K984" s="52" t="str">
        <f t="array" ref="K984">IF(COUNTA('PR Thương Hiệu'!T188:AE188)=0,"",INDEX('PR Thương Hiệu'!T188:AE188,1,SUMPRODUCT(MAX(('PR Thương Hiệu'!T188:AE188&lt;&gt;"")*(COLUMN('PR Thương Hiệu'!T188:AE188)-COLUMN('PR Thương Hiệu'!T188)+1)))))</f>
        <v/>
      </c>
      <c r="L984" s="52" t="str">
        <f>IF(AND(G984&lt;&gt;"",G984='Tổng hợp'!$C$4),MAX(L$1:L983)+1,"")</f>
        <v/>
      </c>
    </row>
    <row r="985" ht="15.75" customHeight="1">
      <c r="A985" s="52" t="str">
        <f>IF('PR Thương Hiệu'!C189="","","PR Thương Hiệu")</f>
        <v/>
      </c>
      <c r="B985" s="52" t="str">
        <f>IF('PR Thương Hiệu'!B189="","",'PR Thương Hiệu'!B189)</f>
        <v/>
      </c>
      <c r="C985" s="52" t="str">
        <f>IF('PR Thương Hiệu'!C189="","",'PR Thương Hiệu'!C189)</f>
        <v/>
      </c>
      <c r="D985" s="52" t="str">
        <f>IF('PR Thương Hiệu'!D189="","",'PR Thương Hiệu'!D189)</f>
        <v/>
      </c>
      <c r="E985" s="52" t="str">
        <f>IF('PR Thương Hiệu'!E189="","",'PR Thương Hiệu'!E189)</f>
        <v/>
      </c>
      <c r="F985" s="52" t="str">
        <f>IF('PR Thương Hiệu'!F189="","",'PR Thương Hiệu'!F189)</f>
        <v/>
      </c>
      <c r="G985" s="52" t="str">
        <f>IF('PR Thương Hiệu'!G189="","",'PR Thương Hiệu'!G189)</f>
        <v/>
      </c>
      <c r="H985" s="52" t="str">
        <f>IF('PR Thương Hiệu'!J189="","",'PR Thương Hiệu'!J189)</f>
        <v/>
      </c>
      <c r="I985" s="52" t="str">
        <f>IF('PR Thương Hiệu'!M189="","",'PR Thương Hiệu'!M189)</f>
        <v/>
      </c>
      <c r="J985" s="52" t="str">
        <f>IF('PR Thương Hiệu'!R189="","",'PR Thương Hiệu'!R189)</f>
        <v/>
      </c>
      <c r="K985" s="52" t="str">
        <f t="array" ref="K985">IF(COUNTA('PR Thương Hiệu'!T189:AE189)=0,"",INDEX('PR Thương Hiệu'!T189:AE189,1,SUMPRODUCT(MAX(('PR Thương Hiệu'!T189:AE189&lt;&gt;"")*(COLUMN('PR Thương Hiệu'!T189:AE189)-COLUMN('PR Thương Hiệu'!T189)+1)))))</f>
        <v/>
      </c>
      <c r="L985" s="52" t="str">
        <f>IF(AND(G985&lt;&gt;"",G985='Tổng hợp'!$C$4),MAX(L$1:L984)+1,"")</f>
        <v/>
      </c>
    </row>
    <row r="986" ht="15.75" customHeight="1">
      <c r="A986" s="52" t="str">
        <f>IF('PR Thương Hiệu'!C190="","","PR Thương Hiệu")</f>
        <v/>
      </c>
      <c r="B986" s="52" t="str">
        <f>IF('PR Thương Hiệu'!B190="","",'PR Thương Hiệu'!B190)</f>
        <v/>
      </c>
      <c r="C986" s="52" t="str">
        <f>IF('PR Thương Hiệu'!C190="","",'PR Thương Hiệu'!C190)</f>
        <v/>
      </c>
      <c r="D986" s="52" t="str">
        <f>IF('PR Thương Hiệu'!D190="","",'PR Thương Hiệu'!D190)</f>
        <v/>
      </c>
      <c r="E986" s="52" t="str">
        <f>IF('PR Thương Hiệu'!E190="","",'PR Thương Hiệu'!E190)</f>
        <v/>
      </c>
      <c r="F986" s="52" t="str">
        <f>IF('PR Thương Hiệu'!F190="","",'PR Thương Hiệu'!F190)</f>
        <v/>
      </c>
      <c r="G986" s="52" t="str">
        <f>IF('PR Thương Hiệu'!G190="","",'PR Thương Hiệu'!G190)</f>
        <v/>
      </c>
      <c r="H986" s="52" t="str">
        <f>IF('PR Thương Hiệu'!J190="","",'PR Thương Hiệu'!J190)</f>
        <v/>
      </c>
      <c r="I986" s="52" t="str">
        <f>IF('PR Thương Hiệu'!M190="","",'PR Thương Hiệu'!M190)</f>
        <v/>
      </c>
      <c r="J986" s="52" t="str">
        <f>IF('PR Thương Hiệu'!R190="","",'PR Thương Hiệu'!R190)</f>
        <v/>
      </c>
      <c r="K986" s="52" t="str">
        <f t="array" ref="K986">IF(COUNTA('PR Thương Hiệu'!T190:AE190)=0,"",INDEX('PR Thương Hiệu'!T190:AE190,1,SUMPRODUCT(MAX(('PR Thương Hiệu'!T190:AE190&lt;&gt;"")*(COLUMN('PR Thương Hiệu'!T190:AE190)-COLUMN('PR Thương Hiệu'!T190)+1)))))</f>
        <v/>
      </c>
      <c r="L986" s="52" t="str">
        <f>IF(AND(G986&lt;&gt;"",G986='Tổng hợp'!$C$4),MAX(L$1:L985)+1,"")</f>
        <v/>
      </c>
    </row>
    <row r="987" ht="15.75" customHeight="1">
      <c r="A987" s="52" t="str">
        <f>IF('PR Thương Hiệu'!C191="","","PR Thương Hiệu")</f>
        <v/>
      </c>
      <c r="B987" s="52" t="str">
        <f>IF('PR Thương Hiệu'!B191="","",'PR Thương Hiệu'!B191)</f>
        <v/>
      </c>
      <c r="C987" s="52" t="str">
        <f>IF('PR Thương Hiệu'!C191="","",'PR Thương Hiệu'!C191)</f>
        <v/>
      </c>
      <c r="D987" s="52" t="str">
        <f>IF('PR Thương Hiệu'!D191="","",'PR Thương Hiệu'!D191)</f>
        <v/>
      </c>
      <c r="E987" s="52" t="str">
        <f>IF('PR Thương Hiệu'!E191="","",'PR Thương Hiệu'!E191)</f>
        <v/>
      </c>
      <c r="F987" s="52" t="str">
        <f>IF('PR Thương Hiệu'!F191="","",'PR Thương Hiệu'!F191)</f>
        <v/>
      </c>
      <c r="G987" s="52" t="str">
        <f>IF('PR Thương Hiệu'!G191="","",'PR Thương Hiệu'!G191)</f>
        <v/>
      </c>
      <c r="H987" s="52" t="str">
        <f>IF('PR Thương Hiệu'!J191="","",'PR Thương Hiệu'!J191)</f>
        <v/>
      </c>
      <c r="I987" s="52" t="str">
        <f>IF('PR Thương Hiệu'!M191="","",'PR Thương Hiệu'!M191)</f>
        <v/>
      </c>
      <c r="J987" s="52" t="str">
        <f>IF('PR Thương Hiệu'!R191="","",'PR Thương Hiệu'!R191)</f>
        <v/>
      </c>
      <c r="K987" s="52" t="str">
        <f t="array" ref="K987">IF(COUNTA('PR Thương Hiệu'!T191:AE191)=0,"",INDEX('PR Thương Hiệu'!T191:AE191,1,SUMPRODUCT(MAX(('PR Thương Hiệu'!T191:AE191&lt;&gt;"")*(COLUMN('PR Thương Hiệu'!T191:AE191)-COLUMN('PR Thương Hiệu'!T191)+1)))))</f>
        <v/>
      </c>
      <c r="L987" s="52" t="str">
        <f>IF(AND(G987&lt;&gt;"",G987='Tổng hợp'!$C$4),MAX(L$1:L986)+1,"")</f>
        <v/>
      </c>
    </row>
    <row r="988" ht="15.75" customHeight="1">
      <c r="A988" s="52" t="str">
        <f>IF('PR Thương Hiệu'!C192="","","PR Thương Hiệu")</f>
        <v/>
      </c>
      <c r="B988" s="52" t="str">
        <f>IF('PR Thương Hiệu'!B192="","",'PR Thương Hiệu'!B192)</f>
        <v/>
      </c>
      <c r="C988" s="52" t="str">
        <f>IF('PR Thương Hiệu'!C192="","",'PR Thương Hiệu'!C192)</f>
        <v/>
      </c>
      <c r="D988" s="52" t="str">
        <f>IF('PR Thương Hiệu'!D192="","",'PR Thương Hiệu'!D192)</f>
        <v/>
      </c>
      <c r="E988" s="52" t="str">
        <f>IF('PR Thương Hiệu'!E192="","",'PR Thương Hiệu'!E192)</f>
        <v/>
      </c>
      <c r="F988" s="52" t="str">
        <f>IF('PR Thương Hiệu'!F192="","",'PR Thương Hiệu'!F192)</f>
        <v/>
      </c>
      <c r="G988" s="52" t="str">
        <f>IF('PR Thương Hiệu'!G192="","",'PR Thương Hiệu'!G192)</f>
        <v/>
      </c>
      <c r="H988" s="52" t="str">
        <f>IF('PR Thương Hiệu'!J192="","",'PR Thương Hiệu'!J192)</f>
        <v/>
      </c>
      <c r="I988" s="52" t="str">
        <f>IF('PR Thương Hiệu'!M192="","",'PR Thương Hiệu'!M192)</f>
        <v/>
      </c>
      <c r="J988" s="52" t="str">
        <f>IF('PR Thương Hiệu'!R192="","",'PR Thương Hiệu'!R192)</f>
        <v/>
      </c>
      <c r="K988" s="52" t="str">
        <f t="array" ref="K988">IF(COUNTA('PR Thương Hiệu'!T192:AE192)=0,"",INDEX('PR Thương Hiệu'!T192:AE192,1,SUMPRODUCT(MAX(('PR Thương Hiệu'!T192:AE192&lt;&gt;"")*(COLUMN('PR Thương Hiệu'!T192:AE192)-COLUMN('PR Thương Hiệu'!T192)+1)))))</f>
        <v/>
      </c>
      <c r="L988" s="52" t="str">
        <f>IF(AND(G988&lt;&gt;"",G988='Tổng hợp'!$C$4),MAX(L$1:L987)+1,"")</f>
        <v/>
      </c>
    </row>
    <row r="989" ht="15.75" customHeight="1">
      <c r="A989" s="52" t="str">
        <f>IF('PR Thương Hiệu'!C193="","","PR Thương Hiệu")</f>
        <v/>
      </c>
      <c r="B989" s="52" t="str">
        <f>IF('PR Thương Hiệu'!B193="","",'PR Thương Hiệu'!B193)</f>
        <v/>
      </c>
      <c r="C989" s="52" t="str">
        <f>IF('PR Thương Hiệu'!C193="","",'PR Thương Hiệu'!C193)</f>
        <v/>
      </c>
      <c r="D989" s="52" t="str">
        <f>IF('PR Thương Hiệu'!D193="","",'PR Thương Hiệu'!D193)</f>
        <v/>
      </c>
      <c r="E989" s="52" t="str">
        <f>IF('PR Thương Hiệu'!E193="","",'PR Thương Hiệu'!E193)</f>
        <v/>
      </c>
      <c r="F989" s="52" t="str">
        <f>IF('PR Thương Hiệu'!F193="","",'PR Thương Hiệu'!F193)</f>
        <v/>
      </c>
      <c r="G989" s="52" t="str">
        <f>IF('PR Thương Hiệu'!G193="","",'PR Thương Hiệu'!G193)</f>
        <v/>
      </c>
      <c r="H989" s="52" t="str">
        <f>IF('PR Thương Hiệu'!J193="","",'PR Thương Hiệu'!J193)</f>
        <v/>
      </c>
      <c r="I989" s="52" t="str">
        <f>IF('PR Thương Hiệu'!M193="","",'PR Thương Hiệu'!M193)</f>
        <v/>
      </c>
      <c r="J989" s="52" t="str">
        <f>IF('PR Thương Hiệu'!R193="","",'PR Thương Hiệu'!R193)</f>
        <v/>
      </c>
      <c r="K989" s="52" t="str">
        <f t="array" ref="K989">IF(COUNTA('PR Thương Hiệu'!T193:AE193)=0,"",INDEX('PR Thương Hiệu'!T193:AE193,1,SUMPRODUCT(MAX(('PR Thương Hiệu'!T193:AE193&lt;&gt;"")*(COLUMN('PR Thương Hiệu'!T193:AE193)-COLUMN('PR Thương Hiệu'!T193)+1)))))</f>
        <v/>
      </c>
      <c r="L989" s="52" t="str">
        <f>IF(AND(G989&lt;&gt;"",G989='Tổng hợp'!$C$4),MAX(L$1:L988)+1,"")</f>
        <v/>
      </c>
    </row>
    <row r="990" ht="15.75" customHeight="1">
      <c r="A990" s="52" t="str">
        <f>IF('PR Thương Hiệu'!C194="","","PR Thương Hiệu")</f>
        <v/>
      </c>
      <c r="B990" s="52" t="str">
        <f>IF('PR Thương Hiệu'!B194="","",'PR Thương Hiệu'!B194)</f>
        <v/>
      </c>
      <c r="C990" s="52" t="str">
        <f>IF('PR Thương Hiệu'!C194="","",'PR Thương Hiệu'!C194)</f>
        <v/>
      </c>
      <c r="D990" s="52" t="str">
        <f>IF('PR Thương Hiệu'!D194="","",'PR Thương Hiệu'!D194)</f>
        <v/>
      </c>
      <c r="E990" s="52" t="str">
        <f>IF('PR Thương Hiệu'!E194="","",'PR Thương Hiệu'!E194)</f>
        <v/>
      </c>
      <c r="F990" s="52" t="str">
        <f>IF('PR Thương Hiệu'!F194="","",'PR Thương Hiệu'!F194)</f>
        <v/>
      </c>
      <c r="G990" s="52" t="str">
        <f>IF('PR Thương Hiệu'!G194="","",'PR Thương Hiệu'!G194)</f>
        <v/>
      </c>
      <c r="H990" s="52" t="str">
        <f>IF('PR Thương Hiệu'!J194="","",'PR Thương Hiệu'!J194)</f>
        <v/>
      </c>
      <c r="I990" s="52" t="str">
        <f>IF('PR Thương Hiệu'!M194="","",'PR Thương Hiệu'!M194)</f>
        <v/>
      </c>
      <c r="J990" s="52" t="str">
        <f>IF('PR Thương Hiệu'!R194="","",'PR Thương Hiệu'!R194)</f>
        <v/>
      </c>
      <c r="K990" s="52" t="str">
        <f t="array" ref="K990">IF(COUNTA('PR Thương Hiệu'!T194:AE194)=0,"",INDEX('PR Thương Hiệu'!T194:AE194,1,SUMPRODUCT(MAX(('PR Thương Hiệu'!T194:AE194&lt;&gt;"")*(COLUMN('PR Thương Hiệu'!T194:AE194)-COLUMN('PR Thương Hiệu'!T194)+1)))))</f>
        <v/>
      </c>
      <c r="L990" s="52" t="str">
        <f>IF(AND(G990&lt;&gt;"",G990='Tổng hợp'!$C$4),MAX(L$1:L989)+1,"")</f>
        <v/>
      </c>
    </row>
    <row r="991" ht="15.75" customHeight="1">
      <c r="A991" s="52" t="str">
        <f>IF('PR Thương Hiệu'!C195="","","PR Thương Hiệu")</f>
        <v/>
      </c>
      <c r="B991" s="52" t="str">
        <f>IF('PR Thương Hiệu'!B195="","",'PR Thương Hiệu'!B195)</f>
        <v/>
      </c>
      <c r="C991" s="52" t="str">
        <f>IF('PR Thương Hiệu'!C195="","",'PR Thương Hiệu'!C195)</f>
        <v/>
      </c>
      <c r="D991" s="52" t="str">
        <f>IF('PR Thương Hiệu'!D195="","",'PR Thương Hiệu'!D195)</f>
        <v/>
      </c>
      <c r="E991" s="52" t="str">
        <f>IF('PR Thương Hiệu'!E195="","",'PR Thương Hiệu'!E195)</f>
        <v/>
      </c>
      <c r="F991" s="52" t="str">
        <f>IF('PR Thương Hiệu'!F195="","",'PR Thương Hiệu'!F195)</f>
        <v/>
      </c>
      <c r="G991" s="52" t="str">
        <f>IF('PR Thương Hiệu'!G195="","",'PR Thương Hiệu'!G195)</f>
        <v/>
      </c>
      <c r="H991" s="52" t="str">
        <f>IF('PR Thương Hiệu'!J195="","",'PR Thương Hiệu'!J195)</f>
        <v/>
      </c>
      <c r="I991" s="52" t="str">
        <f>IF('PR Thương Hiệu'!M195="","",'PR Thương Hiệu'!M195)</f>
        <v/>
      </c>
      <c r="J991" s="52" t="str">
        <f>IF('PR Thương Hiệu'!R195="","",'PR Thương Hiệu'!R195)</f>
        <v/>
      </c>
      <c r="K991" s="52" t="str">
        <f t="array" ref="K991">IF(COUNTA('PR Thương Hiệu'!T195:AE195)=0,"",INDEX('PR Thương Hiệu'!T195:AE195,1,SUMPRODUCT(MAX(('PR Thương Hiệu'!T195:AE195&lt;&gt;"")*(COLUMN('PR Thương Hiệu'!T195:AE195)-COLUMN('PR Thương Hiệu'!T195)+1)))))</f>
        <v/>
      </c>
      <c r="L991" s="52" t="str">
        <f>IF(AND(G991&lt;&gt;"",G991='Tổng hợp'!$C$4),MAX(L$1:L990)+1,"")</f>
        <v/>
      </c>
    </row>
    <row r="992" ht="15.75" customHeight="1">
      <c r="A992" s="52" t="str">
        <f>IF('PR Thương Hiệu'!C196="","","PR Thương Hiệu")</f>
        <v/>
      </c>
      <c r="B992" s="52" t="str">
        <f>IF('PR Thương Hiệu'!B196="","",'PR Thương Hiệu'!B196)</f>
        <v/>
      </c>
      <c r="C992" s="52" t="str">
        <f>IF('PR Thương Hiệu'!C196="","",'PR Thương Hiệu'!C196)</f>
        <v/>
      </c>
      <c r="D992" s="52" t="str">
        <f>IF('PR Thương Hiệu'!D196="","",'PR Thương Hiệu'!D196)</f>
        <v/>
      </c>
      <c r="E992" s="52" t="str">
        <f>IF('PR Thương Hiệu'!E196="","",'PR Thương Hiệu'!E196)</f>
        <v/>
      </c>
      <c r="F992" s="52" t="str">
        <f>IF('PR Thương Hiệu'!F196="","",'PR Thương Hiệu'!F196)</f>
        <v/>
      </c>
      <c r="G992" s="52" t="str">
        <f>IF('PR Thương Hiệu'!G196="","",'PR Thương Hiệu'!G196)</f>
        <v/>
      </c>
      <c r="H992" s="52" t="str">
        <f>IF('PR Thương Hiệu'!J196="","",'PR Thương Hiệu'!J196)</f>
        <v/>
      </c>
      <c r="I992" s="52" t="str">
        <f>IF('PR Thương Hiệu'!M196="","",'PR Thương Hiệu'!M196)</f>
        <v/>
      </c>
      <c r="J992" s="52" t="str">
        <f>IF('PR Thương Hiệu'!R196="","",'PR Thương Hiệu'!R196)</f>
        <v/>
      </c>
      <c r="K992" s="52" t="str">
        <f t="array" ref="K992">IF(COUNTA('PR Thương Hiệu'!T196:AE196)=0,"",INDEX('PR Thương Hiệu'!T196:AE196,1,SUMPRODUCT(MAX(('PR Thương Hiệu'!T196:AE196&lt;&gt;"")*(COLUMN('PR Thương Hiệu'!T196:AE196)-COLUMN('PR Thương Hiệu'!T196)+1)))))</f>
        <v/>
      </c>
      <c r="L992" s="52" t="str">
        <f>IF(AND(G992&lt;&gt;"",G992='Tổng hợp'!$C$4),MAX(L$1:L991)+1,"")</f>
        <v/>
      </c>
    </row>
    <row r="993" ht="15.75" customHeight="1">
      <c r="A993" s="52" t="str">
        <f>IF('PR Thương Hiệu'!C197="","","PR Thương Hiệu")</f>
        <v/>
      </c>
      <c r="B993" s="52" t="str">
        <f>IF('PR Thương Hiệu'!B197="","",'PR Thương Hiệu'!B197)</f>
        <v/>
      </c>
      <c r="C993" s="52" t="str">
        <f>IF('PR Thương Hiệu'!C197="","",'PR Thương Hiệu'!C197)</f>
        <v/>
      </c>
      <c r="D993" s="52" t="str">
        <f>IF('PR Thương Hiệu'!D197="","",'PR Thương Hiệu'!D197)</f>
        <v/>
      </c>
      <c r="E993" s="52" t="str">
        <f>IF('PR Thương Hiệu'!E197="","",'PR Thương Hiệu'!E197)</f>
        <v/>
      </c>
      <c r="F993" s="52" t="str">
        <f>IF('PR Thương Hiệu'!F197="","",'PR Thương Hiệu'!F197)</f>
        <v/>
      </c>
      <c r="G993" s="52" t="str">
        <f>IF('PR Thương Hiệu'!G197="","",'PR Thương Hiệu'!G197)</f>
        <v/>
      </c>
      <c r="H993" s="52" t="str">
        <f>IF('PR Thương Hiệu'!J197="","",'PR Thương Hiệu'!J197)</f>
        <v/>
      </c>
      <c r="I993" s="52" t="str">
        <f>IF('PR Thương Hiệu'!M197="","",'PR Thương Hiệu'!M197)</f>
        <v/>
      </c>
      <c r="J993" s="52" t="str">
        <f>IF('PR Thương Hiệu'!R197="","",'PR Thương Hiệu'!R197)</f>
        <v/>
      </c>
      <c r="K993" s="52" t="str">
        <f t="array" ref="K993">IF(COUNTA('PR Thương Hiệu'!T197:AE197)=0,"",INDEX('PR Thương Hiệu'!T197:AE197,1,SUMPRODUCT(MAX(('PR Thương Hiệu'!T197:AE197&lt;&gt;"")*(COLUMN('PR Thương Hiệu'!T197:AE197)-COLUMN('PR Thương Hiệu'!T197)+1)))))</f>
        <v/>
      </c>
      <c r="L993" s="52" t="str">
        <f>IF(AND(G993&lt;&gt;"",G993='Tổng hợp'!$C$4),MAX(L$1:L992)+1,"")</f>
        <v/>
      </c>
    </row>
    <row r="994" ht="15.75" customHeight="1">
      <c r="A994" s="52" t="str">
        <f>IF('PR Thương Hiệu'!C198="","","PR Thương Hiệu")</f>
        <v/>
      </c>
      <c r="B994" s="52" t="str">
        <f>IF('PR Thương Hiệu'!B198="","",'PR Thương Hiệu'!B198)</f>
        <v/>
      </c>
      <c r="C994" s="52" t="str">
        <f>IF('PR Thương Hiệu'!C198="","",'PR Thương Hiệu'!C198)</f>
        <v/>
      </c>
      <c r="D994" s="52" t="str">
        <f>IF('PR Thương Hiệu'!D198="","",'PR Thương Hiệu'!D198)</f>
        <v/>
      </c>
      <c r="E994" s="52" t="str">
        <f>IF('PR Thương Hiệu'!E198="","",'PR Thương Hiệu'!E198)</f>
        <v/>
      </c>
      <c r="F994" s="52" t="str">
        <f>IF('PR Thương Hiệu'!F198="","",'PR Thương Hiệu'!F198)</f>
        <v/>
      </c>
      <c r="G994" s="52" t="str">
        <f>IF('PR Thương Hiệu'!G198="","",'PR Thương Hiệu'!G198)</f>
        <v/>
      </c>
      <c r="H994" s="52" t="str">
        <f>IF('PR Thương Hiệu'!J198="","",'PR Thương Hiệu'!J198)</f>
        <v/>
      </c>
      <c r="I994" s="52" t="str">
        <f>IF('PR Thương Hiệu'!M198="","",'PR Thương Hiệu'!M198)</f>
        <v/>
      </c>
      <c r="J994" s="52" t="str">
        <f>IF('PR Thương Hiệu'!R198="","",'PR Thương Hiệu'!R198)</f>
        <v/>
      </c>
      <c r="K994" s="52" t="str">
        <f t="array" ref="K994">IF(COUNTA('PR Thương Hiệu'!T198:AE198)=0,"",INDEX('PR Thương Hiệu'!T198:AE198,1,SUMPRODUCT(MAX(('PR Thương Hiệu'!T198:AE198&lt;&gt;"")*(COLUMN('PR Thương Hiệu'!T198:AE198)-COLUMN('PR Thương Hiệu'!T198)+1)))))</f>
        <v/>
      </c>
      <c r="L994" s="52" t="str">
        <f>IF(AND(G994&lt;&gt;"",G994='Tổng hợp'!$C$4),MAX(L$1:L993)+1,"")</f>
        <v/>
      </c>
    </row>
    <row r="995" ht="15.75" customHeight="1">
      <c r="A995" s="52" t="str">
        <f>IF('PR Thương Hiệu'!C199="","","PR Thương Hiệu")</f>
        <v/>
      </c>
      <c r="B995" s="52" t="str">
        <f>IF('PR Thương Hiệu'!B199="","",'PR Thương Hiệu'!B199)</f>
        <v/>
      </c>
      <c r="C995" s="52" t="str">
        <f>IF('PR Thương Hiệu'!C199="","",'PR Thương Hiệu'!C199)</f>
        <v/>
      </c>
      <c r="D995" s="52" t="str">
        <f>IF('PR Thương Hiệu'!D199="","",'PR Thương Hiệu'!D199)</f>
        <v/>
      </c>
      <c r="E995" s="52" t="str">
        <f>IF('PR Thương Hiệu'!E199="","",'PR Thương Hiệu'!E199)</f>
        <v/>
      </c>
      <c r="F995" s="52" t="str">
        <f>IF('PR Thương Hiệu'!F199="","",'PR Thương Hiệu'!F199)</f>
        <v/>
      </c>
      <c r="G995" s="52" t="str">
        <f>IF('PR Thương Hiệu'!G199="","",'PR Thương Hiệu'!G199)</f>
        <v/>
      </c>
      <c r="H995" s="52" t="str">
        <f>IF('PR Thương Hiệu'!J199="","",'PR Thương Hiệu'!J199)</f>
        <v/>
      </c>
      <c r="I995" s="52" t="str">
        <f>IF('PR Thương Hiệu'!M199="","",'PR Thương Hiệu'!M199)</f>
        <v/>
      </c>
      <c r="J995" s="52" t="str">
        <f>IF('PR Thương Hiệu'!R199="","",'PR Thương Hiệu'!R199)</f>
        <v/>
      </c>
      <c r="K995" s="52" t="str">
        <f t="array" ref="K995">IF(COUNTA('PR Thương Hiệu'!T199:AE199)=0,"",INDEX('PR Thương Hiệu'!T199:AE199,1,SUMPRODUCT(MAX(('PR Thương Hiệu'!T199:AE199&lt;&gt;"")*(COLUMN('PR Thương Hiệu'!T199:AE199)-COLUMN('PR Thương Hiệu'!T199)+1)))))</f>
        <v/>
      </c>
      <c r="L995" s="52" t="str">
        <f>IF(AND(G995&lt;&gt;"",G995='Tổng hợp'!$C$4),MAX(L$1:L994)+1,"")</f>
        <v/>
      </c>
    </row>
    <row r="996" ht="15.75" customHeight="1">
      <c r="A996" s="52" t="str">
        <f>IF('PR Thương Hiệu'!C200="","","PR Thương Hiệu")</f>
        <v/>
      </c>
      <c r="B996" s="52" t="str">
        <f>IF('PR Thương Hiệu'!B200="","",'PR Thương Hiệu'!B200)</f>
        <v/>
      </c>
      <c r="C996" s="52" t="str">
        <f>IF('PR Thương Hiệu'!C200="","",'PR Thương Hiệu'!C200)</f>
        <v/>
      </c>
      <c r="D996" s="52" t="str">
        <f>IF('PR Thương Hiệu'!D200="","",'PR Thương Hiệu'!D200)</f>
        <v/>
      </c>
      <c r="E996" s="52" t="str">
        <f>IF('PR Thương Hiệu'!E200="","",'PR Thương Hiệu'!E200)</f>
        <v/>
      </c>
      <c r="F996" s="52" t="str">
        <f>IF('PR Thương Hiệu'!F200="","",'PR Thương Hiệu'!F200)</f>
        <v/>
      </c>
      <c r="G996" s="52" t="str">
        <f>IF('PR Thương Hiệu'!G200="","",'PR Thương Hiệu'!G200)</f>
        <v/>
      </c>
      <c r="H996" s="52" t="str">
        <f>IF('PR Thương Hiệu'!J200="","",'PR Thương Hiệu'!J200)</f>
        <v/>
      </c>
      <c r="I996" s="52" t="str">
        <f>IF('PR Thương Hiệu'!M200="","",'PR Thương Hiệu'!M200)</f>
        <v/>
      </c>
      <c r="J996" s="52" t="str">
        <f>IF('PR Thương Hiệu'!R200="","",'PR Thương Hiệu'!R200)</f>
        <v/>
      </c>
      <c r="K996" s="52" t="str">
        <f t="array" ref="K996">IF(COUNTA('PR Thương Hiệu'!T200:AE200)=0,"",INDEX('PR Thương Hiệu'!T200:AE200,1,SUMPRODUCT(MAX(('PR Thương Hiệu'!T200:AE200&lt;&gt;"")*(COLUMN('PR Thương Hiệu'!T200:AE200)-COLUMN('PR Thương Hiệu'!T200)+1)))))</f>
        <v/>
      </c>
      <c r="L996" s="52" t="str">
        <f>IF(AND(G996&lt;&gt;"",G996='Tổng hợp'!$C$4),MAX(L$1:L995)+1,"")</f>
        <v/>
      </c>
    </row>
    <row r="997" ht="15.75" customHeight="1">
      <c r="A997" s="52" t="str">
        <f>IF('PR Thương Hiệu'!C201="","","PR Thương Hiệu")</f>
        <v/>
      </c>
      <c r="B997" s="52" t="str">
        <f>IF('PR Thương Hiệu'!B201="","",'PR Thương Hiệu'!B201)</f>
        <v/>
      </c>
      <c r="C997" s="52" t="str">
        <f>IF('PR Thương Hiệu'!C201="","",'PR Thương Hiệu'!C201)</f>
        <v/>
      </c>
      <c r="D997" s="52" t="str">
        <f>IF('PR Thương Hiệu'!D201="","",'PR Thương Hiệu'!D201)</f>
        <v/>
      </c>
      <c r="E997" s="52" t="str">
        <f>IF('PR Thương Hiệu'!E201="","",'PR Thương Hiệu'!E201)</f>
        <v/>
      </c>
      <c r="F997" s="52" t="str">
        <f>IF('PR Thương Hiệu'!F201="","",'PR Thương Hiệu'!F201)</f>
        <v/>
      </c>
      <c r="G997" s="52" t="str">
        <f>IF('PR Thương Hiệu'!G201="","",'PR Thương Hiệu'!G201)</f>
        <v/>
      </c>
      <c r="H997" s="52" t="str">
        <f>IF('PR Thương Hiệu'!J201="","",'PR Thương Hiệu'!J201)</f>
        <v/>
      </c>
      <c r="I997" s="52" t="str">
        <f>IF('PR Thương Hiệu'!M201="","",'PR Thương Hiệu'!M201)</f>
        <v/>
      </c>
      <c r="J997" s="52" t="str">
        <f>IF('PR Thương Hiệu'!R201="","",'PR Thương Hiệu'!R201)</f>
        <v/>
      </c>
      <c r="K997" s="52" t="str">
        <f t="array" ref="K997">IF(COUNTA('PR Thương Hiệu'!T201:AE201)=0,"",INDEX('PR Thương Hiệu'!T201:AE201,1,SUMPRODUCT(MAX(('PR Thương Hiệu'!T201:AE201&lt;&gt;"")*(COLUMN('PR Thương Hiệu'!T201:AE201)-COLUMN('PR Thương Hiệu'!T201)+1)))))</f>
        <v/>
      </c>
      <c r="L997" s="52" t="str">
        <f>IF(AND(G997&lt;&gt;"",G997='Tổng hợp'!$C$4),MAX(L$1:L996)+1,"")</f>
        <v/>
      </c>
    </row>
    <row r="998" ht="15.75" customHeight="1">
      <c r="A998" s="52" t="str">
        <f>IF('PR Thương Hiệu'!C202="","","PR Thương Hiệu")</f>
        <v/>
      </c>
      <c r="B998" s="52" t="str">
        <f>IF('PR Thương Hiệu'!B202="","",'PR Thương Hiệu'!B202)</f>
        <v/>
      </c>
      <c r="C998" s="52" t="str">
        <f>IF('PR Thương Hiệu'!C202="","",'PR Thương Hiệu'!C202)</f>
        <v/>
      </c>
      <c r="D998" s="52" t="str">
        <f>IF('PR Thương Hiệu'!D202="","",'PR Thương Hiệu'!D202)</f>
        <v/>
      </c>
      <c r="E998" s="52" t="str">
        <f>IF('PR Thương Hiệu'!E202="","",'PR Thương Hiệu'!E202)</f>
        <v/>
      </c>
      <c r="F998" s="52" t="str">
        <f>IF('PR Thương Hiệu'!F202="","",'PR Thương Hiệu'!F202)</f>
        <v/>
      </c>
      <c r="G998" s="52" t="str">
        <f>IF('PR Thương Hiệu'!G202="","",'PR Thương Hiệu'!G202)</f>
        <v/>
      </c>
      <c r="H998" s="52" t="str">
        <f>IF('PR Thương Hiệu'!J202="","",'PR Thương Hiệu'!J202)</f>
        <v/>
      </c>
      <c r="I998" s="52" t="str">
        <f>IF('PR Thương Hiệu'!M202="","",'PR Thương Hiệu'!M202)</f>
        <v/>
      </c>
      <c r="J998" s="52" t="str">
        <f>IF('PR Thương Hiệu'!R202="","",'PR Thương Hiệu'!R202)</f>
        <v/>
      </c>
      <c r="K998" s="52" t="str">
        <f t="array" ref="K998">IF(COUNTA('PR Thương Hiệu'!T202:AE202)=0,"",INDEX('PR Thương Hiệu'!T202:AE202,1,SUMPRODUCT(MAX(('PR Thương Hiệu'!T202:AE202&lt;&gt;"")*(COLUMN('PR Thương Hiệu'!T202:AE202)-COLUMN('PR Thương Hiệu'!T202)+1)))))</f>
        <v/>
      </c>
      <c r="L998" s="52" t="str">
        <f>IF(AND(G998&lt;&gt;"",G998='Tổng hợp'!$C$4),MAX(L$1:L997)+1,"")</f>
        <v/>
      </c>
    </row>
    <row r="999" ht="15.75" customHeight="1">
      <c r="A999" s="52" t="str">
        <f>IF('PR Thương Hiệu'!C203="","","PR Thương Hiệu")</f>
        <v/>
      </c>
      <c r="B999" s="52" t="str">
        <f>IF('PR Thương Hiệu'!B203="","",'PR Thương Hiệu'!B203)</f>
        <v/>
      </c>
      <c r="C999" s="52" t="str">
        <f>IF('PR Thương Hiệu'!C203="","",'PR Thương Hiệu'!C203)</f>
        <v/>
      </c>
      <c r="D999" s="52" t="str">
        <f>IF('PR Thương Hiệu'!D203="","",'PR Thương Hiệu'!D203)</f>
        <v/>
      </c>
      <c r="E999" s="52" t="str">
        <f>IF('PR Thương Hiệu'!E203="","",'PR Thương Hiệu'!E203)</f>
        <v/>
      </c>
      <c r="F999" s="52" t="str">
        <f>IF('PR Thương Hiệu'!F203="","",'PR Thương Hiệu'!F203)</f>
        <v/>
      </c>
      <c r="G999" s="52" t="str">
        <f>IF('PR Thương Hiệu'!G203="","",'PR Thương Hiệu'!G203)</f>
        <v/>
      </c>
      <c r="H999" s="52" t="str">
        <f>IF('PR Thương Hiệu'!J203="","",'PR Thương Hiệu'!J203)</f>
        <v/>
      </c>
      <c r="I999" s="52" t="str">
        <f>IF('PR Thương Hiệu'!M203="","",'PR Thương Hiệu'!M203)</f>
        <v/>
      </c>
      <c r="J999" s="52" t="str">
        <f>IF('PR Thương Hiệu'!R203="","",'PR Thương Hiệu'!R203)</f>
        <v/>
      </c>
      <c r="K999" s="52" t="str">
        <f t="array" ref="K999">IF(COUNTA('PR Thương Hiệu'!T203:AE203)=0,"",INDEX('PR Thương Hiệu'!T203:AE203,1,SUMPRODUCT(MAX(('PR Thương Hiệu'!T203:AE203&lt;&gt;"")*(COLUMN('PR Thương Hiệu'!T203:AE203)-COLUMN('PR Thương Hiệu'!T203)+1)))))</f>
        <v/>
      </c>
      <c r="L999" s="52" t="str">
        <f>IF(AND(G999&lt;&gt;"",G999='Tổng hợp'!$C$4),MAX(L$1:L998)+1,"")</f>
        <v/>
      </c>
    </row>
    <row r="1000" ht="15.75" customHeight="1">
      <c r="A1000" s="52" t="str">
        <f>IF('PR Thương Hiệu'!C204="","","PR Thương Hiệu")</f>
        <v/>
      </c>
      <c r="B1000" s="52" t="str">
        <f>IF('PR Thương Hiệu'!B204="","",'PR Thương Hiệu'!B204)</f>
        <v/>
      </c>
      <c r="C1000" s="52" t="str">
        <f>IF('PR Thương Hiệu'!C204="","",'PR Thương Hiệu'!C204)</f>
        <v/>
      </c>
      <c r="D1000" s="52" t="str">
        <f>IF('PR Thương Hiệu'!D204="","",'PR Thương Hiệu'!D204)</f>
        <v/>
      </c>
      <c r="E1000" s="52" t="str">
        <f>IF('PR Thương Hiệu'!E204="","",'PR Thương Hiệu'!E204)</f>
        <v/>
      </c>
      <c r="F1000" s="52" t="str">
        <f>IF('PR Thương Hiệu'!F204="","",'PR Thương Hiệu'!F204)</f>
        <v/>
      </c>
      <c r="G1000" s="52" t="str">
        <f>IF('PR Thương Hiệu'!G204="","",'PR Thương Hiệu'!G204)</f>
        <v/>
      </c>
      <c r="H1000" s="52" t="str">
        <f>IF('PR Thương Hiệu'!J204="","",'PR Thương Hiệu'!J204)</f>
        <v/>
      </c>
      <c r="I1000" s="52" t="str">
        <f>IF('PR Thương Hiệu'!M204="","",'PR Thương Hiệu'!M204)</f>
        <v/>
      </c>
      <c r="J1000" s="52" t="str">
        <f>IF('PR Thương Hiệu'!R204="","",'PR Thương Hiệu'!R204)</f>
        <v/>
      </c>
      <c r="K1000" s="52" t="str">
        <f t="array" ref="K1000">IF(COUNTA('PR Thương Hiệu'!T204:AE204)=0,"",INDEX('PR Thương Hiệu'!T204:AE204,1,SUMPRODUCT(MAX(('PR Thương Hiệu'!T204:AE204&lt;&gt;"")*(COLUMN('PR Thương Hiệu'!T204:AE204)-COLUMN('PR Thương Hiệu'!T204)+1)))))</f>
        <v/>
      </c>
      <c r="L1000" s="52" t="str">
        <f>IF(AND(G1000&lt;&gt;"",G1000='Tổng hợp'!$C$4),MAX(L$1:L999)+1,"")</f>
        <v/>
      </c>
    </row>
    <row r="1001" ht="15.75" customHeight="1">
      <c r="A1001" s="52" t="str">
        <f>IF('PR Thương Hiệu'!C205="","","PR Thương Hiệu")</f>
        <v/>
      </c>
      <c r="B1001" s="52" t="str">
        <f>IF('PR Thương Hiệu'!B205="","",'PR Thương Hiệu'!B205)</f>
        <v/>
      </c>
      <c r="C1001" s="52" t="str">
        <f>IF('PR Thương Hiệu'!C205="","",'PR Thương Hiệu'!C205)</f>
        <v/>
      </c>
      <c r="D1001" s="52" t="str">
        <f>IF('PR Thương Hiệu'!D205="","",'PR Thương Hiệu'!D205)</f>
        <v/>
      </c>
      <c r="E1001" s="52" t="str">
        <f>IF('PR Thương Hiệu'!E205="","",'PR Thương Hiệu'!E205)</f>
        <v/>
      </c>
      <c r="F1001" s="52" t="str">
        <f>IF('PR Thương Hiệu'!F205="","",'PR Thương Hiệu'!F205)</f>
        <v/>
      </c>
      <c r="G1001" s="52" t="str">
        <f>IF('PR Thương Hiệu'!G205="","",'PR Thương Hiệu'!G205)</f>
        <v/>
      </c>
      <c r="H1001" s="52" t="str">
        <f>IF('PR Thương Hiệu'!J205="","",'PR Thương Hiệu'!J205)</f>
        <v/>
      </c>
      <c r="I1001" s="52" t="str">
        <f>IF('PR Thương Hiệu'!M205="","",'PR Thương Hiệu'!M205)</f>
        <v/>
      </c>
      <c r="J1001" s="52" t="str">
        <f>IF('PR Thương Hiệu'!R205="","",'PR Thương Hiệu'!R205)</f>
        <v/>
      </c>
      <c r="K1001" s="52" t="str">
        <f t="array" ref="K1001">IF(COUNTA('PR Thương Hiệu'!T205:AE205)=0,"",INDEX('PR Thương Hiệu'!T205:AE205,1,SUMPRODUCT(MAX(('PR Thương Hiệu'!T205:AE205&lt;&gt;"")*(COLUMN('PR Thương Hiệu'!T205:AE205)-COLUMN('PR Thương Hiệu'!T205)+1)))))</f>
        <v/>
      </c>
      <c r="L1001" s="52" t="str">
        <f>IF(AND(G1001&lt;&gt;"",G1001='Tổng hợp'!$C$4),MAX(L$1:L1000)+1,"")</f>
        <v/>
      </c>
    </row>
  </sheetData>
  <printOptions/>
  <pageMargins bottom="1.0" footer="0.0" header="0.0" left="0.75" right="0.75" top="1.0"/>
  <pageSetup paperSize="9" orientation="portrait"/>
  <drawing r:id="rId1"/>
</worksheet>
</file>